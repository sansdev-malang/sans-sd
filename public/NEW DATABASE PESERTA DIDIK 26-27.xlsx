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erver-tu\Admin -TU\TA'ARUF\TAARUF 2026\"/>
    </mc:Choice>
  </mc:AlternateContent>
  <xr:revisionPtr revIDLastSave="0" documentId="13_ncr:1_{500C4F86-E59A-440B-AFCE-98E4AA0BED29}" xr6:coauthVersionLast="47" xr6:coauthVersionMax="47" xr10:uidLastSave="{00000000-0000-0000-0000-000000000000}"/>
  <bookViews>
    <workbookView xWindow="15" yWindow="0" windowWidth="12945" windowHeight="15480" xr2:uid="{E3B312F1-F035-43BA-82A9-C693B64701A1}"/>
  </bookViews>
  <sheets>
    <sheet name="MASTER" sheetId="1" r:id="rId1"/>
    <sheet name="REPORT" sheetId="2" r:id="rId2"/>
    <sheet name="Lembar2" sheetId="4" r:id="rId3"/>
  </sheets>
  <externalReferences>
    <externalReference r:id="rId4"/>
  </externalReferences>
  <definedNames>
    <definedName name="_xlnm._FilterDatabase" localSheetId="0" hidden="1">MASTER!$A$1:$CL$770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99" i="1" l="1"/>
  <c r="X304" i="1"/>
  <c r="X256" i="1"/>
  <c r="X497" i="1"/>
  <c r="X311" i="1"/>
  <c r="X526" i="1"/>
  <c r="X656" i="1"/>
  <c r="X484" i="1"/>
  <c r="X483" i="1"/>
  <c r="D19" i="2"/>
  <c r="X250" i="1"/>
  <c r="X647" i="1"/>
  <c r="X179" i="1"/>
  <c r="X150" i="1"/>
  <c r="X214" i="1"/>
  <c r="X151" i="1"/>
  <c r="X152" i="1"/>
  <c r="X153" i="1"/>
  <c r="E58" i="2" l="1"/>
  <c r="D58" i="2"/>
  <c r="E57" i="2"/>
  <c r="D57" i="2"/>
  <c r="E56" i="2"/>
  <c r="D56" i="2"/>
  <c r="E55" i="2"/>
  <c r="D55" i="2"/>
  <c r="E51" i="2"/>
  <c r="D51" i="2"/>
  <c r="E50" i="2"/>
  <c r="D50" i="2"/>
  <c r="E49" i="2"/>
  <c r="D49" i="2"/>
  <c r="E48" i="2"/>
  <c r="D48" i="2"/>
  <c r="E44" i="2"/>
  <c r="D44" i="2"/>
  <c r="E42" i="2"/>
  <c r="D42" i="2"/>
  <c r="E41" i="2"/>
  <c r="D41" i="2"/>
  <c r="E40" i="2"/>
  <c r="D40" i="2"/>
  <c r="E35" i="2"/>
  <c r="D35" i="2"/>
  <c r="E34" i="2"/>
  <c r="D34" i="2"/>
  <c r="E33" i="2"/>
  <c r="D33" i="2"/>
  <c r="E32" i="2"/>
  <c r="D32" i="2"/>
  <c r="E26" i="2"/>
  <c r="D26" i="2"/>
  <c r="E24" i="2"/>
  <c r="D24" i="2"/>
  <c r="E22" i="2"/>
  <c r="D22" i="2"/>
  <c r="E19" i="2"/>
  <c r="E12" i="2"/>
  <c r="D12" i="2"/>
  <c r="E10" i="2"/>
  <c r="D10" i="2"/>
  <c r="E8" i="2"/>
  <c r="D8" i="2"/>
  <c r="E6" i="2"/>
  <c r="D6" i="2"/>
  <c r="F58" i="2"/>
  <c r="F57" i="2"/>
  <c r="F56" i="2"/>
  <c r="F55" i="2"/>
  <c r="F51" i="2"/>
  <c r="F50" i="2"/>
  <c r="F49" i="2"/>
  <c r="F48" i="2"/>
  <c r="F44" i="2"/>
  <c r="F42" i="2"/>
  <c r="F41" i="2"/>
  <c r="F40" i="2"/>
  <c r="F35" i="2"/>
  <c r="F34" i="2"/>
  <c r="F33" i="2"/>
  <c r="F32" i="2"/>
  <c r="F26" i="2"/>
  <c r="F24" i="2"/>
  <c r="F22" i="2"/>
  <c r="F19" i="2"/>
  <c r="F12" i="2"/>
  <c r="F10" i="2"/>
  <c r="F8" i="2"/>
  <c r="F6" i="2"/>
  <c r="X588" i="1"/>
  <c r="X671" i="1"/>
  <c r="X585" i="1"/>
  <c r="X614" i="1"/>
  <c r="X613" i="1"/>
  <c r="X637" i="1"/>
  <c r="X609" i="1"/>
  <c r="X608" i="1"/>
  <c r="X577" i="1"/>
  <c r="X604" i="1"/>
  <c r="X667" i="1"/>
  <c r="X632" i="1"/>
  <c r="X602" i="1"/>
  <c r="X574" i="1"/>
  <c r="X631" i="1"/>
  <c r="X601" i="1"/>
  <c r="X664" i="1"/>
  <c r="X628" i="1"/>
  <c r="X660" i="1"/>
  <c r="X569" i="1"/>
  <c r="X654" i="1"/>
  <c r="X652" i="1"/>
  <c r="X596" i="1"/>
  <c r="X622" i="1"/>
  <c r="X650" i="1"/>
  <c r="X565" i="1"/>
  <c r="BW618" i="1"/>
  <c r="X618" i="1"/>
  <c r="X672" i="1"/>
  <c r="X642" i="1"/>
  <c r="X612" i="1"/>
  <c r="X611" i="1"/>
  <c r="X638" i="1"/>
  <c r="X582" i="1"/>
  <c r="X670" i="1"/>
  <c r="X636" i="1"/>
  <c r="X578" i="1"/>
  <c r="X605" i="1"/>
  <c r="X573" i="1"/>
  <c r="X630" i="1"/>
  <c r="X665" i="1"/>
  <c r="X599" i="1"/>
  <c r="X663" i="1"/>
  <c r="X661" i="1"/>
  <c r="X625" i="1"/>
  <c r="X624" i="1"/>
  <c r="X658" i="1"/>
  <c r="X655" i="1"/>
  <c r="X566" i="1"/>
  <c r="X653" i="1"/>
  <c r="X619" i="1"/>
  <c r="X645" i="1"/>
  <c r="X590" i="1"/>
  <c r="BM587" i="1"/>
  <c r="X587" i="1"/>
  <c r="X617" i="1"/>
  <c r="X644" i="1"/>
  <c r="X616" i="1"/>
  <c r="X641" i="1"/>
  <c r="X584" i="1"/>
  <c r="X640" i="1"/>
  <c r="X581" i="1"/>
  <c r="X579" i="1"/>
  <c r="X669" i="1"/>
  <c r="X606" i="1"/>
  <c r="X603" i="1"/>
  <c r="X627" i="1"/>
  <c r="X662" i="1"/>
  <c r="X626" i="1"/>
  <c r="X659" i="1"/>
  <c r="X567" i="1"/>
  <c r="X597" i="1"/>
  <c r="X594" i="1"/>
  <c r="X620" i="1"/>
  <c r="X649" i="1"/>
  <c r="X564" i="1"/>
  <c r="X562" i="1"/>
  <c r="X592" i="1"/>
  <c r="X589" i="1"/>
  <c r="X586" i="1"/>
  <c r="X615" i="1"/>
  <c r="X610" i="1"/>
  <c r="X639" i="1"/>
  <c r="X635" i="1"/>
  <c r="X634" i="1"/>
  <c r="X668" i="1"/>
  <c r="X607" i="1"/>
  <c r="X633" i="1"/>
  <c r="X575" i="1"/>
  <c r="X666" i="1"/>
  <c r="X629" i="1"/>
  <c r="X600" i="1"/>
  <c r="X572" i="1"/>
  <c r="X571" i="1"/>
  <c r="X568" i="1"/>
  <c r="X657" i="1"/>
  <c r="X598" i="1"/>
  <c r="X595" i="1"/>
  <c r="X621" i="1"/>
  <c r="X648" i="1"/>
  <c r="X563" i="1"/>
  <c r="X593" i="1"/>
  <c r="X646" i="1"/>
  <c r="X591" i="1"/>
  <c r="X503" i="1"/>
  <c r="X474" i="1"/>
  <c r="X561" i="1"/>
  <c r="X500" i="1"/>
  <c r="X499" i="1"/>
  <c r="X560" i="1"/>
  <c r="X496" i="1"/>
  <c r="X530" i="1"/>
  <c r="X495" i="1"/>
  <c r="X557" i="1"/>
  <c r="X529" i="1"/>
  <c r="X469" i="1"/>
  <c r="X465" i="1"/>
  <c r="X522" i="1"/>
  <c r="X521" i="1"/>
  <c r="X547" i="1"/>
  <c r="X519" i="1"/>
  <c r="X515" i="1"/>
  <c r="X461" i="1"/>
  <c r="X539" i="1"/>
  <c r="X480" i="1"/>
  <c r="X456" i="1"/>
  <c r="X538" i="1"/>
  <c r="X536" i="1"/>
  <c r="X453" i="1"/>
  <c r="X452" i="1"/>
  <c r="X534" i="1"/>
  <c r="X475" i="1"/>
  <c r="X533" i="1"/>
  <c r="X502" i="1"/>
  <c r="X531" i="1"/>
  <c r="X559" i="1"/>
  <c r="X555" i="1"/>
  <c r="X553" i="1"/>
  <c r="X527" i="1"/>
  <c r="X493" i="1"/>
  <c r="X551" i="1"/>
  <c r="X468" i="1"/>
  <c r="X463" i="1"/>
  <c r="X520" i="1"/>
  <c r="X488" i="1"/>
  <c r="X487" i="1"/>
  <c r="X518" i="1"/>
  <c r="X517" i="1"/>
  <c r="X462" i="1"/>
  <c r="X460" i="1"/>
  <c r="X459" i="1"/>
  <c r="X540" i="1"/>
  <c r="X457" i="1"/>
  <c r="X507" i="1"/>
  <c r="X479" i="1"/>
  <c r="X455" i="1"/>
  <c r="X535" i="1"/>
  <c r="X478" i="1"/>
  <c r="X506" i="1"/>
  <c r="X504" i="1"/>
  <c r="X501" i="1"/>
  <c r="X473" i="1"/>
  <c r="X532" i="1"/>
  <c r="X558" i="1"/>
  <c r="X556" i="1"/>
  <c r="X528" i="1"/>
  <c r="X554" i="1"/>
  <c r="X549" i="1"/>
  <c r="X492" i="1"/>
  <c r="X525" i="1"/>
  <c r="X467" i="1"/>
  <c r="X466" i="1"/>
  <c r="X464" i="1"/>
  <c r="X548" i="1"/>
  <c r="X514" i="1"/>
  <c r="X513" i="1"/>
  <c r="X485" i="1"/>
  <c r="X544" i="1"/>
  <c r="X511" i="1"/>
  <c r="X510" i="1"/>
  <c r="X542" i="1"/>
  <c r="X458" i="1"/>
  <c r="X537" i="1"/>
  <c r="X477" i="1"/>
  <c r="X505" i="1"/>
  <c r="X476" i="1"/>
  <c r="X498" i="1"/>
  <c r="X494" i="1"/>
  <c r="X472" i="1"/>
  <c r="X471" i="1"/>
  <c r="X552" i="1"/>
  <c r="X550" i="1"/>
  <c r="X470" i="1"/>
  <c r="X524" i="1"/>
  <c r="X523" i="1"/>
  <c r="X491" i="1"/>
  <c r="X490" i="1"/>
  <c r="X489" i="1"/>
  <c r="X546" i="1"/>
  <c r="X486" i="1"/>
  <c r="X545" i="1"/>
  <c r="X516" i="1"/>
  <c r="X512" i="1"/>
  <c r="X543" i="1"/>
  <c r="X541" i="1"/>
  <c r="X482" i="1"/>
  <c r="X509" i="1"/>
  <c r="X508" i="1"/>
  <c r="X454" i="1"/>
  <c r="X419" i="1"/>
  <c r="X389" i="1"/>
  <c r="X416" i="1"/>
  <c r="X444" i="1"/>
  <c r="X353" i="1"/>
  <c r="X378" i="1"/>
  <c r="X356" i="1"/>
  <c r="X377" i="1"/>
  <c r="X380" i="1"/>
  <c r="X379" i="1"/>
  <c r="X351" i="1"/>
  <c r="X442" i="1"/>
  <c r="X441" i="1"/>
  <c r="X438" i="1"/>
  <c r="X373" i="1"/>
  <c r="X349" i="1"/>
  <c r="X348" i="1"/>
  <c r="X434" i="1"/>
  <c r="X367" i="1"/>
  <c r="X366" i="1"/>
  <c r="X398" i="1"/>
  <c r="X396" i="1"/>
  <c r="X338" i="1"/>
  <c r="X337" i="1"/>
  <c r="X426" i="1"/>
  <c r="X336" i="1"/>
  <c r="X335" i="1"/>
  <c r="X450" i="1"/>
  <c r="X361" i="1"/>
  <c r="X391" i="1"/>
  <c r="X388" i="1"/>
  <c r="X447" i="1"/>
  <c r="X386" i="1"/>
  <c r="X413" i="1"/>
  <c r="X412" i="1"/>
  <c r="X410" i="1"/>
  <c r="X409" i="1"/>
  <c r="X352" i="1"/>
  <c r="X406" i="1"/>
  <c r="X405" i="1"/>
  <c r="X439" i="1"/>
  <c r="X372" i="1"/>
  <c r="X436" i="1"/>
  <c r="X347" i="1"/>
  <c r="X433" i="1"/>
  <c r="X345" i="1"/>
  <c r="X430" i="1"/>
  <c r="X344" i="1"/>
  <c r="X341" i="1"/>
  <c r="X365" i="1"/>
  <c r="X339" i="1"/>
  <c r="X428" i="1"/>
  <c r="X423" i="1"/>
  <c r="X393" i="1"/>
  <c r="X451" i="1"/>
  <c r="X359" i="1"/>
  <c r="X390" i="1"/>
  <c r="X358" i="1"/>
  <c r="X446" i="1"/>
  <c r="X385" i="1"/>
  <c r="X384" i="1"/>
  <c r="X411" i="1"/>
  <c r="X355" i="1"/>
  <c r="X354" i="1"/>
  <c r="X381" i="1"/>
  <c r="X443" i="1"/>
  <c r="X408" i="1"/>
  <c r="X407" i="1"/>
  <c r="X375" i="1"/>
  <c r="X440" i="1"/>
  <c r="X403" i="1"/>
  <c r="X350" i="1"/>
  <c r="X371" i="1"/>
  <c r="X370" i="1"/>
  <c r="X401" i="1"/>
  <c r="X368" i="1"/>
  <c r="X431" i="1"/>
  <c r="X342" i="1"/>
  <c r="X364" i="1"/>
  <c r="X395" i="1"/>
  <c r="X334" i="1"/>
  <c r="X392" i="1"/>
  <c r="X363" i="1"/>
  <c r="X362" i="1"/>
  <c r="X420" i="1"/>
  <c r="X449" i="1"/>
  <c r="X418" i="1"/>
  <c r="X417" i="1"/>
  <c r="X415" i="1"/>
  <c r="X448" i="1"/>
  <c r="X357" i="1"/>
  <c r="X383" i="1"/>
  <c r="X382" i="1"/>
  <c r="X376" i="1"/>
  <c r="X404" i="1"/>
  <c r="X374" i="1"/>
  <c r="X437" i="1"/>
  <c r="X346" i="1"/>
  <c r="X435" i="1"/>
  <c r="X402" i="1"/>
  <c r="X400" i="1"/>
  <c r="X432" i="1"/>
  <c r="X369" i="1"/>
  <c r="X343" i="1"/>
  <c r="X397" i="1"/>
  <c r="X340" i="1"/>
  <c r="X429" i="1"/>
  <c r="X427" i="1"/>
  <c r="X425" i="1"/>
  <c r="X394" i="1"/>
  <c r="X424" i="1"/>
  <c r="X422" i="1"/>
  <c r="X333" i="1"/>
  <c r="X329" i="1"/>
  <c r="X247" i="1"/>
  <c r="X272" i="1"/>
  <c r="X327" i="1"/>
  <c r="X323" i="1"/>
  <c r="X302" i="1"/>
  <c r="X239" i="1"/>
  <c r="X236" i="1"/>
  <c r="X266" i="1"/>
  <c r="X300" i="1"/>
  <c r="X295" i="1"/>
  <c r="X263" i="1"/>
  <c r="X292" i="1"/>
  <c r="X233" i="1"/>
  <c r="X298" i="1"/>
  <c r="X291" i="1"/>
  <c r="X232" i="1"/>
  <c r="X288" i="1"/>
  <c r="X287" i="1"/>
  <c r="X310" i="1"/>
  <c r="X255" i="1"/>
  <c r="X254" i="1"/>
  <c r="X252" i="1"/>
  <c r="X280" i="1"/>
  <c r="X332" i="1"/>
  <c r="X277" i="1"/>
  <c r="X276" i="1"/>
  <c r="X330" i="1"/>
  <c r="X248" i="1"/>
  <c r="X328" i="1"/>
  <c r="X273" i="1"/>
  <c r="X246" i="1"/>
  <c r="X244" i="1"/>
  <c r="X269" i="1"/>
  <c r="X322" i="1"/>
  <c r="X267" i="1"/>
  <c r="X234" i="1"/>
  <c r="X316" i="1"/>
  <c r="X297" i="1"/>
  <c r="X296" i="1"/>
  <c r="X294" i="1"/>
  <c r="X260" i="1"/>
  <c r="X313" i="1"/>
  <c r="X289" i="1"/>
  <c r="X285" i="1"/>
  <c r="X228" i="1"/>
  <c r="X309" i="1"/>
  <c r="X226" i="1"/>
  <c r="X281" i="1"/>
  <c r="X249" i="1"/>
  <c r="X331" i="1"/>
  <c r="X275" i="1"/>
  <c r="X271" i="1"/>
  <c r="X326" i="1"/>
  <c r="X243" i="1"/>
  <c r="X324" i="1"/>
  <c r="X242" i="1"/>
  <c r="X241" i="1"/>
  <c r="X240" i="1"/>
  <c r="X268" i="1"/>
  <c r="X320" i="1"/>
  <c r="X301" i="1"/>
  <c r="X319" i="1"/>
  <c r="X318" i="1"/>
  <c r="X293" i="1"/>
  <c r="X262" i="1"/>
  <c r="X261" i="1"/>
  <c r="X231" i="1"/>
  <c r="X259" i="1"/>
  <c r="X257" i="1"/>
  <c r="X283" i="1"/>
  <c r="X308" i="1"/>
  <c r="X253" i="1"/>
  <c r="X225" i="1"/>
  <c r="X251" i="1"/>
  <c r="X279" i="1"/>
  <c r="X303" i="1"/>
  <c r="X305" i="1"/>
  <c r="X274" i="1"/>
  <c r="X270" i="1"/>
  <c r="X245" i="1"/>
  <c r="X325" i="1"/>
  <c r="X321" i="1"/>
  <c r="X238" i="1"/>
  <c r="X237" i="1"/>
  <c r="X265" i="1"/>
  <c r="X317" i="1"/>
  <c r="X264" i="1"/>
  <c r="X290" i="1"/>
  <c r="X315" i="1"/>
  <c r="X314" i="1"/>
  <c r="X258" i="1"/>
  <c r="X286" i="1"/>
  <c r="X229" i="1"/>
  <c r="X227" i="1"/>
  <c r="X284" i="1"/>
  <c r="X312" i="1"/>
  <c r="X282" i="1"/>
  <c r="X307" i="1"/>
  <c r="X278" i="1"/>
  <c r="X223" i="1"/>
  <c r="X162" i="1"/>
  <c r="X222" i="1"/>
  <c r="X221" i="1"/>
  <c r="X219" i="1"/>
  <c r="X130" i="1"/>
  <c r="X155" i="1"/>
  <c r="X217" i="1"/>
  <c r="X216" i="1"/>
  <c r="X215" i="1"/>
  <c r="X122" i="1"/>
  <c r="X213" i="1"/>
  <c r="X211" i="1"/>
  <c r="X210" i="1"/>
  <c r="X209" i="1"/>
  <c r="X208" i="1"/>
  <c r="X143" i="1"/>
  <c r="X205" i="1"/>
  <c r="X204" i="1"/>
  <c r="X201" i="1"/>
  <c r="X200" i="1"/>
  <c r="X199" i="1"/>
  <c r="X198" i="1"/>
  <c r="X140" i="1"/>
  <c r="X170" i="1"/>
  <c r="X196" i="1"/>
  <c r="X195" i="1"/>
  <c r="X110" i="1"/>
  <c r="X109" i="1"/>
  <c r="X106" i="1"/>
  <c r="X193" i="1"/>
  <c r="X192" i="1"/>
  <c r="X191" i="1"/>
  <c r="X189" i="1"/>
  <c r="X188" i="1"/>
  <c r="X187" i="1"/>
  <c r="X186" i="1"/>
  <c r="X185" i="1"/>
  <c r="X184" i="1"/>
  <c r="X183" i="1"/>
  <c r="X218" i="1"/>
  <c r="X182" i="1"/>
  <c r="X181" i="1"/>
  <c r="X180" i="1"/>
  <c r="X117" i="1"/>
  <c r="X178" i="1"/>
  <c r="X147" i="1"/>
  <c r="X207" i="1"/>
  <c r="X176" i="1"/>
  <c r="X175" i="1"/>
  <c r="X174" i="1"/>
  <c r="X173" i="1"/>
  <c r="X172" i="1"/>
  <c r="X171" i="1"/>
  <c r="X197" i="1"/>
  <c r="X169" i="1"/>
  <c r="X111" i="1"/>
  <c r="X168" i="1"/>
  <c r="X167" i="1"/>
  <c r="X164" i="1"/>
  <c r="X161" i="1"/>
  <c r="X160" i="1"/>
  <c r="X159" i="1"/>
  <c r="X158" i="1"/>
  <c r="X220" i="1"/>
  <c r="X157" i="1"/>
  <c r="X156" i="1"/>
  <c r="X154" i="1"/>
  <c r="X127" i="1"/>
  <c r="X149" i="1"/>
  <c r="X148" i="1"/>
  <c r="X146" i="1"/>
  <c r="X145" i="1"/>
  <c r="X144" i="1"/>
  <c r="X203" i="1"/>
  <c r="X141" i="1"/>
  <c r="X114" i="1"/>
  <c r="X139" i="1"/>
  <c r="X138" i="1"/>
  <c r="X136" i="1"/>
  <c r="X107" i="1"/>
  <c r="X135" i="1"/>
  <c r="X105" i="1"/>
  <c r="X190" i="1"/>
  <c r="X163" i="1"/>
  <c r="X133" i="1"/>
  <c r="X132" i="1"/>
  <c r="X131" i="1"/>
  <c r="X129" i="1"/>
  <c r="X126" i="1"/>
  <c r="X125" i="1"/>
  <c r="X124" i="1"/>
  <c r="X123" i="1"/>
  <c r="X128" i="1"/>
  <c r="X121" i="1"/>
  <c r="X120" i="1"/>
  <c r="X119" i="1"/>
  <c r="X212" i="1"/>
  <c r="X118" i="1"/>
  <c r="X116" i="1"/>
  <c r="X177" i="1"/>
  <c r="X142" i="1"/>
  <c r="X206" i="1"/>
  <c r="X202" i="1"/>
  <c r="X115" i="1"/>
  <c r="X113" i="1"/>
  <c r="X194" i="1"/>
  <c r="X112" i="1"/>
  <c r="X166" i="1"/>
  <c r="X137" i="1"/>
  <c r="X108" i="1"/>
  <c r="X165" i="1"/>
  <c r="X134" i="1"/>
  <c r="G60" i="2" l="1"/>
  <c r="G53" i="2"/>
  <c r="G46" i="2"/>
  <c r="G38" i="2"/>
  <c r="G30" i="2"/>
  <c r="G17" i="2"/>
  <c r="E60" i="2" l="1"/>
  <c r="E30" i="2"/>
  <c r="D46" i="2"/>
  <c r="D60" i="2"/>
  <c r="D17" i="2"/>
  <c r="E46" i="2"/>
  <c r="E17" i="2"/>
  <c r="D38" i="2"/>
  <c r="E38" i="2"/>
  <c r="D53" i="2"/>
  <c r="D30" i="2"/>
  <c r="E53" i="2"/>
  <c r="G61" i="2"/>
  <c r="F17" i="2" l="1"/>
  <c r="F60" i="2"/>
  <c r="F30" i="2"/>
  <c r="F46" i="2"/>
  <c r="E61" i="2"/>
  <c r="D61" i="2"/>
  <c r="F38" i="2"/>
  <c r="F53" i="2"/>
  <c r="F61" i="2" l="1"/>
</calcChain>
</file>

<file path=xl/sharedStrings.xml><?xml version="1.0" encoding="utf-8"?>
<sst xmlns="http://schemas.openxmlformats.org/spreadsheetml/2006/main" count="37331" uniqueCount="13612">
  <si>
    <t>NO</t>
  </si>
  <si>
    <t>AKTA KELAHIRAN</t>
  </si>
  <si>
    <t>TANGGAL DITERIMA</t>
  </si>
  <si>
    <t>ASAL PESERTA DIDIK</t>
  </si>
  <si>
    <t>NAMA TK ASAL</t>
  </si>
  <si>
    <t>ALAMAT TK ASAL</t>
  </si>
  <si>
    <t>NOMOR/TANGGAL STTB</t>
  </si>
  <si>
    <t>NIS</t>
  </si>
  <si>
    <t>NISN</t>
  </si>
  <si>
    <t>NO KK</t>
  </si>
  <si>
    <t>NIK ANAK</t>
  </si>
  <si>
    <t>NAMA SISWA (sesuai Akta Kelahiran)</t>
  </si>
  <si>
    <t>GRADE</t>
  </si>
  <si>
    <t>CLASS NAME</t>
  </si>
  <si>
    <t>NAMA PANGGILAN</t>
  </si>
  <si>
    <t>SEX</t>
  </si>
  <si>
    <t>TEMPAT LAHIR</t>
  </si>
  <si>
    <t>TANGGAL LAHIR</t>
  </si>
  <si>
    <t>USIA</t>
  </si>
  <si>
    <t>JENIS PESERTA DIDIK</t>
  </si>
  <si>
    <t>JENIS KETUNAAN</t>
  </si>
  <si>
    <t>AGAMA</t>
  </si>
  <si>
    <t>KEWARGANEGARAAN</t>
  </si>
  <si>
    <t>ALAMAT RUMAH</t>
  </si>
  <si>
    <t>RT</t>
  </si>
  <si>
    <t>RW</t>
  </si>
  <si>
    <t>KELURAHAN</t>
  </si>
  <si>
    <t>KECAMATAN</t>
  </si>
  <si>
    <t>SEBARAN KECAMATAN PESERTA DIDIK SD ANAK SALEH</t>
  </si>
  <si>
    <t>KODE POS</t>
  </si>
  <si>
    <t>KABUPATEN/KOTA</t>
  </si>
  <si>
    <t>STATUS TEMPAT TINGGAL</t>
  </si>
  <si>
    <t>JARAK TEMPAT TINGGAL KE SEKOLAH</t>
  </si>
  <si>
    <t>NO. TELEPON RUMAH</t>
  </si>
  <si>
    <t>NO. HANDPHONE</t>
  </si>
  <si>
    <t>ANAK KE</t>
  </si>
  <si>
    <t>∑ SAUDARA KANDUNG</t>
  </si>
  <si>
    <t>∑ SAUDARA TIRI</t>
  </si>
  <si>
    <t>∑ SAUDARA ANGKAT</t>
  </si>
  <si>
    <t>BB</t>
  </si>
  <si>
    <t>TB</t>
  </si>
  <si>
    <t>GOL DARAH</t>
  </si>
  <si>
    <t>PENYAKIT BERAT YANG PERNAH DIDERITA</t>
  </si>
  <si>
    <t>PENYAKIT YANG SERING DIDERITA</t>
  </si>
  <si>
    <t>BAHASA KESEHARIAN DI KELUARGA</t>
  </si>
  <si>
    <t>NAMA AYAH KANDUNG</t>
  </si>
  <si>
    <t>NIK AYAH</t>
  </si>
  <si>
    <t>TEMPAT LAHIR AYAH</t>
  </si>
  <si>
    <t>TANGGAL LAHIR AYAH</t>
  </si>
  <si>
    <t>AGAMA AYAH</t>
  </si>
  <si>
    <t>NO. HANDPHONE AYAH</t>
  </si>
  <si>
    <t>PENDIDIKAN TERTINGGI AYAH</t>
  </si>
  <si>
    <t>PEKERJAAN AYAH</t>
  </si>
  <si>
    <t>INSTANSI TEMPAT BEKERJA AYAH</t>
  </si>
  <si>
    <t>ALAMAT LENGKAP INSTANSI AYAH</t>
  </si>
  <si>
    <t>NO. TELEPON INSTANSI AYAH</t>
  </si>
  <si>
    <t>PENGHASILAN AYAH PER BULAN</t>
  </si>
  <si>
    <t>EMAIL AYAH</t>
  </si>
  <si>
    <t>NAMA IBU KANDUNG</t>
  </si>
  <si>
    <t>NIK  IBU</t>
  </si>
  <si>
    <t>TEMPAT LAHIR IBU</t>
  </si>
  <si>
    <t>TANGGAL LAHIR IBU</t>
  </si>
  <si>
    <t>AGAMA IBU</t>
  </si>
  <si>
    <t>NO. HANDPHONE IBU</t>
  </si>
  <si>
    <t>PENDIDIKAN TERTINGGI IBU</t>
  </si>
  <si>
    <t>PEKERJAAN IBU</t>
  </si>
  <si>
    <t>INSTANSI TEMPAT BEKERJA IBU</t>
  </si>
  <si>
    <t>ALAMAT LENGKAP INSTANSI IBU</t>
  </si>
  <si>
    <t>NO. TELEPON INSTANSI IBU</t>
  </si>
  <si>
    <t>PENGHASILAN IBU PER BULAN</t>
  </si>
  <si>
    <t>EMAIL IBU</t>
  </si>
  <si>
    <t>NAMA WALI</t>
  </si>
  <si>
    <t>TEMPAT LAHIR WALI</t>
  </si>
  <si>
    <t>TANGGAL LAHIR WALI</t>
  </si>
  <si>
    <t>HUBUNGAN KELUARGA DENGAN WALI</t>
  </si>
  <si>
    <t>NO. HANDPHONE WALI</t>
  </si>
  <si>
    <t>PENDIDIKAN TERAKHIR WALI</t>
  </si>
  <si>
    <t>PEKERJAAN WALI</t>
  </si>
  <si>
    <t>AGAMA WALI</t>
  </si>
  <si>
    <t>ALAMAT RUMAH WALI</t>
  </si>
  <si>
    <t>AKTE</t>
  </si>
  <si>
    <t>KK</t>
  </si>
  <si>
    <t>SUKET TK</t>
  </si>
  <si>
    <t>SURAT &lt;6 TH</t>
  </si>
  <si>
    <t>SURAT PDBK</t>
  </si>
  <si>
    <t>15 JULI 2024</t>
  </si>
  <si>
    <t>TAMAN KANAK-KANAK</t>
  </si>
  <si>
    <t>TK PERMATA IMAN 3</t>
  </si>
  <si>
    <t>JL.KEBEN NO.2</t>
  </si>
  <si>
    <t>3573042112150006</t>
  </si>
  <si>
    <t>3573046310170003</t>
  </si>
  <si>
    <t>ADEEVA AISYAH PUERDINKA</t>
  </si>
  <si>
    <t>DIVA</t>
  </si>
  <si>
    <t>PEREMPUAN</t>
  </si>
  <si>
    <t>MALANG</t>
  </si>
  <si>
    <t>REGULER</t>
  </si>
  <si>
    <t>ISLAM</t>
  </si>
  <si>
    <t>WARGA NEGARA INDONESIA</t>
  </si>
  <si>
    <t xml:space="preserve">GRIYA TANJUNG PRIOK JAYA 1 NO.E12 SUKUN </t>
  </si>
  <si>
    <t>06</t>
  </si>
  <si>
    <t>03</t>
  </si>
  <si>
    <t>BAKALANKRAJAN</t>
  </si>
  <si>
    <t>SUKUN</t>
  </si>
  <si>
    <t>KOTA MALANG</t>
  </si>
  <si>
    <t>MILIK SENDIRI</t>
  </si>
  <si>
    <t>12KM</t>
  </si>
  <si>
    <t>082139644564</t>
  </si>
  <si>
    <t>2</t>
  </si>
  <si>
    <t/>
  </si>
  <si>
    <t>21 kg</t>
  </si>
  <si>
    <t>120cm</t>
  </si>
  <si>
    <t>A</t>
  </si>
  <si>
    <t>TIDAK</t>
  </si>
  <si>
    <t>PILEK</t>
  </si>
  <si>
    <t>INDONESIA</t>
  </si>
  <si>
    <t>MUH MUCHLIS ABDILLAH, Amd</t>
  </si>
  <si>
    <t>3573043108880003</t>
  </si>
  <si>
    <t>082123808010</t>
  </si>
  <si>
    <t>S1</t>
  </si>
  <si>
    <t>KARYAWAN BUMN</t>
  </si>
  <si>
    <t>PLN</t>
  </si>
  <si>
    <t xml:space="preserve">JL KETINTANG </t>
  </si>
  <si>
    <t>15.000.000</t>
  </si>
  <si>
    <t>Abdifantome@gmail.com</t>
  </si>
  <si>
    <t>ANIKA FITRIANA MABON</t>
  </si>
  <si>
    <t>3573038805880004</t>
  </si>
  <si>
    <t>IBU RUMAH TANGGA</t>
  </si>
  <si>
    <t>-</t>
  </si>
  <si>
    <t>niekamabon@gmail.com</t>
  </si>
  <si>
    <t>TK ABA 33 CITA INSANI</t>
  </si>
  <si>
    <t>GRIYA SHANTA K 331</t>
  </si>
  <si>
    <t>3507231603180002</t>
  </si>
  <si>
    <t>3507234906180001</t>
  </si>
  <si>
    <t>AFNAN HUSNA SALSABILA</t>
  </si>
  <si>
    <t>AFNA</t>
  </si>
  <si>
    <t>BONDOWOSO</t>
  </si>
  <si>
    <t>PERUMAHAN GRIYA PERMATA ALAM BLOK EI 19</t>
  </si>
  <si>
    <t>02</t>
  </si>
  <si>
    <t>011</t>
  </si>
  <si>
    <t>NGIJO</t>
  </si>
  <si>
    <t>KARANGPLOSO</t>
  </si>
  <si>
    <t>LUAR MALANG</t>
  </si>
  <si>
    <t>KABUPATEN MALANG</t>
  </si>
  <si>
    <t>8-10 KM</t>
  </si>
  <si>
    <t>081259492614</t>
  </si>
  <si>
    <t>085258555546</t>
  </si>
  <si>
    <t>1</t>
  </si>
  <si>
    <t>0</t>
  </si>
  <si>
    <t>22kg</t>
  </si>
  <si>
    <t>B</t>
  </si>
  <si>
    <t>BATUK, PILEK</t>
  </si>
  <si>
    <t xml:space="preserve">MUHAMMAD KAMIL </t>
  </si>
  <si>
    <t>5108011003910007</t>
  </si>
  <si>
    <t>S2</t>
  </si>
  <si>
    <t>DOSEN</t>
  </si>
  <si>
    <t>UNIVERSITAS MUHAMMADIYAH MALANG</t>
  </si>
  <si>
    <t>JL. RAYA TLOGOMAS NO. 246  MALANG</t>
  </si>
  <si>
    <t>0341 464318</t>
  </si>
  <si>
    <t>Rp. 3.800.000</t>
  </si>
  <si>
    <t>maskamiel@gmail.com</t>
  </si>
  <si>
    <t>SITI ULTUFIAH</t>
  </si>
  <si>
    <t>3511057007930001</t>
  </si>
  <si>
    <t>TIDAK ADA</t>
  </si>
  <si>
    <t>Tidak ada</t>
  </si>
  <si>
    <t>ultufiahsiti@gmail.com</t>
  </si>
  <si>
    <t>MUHAMMAD KAMIL</t>
  </si>
  <si>
    <t>TK ANAK SALEH</t>
  </si>
  <si>
    <t>MOJOLANGU LOWOKWARU</t>
  </si>
  <si>
    <t>3512021406120015</t>
  </si>
  <si>
    <t>3512020904170001</t>
  </si>
  <si>
    <t>AHMAD ZHAFRAN ARSYA ROBBI</t>
  </si>
  <si>
    <t>ZHAFRAN</t>
  </si>
  <si>
    <t>LAKI-LAKI</t>
  </si>
  <si>
    <t>SITUBONDO</t>
  </si>
  <si>
    <t xml:space="preserve">PERUMAHAN GRAND ARUMBA BLOK A NO 11 JL. ARUMBA 31 TUNGGULWULU LOWOKWARU MALANG </t>
  </si>
  <si>
    <t>001</t>
  </si>
  <si>
    <t>002</t>
  </si>
  <si>
    <t>TUNGGULWULUNG</t>
  </si>
  <si>
    <t>LOWOKWARU</t>
  </si>
  <si>
    <t>MILIK ORANGTUA</t>
  </si>
  <si>
    <t>1KILO</t>
  </si>
  <si>
    <t>082139414691</t>
  </si>
  <si>
    <t>O</t>
  </si>
  <si>
    <t>BAHASA INDONESIA</t>
  </si>
  <si>
    <t>SAKA RIZKY BHARATA, S.T</t>
  </si>
  <si>
    <t>3512022312860002</t>
  </si>
  <si>
    <t>12/23/0086</t>
  </si>
  <si>
    <t>08113784222</t>
  </si>
  <si>
    <t>PEGAWAI BUMN</t>
  </si>
  <si>
    <t>UPP JAWA BAGIAN TIMUR DAN BALI 3 JL. RAYA KARANGLO NO 90 MALANG</t>
  </si>
  <si>
    <t>10.000.000</t>
  </si>
  <si>
    <t>mr.bharata@gmail.com</t>
  </si>
  <si>
    <t>NURUS SA'ADAH FITRIYAH, S. Pd</t>
  </si>
  <si>
    <t>3512026604200002</t>
  </si>
  <si>
    <t>4/26/0090</t>
  </si>
  <si>
    <t>WIRAUSAHA</t>
  </si>
  <si>
    <t>PONDOK PESANTREN NURUL WAFA</t>
  </si>
  <si>
    <t xml:space="preserve">JL. PG. DEMAAS DEMUNG BESUKI AITUBONDO </t>
  </si>
  <si>
    <t>5.000.0000</t>
  </si>
  <si>
    <t>nuruz.bharata@gmail.com</t>
  </si>
  <si>
    <t>RA TUNAS MULIA</t>
  </si>
  <si>
    <t>PONDOK MUTIARA ASRI D6/12 PANDANLANDUNG</t>
  </si>
  <si>
    <t>3573022904160002</t>
  </si>
  <si>
    <t>3573022307170002</t>
  </si>
  <si>
    <t>ALI ULUL ILMI</t>
  </si>
  <si>
    <t>ALI</t>
  </si>
  <si>
    <t>JL. GUNUNG JATI KAV. SUMBER PANDAN</t>
  </si>
  <si>
    <t>05</t>
  </si>
  <si>
    <t>PANDANLANDUNG</t>
  </si>
  <si>
    <t>WAGIR</t>
  </si>
  <si>
    <t>14 KM</t>
  </si>
  <si>
    <t>089509324936</t>
  </si>
  <si>
    <t>ADA</t>
  </si>
  <si>
    <t>JAWA, INDONESIA</t>
  </si>
  <si>
    <t xml:space="preserve">SRI UTOMO </t>
  </si>
  <si>
    <t>3573020303860007</t>
  </si>
  <si>
    <t>SMA/SMK SEDERAJAT</t>
  </si>
  <si>
    <t>FREELANCE</t>
  </si>
  <si>
    <t>1.5 - 2 jt</t>
  </si>
  <si>
    <t>sriutomo333@gmail.com</t>
  </si>
  <si>
    <t>Dr. MUTIARA SARI DEWI, M. Pd.</t>
  </si>
  <si>
    <t>3517094905910002</t>
  </si>
  <si>
    <t>JOMBANG</t>
  </si>
  <si>
    <t>082247658046</t>
  </si>
  <si>
    <t>S3</t>
  </si>
  <si>
    <t>DISEN</t>
  </si>
  <si>
    <t>UNIVERSITAS NEGERI MALANG</t>
  </si>
  <si>
    <t>JL. MT HARIYONO NO 193 DINOYO, LOWOKWARU, MALANG</t>
  </si>
  <si>
    <t>0341580547</t>
  </si>
  <si>
    <t>3.5 jt</t>
  </si>
  <si>
    <t>mutiara. sari@unisma.ac.id</t>
  </si>
  <si>
    <t xml:space="preserve">TK ISLAM SABILILLAH </t>
  </si>
  <si>
    <t>JLN. JENDRAL A. YANI NO. 15, MALANG</t>
  </si>
  <si>
    <t>3573013008220006</t>
  </si>
  <si>
    <t>5171045103180002</t>
  </si>
  <si>
    <t xml:space="preserve">ALICIA CALISTA GERALDINEE PRAWORO PUTRI </t>
  </si>
  <si>
    <t xml:space="preserve">ALICIA </t>
  </si>
  <si>
    <t>DENPASAR</t>
  </si>
  <si>
    <t>JLN. PURI PALMA V NO.7 , ARAYA</t>
  </si>
  <si>
    <t>007</t>
  </si>
  <si>
    <t>PANDANWANGI</t>
  </si>
  <si>
    <t>BLIMBING</t>
  </si>
  <si>
    <t xml:space="preserve">9 KM </t>
  </si>
  <si>
    <t>081992499099</t>
  </si>
  <si>
    <t>TERRY INDRA PRAWORO PUTRA, S.Or, S. Pd</t>
  </si>
  <si>
    <t>3579030306900001</t>
  </si>
  <si>
    <t>081818100999</t>
  </si>
  <si>
    <t>WIRASWASTA</t>
  </si>
  <si>
    <t>PT. SURYA JATIM ENERGI</t>
  </si>
  <si>
    <t>JLN. HASANUDDIN NO. 1 JUNREJO, BATU</t>
  </si>
  <si>
    <t>5.000.000</t>
  </si>
  <si>
    <t>LUH ANGGI BELLYANTI, S.E, M.M</t>
  </si>
  <si>
    <t>5171037007940003</t>
  </si>
  <si>
    <t xml:space="preserve">TABANAN </t>
  </si>
  <si>
    <t>IRT</t>
  </si>
  <si>
    <t>ARAYA</t>
  </si>
  <si>
    <t>anggibellyanti12@gmail.com</t>
  </si>
  <si>
    <t>PAUD TERPADU ANAK SALEH</t>
  </si>
  <si>
    <t>JL. CANDI PANGGUNG , MALANG</t>
  </si>
  <si>
    <t>3507260604170008</t>
  </si>
  <si>
    <t>3507261702180001</t>
  </si>
  <si>
    <t>ALTHAFF BENJAMIN DZAKIANDRA SUSANTO</t>
  </si>
  <si>
    <t>BENJAMIN</t>
  </si>
  <si>
    <t>BATU</t>
  </si>
  <si>
    <t xml:space="preserve">KRAJAN </t>
  </si>
  <si>
    <t>004</t>
  </si>
  <si>
    <t>NGROTO</t>
  </si>
  <si>
    <t>PUJON</t>
  </si>
  <si>
    <t>KAB.MALANG</t>
  </si>
  <si>
    <t>4KM</t>
  </si>
  <si>
    <t>081336008300</t>
  </si>
  <si>
    <t>17 kg</t>
  </si>
  <si>
    <t>110 cm</t>
  </si>
  <si>
    <t>JAWA &amp; INDONESIA</t>
  </si>
  <si>
    <t>DONDIK SUSANTO</t>
  </si>
  <si>
    <t>3507261307900001</t>
  </si>
  <si>
    <t>KARYAWAN SWASTA</t>
  </si>
  <si>
    <t>SINGHASARI RESORT BATU</t>
  </si>
  <si>
    <t>JL.IR.SOEKARNO NO.120 , DS. BEJI , KEC.JUNREJO, KOTA BATU</t>
  </si>
  <si>
    <t>0341-513333</t>
  </si>
  <si>
    <t>Rp.8.500.000,-</t>
  </si>
  <si>
    <t>dondik.unmer@gmail.com</t>
  </si>
  <si>
    <t>UMMI MAHMUTDAH</t>
  </si>
  <si>
    <t>3579026304940001</t>
  </si>
  <si>
    <t>BATU, MALANG</t>
  </si>
  <si>
    <t>0813333194296</t>
  </si>
  <si>
    <t>meeymoedz@gmailcom</t>
  </si>
  <si>
    <t>TK PERMATA IMAN 1</t>
  </si>
  <si>
    <t>JL. BATU PERMATA NO.9</t>
  </si>
  <si>
    <t>3573050507110039</t>
  </si>
  <si>
    <t>3573056402180004</t>
  </si>
  <si>
    <t>ARETHA BILLAH NAZAFARIN</t>
  </si>
  <si>
    <t>ARETHA</t>
  </si>
  <si>
    <t>01</t>
  </si>
  <si>
    <t>09</t>
  </si>
  <si>
    <t>TLOGOMAS</t>
  </si>
  <si>
    <t>1,8KM</t>
  </si>
  <si>
    <t>082220004744</t>
  </si>
  <si>
    <t>3</t>
  </si>
  <si>
    <t>20kg</t>
  </si>
  <si>
    <t>117cm</t>
  </si>
  <si>
    <t>DENNY ARI SETYAWAN, S.kom</t>
  </si>
  <si>
    <t>3573051008870004</t>
  </si>
  <si>
    <t>O85646666744</t>
  </si>
  <si>
    <t>STAFA APPAREL</t>
  </si>
  <si>
    <t>JL. SIMPANG GAJAYANA NO. 611</t>
  </si>
  <si>
    <t>5-10 juta/bulan</t>
  </si>
  <si>
    <t>Exelaz@gmail.com</t>
  </si>
  <si>
    <t>DWI RETNO PRATIWI</t>
  </si>
  <si>
    <t>3573056402880004</t>
  </si>
  <si>
    <t>dinsniffer@gmail.com</t>
  </si>
  <si>
    <t>ANAK SALEH</t>
  </si>
  <si>
    <t>JL CANDI PANGGUNG</t>
  </si>
  <si>
    <t>3507232703170002</t>
  </si>
  <si>
    <t>3507237003180001</t>
  </si>
  <si>
    <t>ARSYILA HILDA FAUZIA</t>
  </si>
  <si>
    <t>SYILA</t>
  </si>
  <si>
    <t>JL TANJUNGSARI 65</t>
  </si>
  <si>
    <t>07</t>
  </si>
  <si>
    <t>KEPUHARJO</t>
  </si>
  <si>
    <t>4,6KM</t>
  </si>
  <si>
    <t>081217171861</t>
  </si>
  <si>
    <t>15kg</t>
  </si>
  <si>
    <t>INDONESIA DAN JAWA</t>
  </si>
  <si>
    <t>MASRUHAN, M.PdI</t>
  </si>
  <si>
    <t>3573051810740003</t>
  </si>
  <si>
    <t>085655549333</t>
  </si>
  <si>
    <t>SWASTA</t>
  </si>
  <si>
    <t>SD ANAK SALEH</t>
  </si>
  <si>
    <t>JL ARUMBA</t>
  </si>
  <si>
    <t>Apt. AYU RISKY AMALIA, S.Farm</t>
  </si>
  <si>
    <t>3507236202920006</t>
  </si>
  <si>
    <t>APOTEKER</t>
  </si>
  <si>
    <t>APOTEK BERKAH FARMA</t>
  </si>
  <si>
    <t xml:space="preserve">JL TANJUNGSARI 65 </t>
  </si>
  <si>
    <t>PAUD KARTIKA PRADANA</t>
  </si>
  <si>
    <t>JL AKORDION</t>
  </si>
  <si>
    <t>3507232709160002</t>
  </si>
  <si>
    <t>3507232609170001</t>
  </si>
  <si>
    <t>ARZAN KINZA RAVINDRA</t>
  </si>
  <si>
    <t>KINZA</t>
  </si>
  <si>
    <t xml:space="preserve">JL PERTAMANAN V </t>
  </si>
  <si>
    <t>3KM</t>
  </si>
  <si>
    <t>085231683456</t>
  </si>
  <si>
    <t>DEMAM</t>
  </si>
  <si>
    <t>--</t>
  </si>
  <si>
    <t>DEWI ANGGRAINI, S.H, M.Hum</t>
  </si>
  <si>
    <t>3507235012850006</t>
  </si>
  <si>
    <t>10-20jtan</t>
  </si>
  <si>
    <t>Anggraini101285@gmail.com</t>
  </si>
  <si>
    <t>TK PLUS ANAK SALEH</t>
  </si>
  <si>
    <t>JL CANDI PANGGUNG INDAH  NO. 1-3 MALANG</t>
  </si>
  <si>
    <t>3501042909160012</t>
  </si>
  <si>
    <t>3501040307170002</t>
  </si>
  <si>
    <t>DEVANKA DAFFI MAULANA ASYARI</t>
  </si>
  <si>
    <t>DAFFI</t>
  </si>
  <si>
    <t>PACITAN</t>
  </si>
  <si>
    <t>JL. LESTI 2/12 MALANG</t>
  </si>
  <si>
    <t>006</t>
  </si>
  <si>
    <t>BUNULREJO</t>
  </si>
  <si>
    <t>&gt;10 KM</t>
  </si>
  <si>
    <t>083848930518</t>
  </si>
  <si>
    <t>085755050010</t>
  </si>
  <si>
    <t>ALHAMDULILLAH SEHAT</t>
  </si>
  <si>
    <t>SYAHRONI HAMSYAH, S.Kom</t>
  </si>
  <si>
    <t>3573012702840004</t>
  </si>
  <si>
    <t>PPPK</t>
  </si>
  <si>
    <t>KEMENKUMHAM</t>
  </si>
  <si>
    <t>JL. H. R. RASUNA SAID NO.KAV 8 9, RT.16/RW.4, KUNINGAN, EAST KUNINGAN, JAKARTA, SOUTH JAKARTA CITY, JAKARTA 12940</t>
  </si>
  <si>
    <t>devankadaffi@gmail.com</t>
  </si>
  <si>
    <t xml:space="preserve">EVI DWI JAYANTI </t>
  </si>
  <si>
    <t>3501045105860009</t>
  </si>
  <si>
    <t xml:space="preserve">GURU </t>
  </si>
  <si>
    <t>TK PLUS ANAK SALEH MALANG</t>
  </si>
  <si>
    <t>JL. CANDI PANGGUNG INDAH NO. 1-3 MALANG</t>
  </si>
  <si>
    <t>0341489966</t>
  </si>
  <si>
    <t>1.500.000</t>
  </si>
  <si>
    <t>TK SURYA BUANA</t>
  </si>
  <si>
    <t>JL. JOYO TAMBAKSARI NO.33, MERJOSARI, KEC. LOWOKWARU, KOTA MALANG, JAWA TIMUR 65144</t>
  </si>
  <si>
    <t>3573052611180009</t>
  </si>
  <si>
    <t>3578110411160002</t>
  </si>
  <si>
    <t>DZEROUN NOVERO PUTRA</t>
  </si>
  <si>
    <t>DZEROUN</t>
  </si>
  <si>
    <t>JL.GAJAYANA 32</t>
  </si>
  <si>
    <t>04</t>
  </si>
  <si>
    <t>KETAWANGGEDE</t>
  </si>
  <si>
    <t>KONTRAK</t>
  </si>
  <si>
    <t>3,2 KM</t>
  </si>
  <si>
    <t>082140009929</t>
  </si>
  <si>
    <t>4</t>
  </si>
  <si>
    <t>17,3 kg</t>
  </si>
  <si>
    <t>117 cm</t>
  </si>
  <si>
    <t>DEMAM, BATUK, PILEK</t>
  </si>
  <si>
    <t>EKA PUTRA SULTANA</t>
  </si>
  <si>
    <t>3578112010810003</t>
  </si>
  <si>
    <t>SURABAYA</t>
  </si>
  <si>
    <t>082143845995</t>
  </si>
  <si>
    <t>Rp.5.000.000 - Rp.7.000.000</t>
  </si>
  <si>
    <t>psychopathwear5@gmail.com</t>
  </si>
  <si>
    <t>SHERLI FATMA YUZA</t>
  </si>
  <si>
    <t>1304014210920004</t>
  </si>
  <si>
    <t>BUKITTINGGI</t>
  </si>
  <si>
    <t>TK PERMATA IMAN 2</t>
  </si>
  <si>
    <t>JL. IKAN KAKAP NO. 90 TUNJUNGSEKAR MALANG</t>
  </si>
  <si>
    <t>3507231709160001</t>
  </si>
  <si>
    <t>3507231010170003</t>
  </si>
  <si>
    <t>EZEKIEL BARRAQ ALKAS</t>
  </si>
  <si>
    <t>BARRAQ</t>
  </si>
  <si>
    <t>PERUMAHAN KARANGLO INDAH BLOK N/8</t>
  </si>
  <si>
    <t>TUNJUNGTIRTO</t>
  </si>
  <si>
    <t>SINGOSARI</t>
  </si>
  <si>
    <t>5.8 KM</t>
  </si>
  <si>
    <t>085292440547</t>
  </si>
  <si>
    <t>085104715066</t>
  </si>
  <si>
    <t>Drh BUDIYAWAN</t>
  </si>
  <si>
    <t>3401060907880041</t>
  </si>
  <si>
    <t>KULONPROGO</t>
  </si>
  <si>
    <t>PT SANBE FARMA</t>
  </si>
  <si>
    <t xml:space="preserve">JL RAYA KENDALPAYAK RT 013 RW 007 KENDALPAYAK PAKISAJI MALANG
</t>
  </si>
  <si>
    <t>0341809179</t>
  </si>
  <si>
    <t>budi.skh@gmail.com</t>
  </si>
  <si>
    <t>AULIA LAILATUL M, S.M</t>
  </si>
  <si>
    <t>3507234403920002</t>
  </si>
  <si>
    <t>meskhiaulia@gmail.com</t>
  </si>
  <si>
    <t>BALIKPAPAN</t>
  </si>
  <si>
    <t>PDBK (BERKEBUTUHAN KHUSUS)</t>
  </si>
  <si>
    <t xml:space="preserve">JATIMULYO </t>
  </si>
  <si>
    <t xml:space="preserve">INDONESIA </t>
  </si>
  <si>
    <t>25.000.000</t>
  </si>
  <si>
    <t>BA RESTU 1</t>
  </si>
  <si>
    <t>JL. BANDUNG NO.7D, PENANGGUNGAN, KEC. KLOJEN, KOTA MALANG, JAWA TIMUR 65113</t>
  </si>
  <si>
    <t>3573050703220009</t>
  </si>
  <si>
    <t>3506171208170001</t>
  </si>
  <si>
    <t>KAIF ARTANABIL HARIRI</t>
  </si>
  <si>
    <t>KAIF</t>
  </si>
  <si>
    <t>LAMONGAN</t>
  </si>
  <si>
    <t>VILA BUKIT TIDAR A3-702</t>
  </si>
  <si>
    <t>MERJOSARI</t>
  </si>
  <si>
    <t>6</t>
  </si>
  <si>
    <t>085733258318</t>
  </si>
  <si>
    <t>DEMAM, GATAL</t>
  </si>
  <si>
    <t>JAWA DAN INDONESIA</t>
  </si>
  <si>
    <t>FAJAR ROHMAN HARIRI, M. Kom</t>
  </si>
  <si>
    <t>3506171505890004</t>
  </si>
  <si>
    <t>KEDIRI</t>
  </si>
  <si>
    <t>085735198646</t>
  </si>
  <si>
    <t>UIN MALIKI MALANG</t>
  </si>
  <si>
    <t>JL. GAJAYANA NO.50, DINOYO, KEC. LOWOKWARU, KOTA MALANG, JAWA TIMUR 65144</t>
  </si>
  <si>
    <t>0341 - 551354</t>
  </si>
  <si>
    <t>dosendeso@gmail.com</t>
  </si>
  <si>
    <t>TOYIBATU LAILIYA, S. Kom</t>
  </si>
  <si>
    <t>3524066204920001</t>
  </si>
  <si>
    <t>RUMAH</t>
  </si>
  <si>
    <t>VILA BUKIT TIDAR A3-702 RT/RW 13/11 MERJOSARI LOWOKWARU MALANG</t>
  </si>
  <si>
    <t>thoy2saja@gmail.com</t>
  </si>
  <si>
    <t>JL. BATU PERMATA NO.9 TLOGOMAS MALANG</t>
  </si>
  <si>
    <t>3510161710130001</t>
  </si>
  <si>
    <t>3510165208170005</t>
  </si>
  <si>
    <t>KANAYA LAYLA FERHANADYA</t>
  </si>
  <si>
    <t>KANAYA</t>
  </si>
  <si>
    <t>PERUM. PERMATA HIJAU BLOK B NO. 24 TLOGOMAS</t>
  </si>
  <si>
    <t>2 KM</t>
  </si>
  <si>
    <t>082221122452</t>
  </si>
  <si>
    <t>18,5 kg</t>
  </si>
  <si>
    <t>111,5 cm</t>
  </si>
  <si>
    <t>JARANG BATUK/PILEK</t>
  </si>
  <si>
    <t>INDONESIA/JAWA</t>
  </si>
  <si>
    <t>FERY ERIYANTO, SH</t>
  </si>
  <si>
    <t>5271012001830006</t>
  </si>
  <si>
    <t>BANYUWANGI</t>
  </si>
  <si>
    <t>082220222666</t>
  </si>
  <si>
    <t>PNS</t>
  </si>
  <si>
    <t>KPP PRATAMA TOLI-TOLI</t>
  </si>
  <si>
    <t>JL. MAGAMI NO.102 KEL.TUWELEY, KEC.BAOLAN, KAB.TOLI-TOLI, SULAWESI TENGAH 94514</t>
  </si>
  <si>
    <t>0453 23765</t>
  </si>
  <si>
    <t>25 juta</t>
  </si>
  <si>
    <t>Ferye886@gmail.com</t>
  </si>
  <si>
    <t>dr. HANUM LUKITANINGRUM</t>
  </si>
  <si>
    <t>5271016409850003</t>
  </si>
  <si>
    <t>DI RUMAH</t>
  </si>
  <si>
    <t>PERUM. PERMATA HIJAU BLOK B NO. 24, TLOGOMAS, LOWOKWARU, MALANG</t>
  </si>
  <si>
    <t xml:space="preserve">- </t>
  </si>
  <si>
    <t>Lukitaningrum@gmail.com</t>
  </si>
  <si>
    <t>TK NAHDLATUL ULAMA PACARKELING, KEJAYAN, KAB.PASURUAN</t>
  </si>
  <si>
    <t>KRAJAN RT 01 RW 02</t>
  </si>
  <si>
    <t>3514061508120016</t>
  </si>
  <si>
    <t>3514061208170001</t>
  </si>
  <si>
    <t>MUHAMMAD ABRISAM MANAF</t>
  </si>
  <si>
    <t>BIMA</t>
  </si>
  <si>
    <t>JL. KRAJANLOR NO.18 RT 007 RW 003 AMBAL-AMBIL KEJAYAN KAB. PASURUAN, 67172</t>
  </si>
  <si>
    <t>RT 007</t>
  </si>
  <si>
    <t>RW 003</t>
  </si>
  <si>
    <t>AMBAL-AMBIL</t>
  </si>
  <si>
    <t>KEJAYAN</t>
  </si>
  <si>
    <t>KAB. PASURUAN</t>
  </si>
  <si>
    <t>45 KM</t>
  </si>
  <si>
    <t>085234864611</t>
  </si>
  <si>
    <t>085336222201</t>
  </si>
  <si>
    <t>AB</t>
  </si>
  <si>
    <t>INDONESIA, JAWA, DAN MADURA</t>
  </si>
  <si>
    <t>GHONIYUR ROHMAN, S.Pd., S.Pd.SD., Gr.</t>
  </si>
  <si>
    <t>3514061401830001</t>
  </si>
  <si>
    <t>LUMAJANG</t>
  </si>
  <si>
    <t>GURU</t>
  </si>
  <si>
    <t>SD ANAK SALEH MALANG</t>
  </si>
  <si>
    <t>JL. ARUMBA NO 31</t>
  </si>
  <si>
    <t>0341-487088</t>
  </si>
  <si>
    <t>3.500.000,-</t>
  </si>
  <si>
    <t>ghoniyur@gmail.com</t>
  </si>
  <si>
    <t>RENY INDRI MARTANTI, S.E</t>
  </si>
  <si>
    <t>3514066103870002</t>
  </si>
  <si>
    <t>PASURUAN</t>
  </si>
  <si>
    <t>renie.indri@gmail.com</t>
  </si>
  <si>
    <t>TK SITI HAJAR</t>
  </si>
  <si>
    <t>JALAN. SAXOFONE NO 25 MALANG</t>
  </si>
  <si>
    <t>3515160802120011</t>
  </si>
  <si>
    <t>3515160507170003</t>
  </si>
  <si>
    <t>MUHAMMAD FAIZ DAROJAD</t>
  </si>
  <si>
    <t>FAIZ</t>
  </si>
  <si>
    <t>SIDOARJO</t>
  </si>
  <si>
    <t>PERUM SAXOFONE LAND KAV 12</t>
  </si>
  <si>
    <t>JATIMULYO</t>
  </si>
  <si>
    <t>2KM</t>
  </si>
  <si>
    <t>081374176752</t>
  </si>
  <si>
    <t>29,6 kg</t>
  </si>
  <si>
    <t>124cm</t>
  </si>
  <si>
    <t>INDONESIA RAYA</t>
  </si>
  <si>
    <t xml:space="preserve">MUH FARID DAROJAD </t>
  </si>
  <si>
    <t>3515161806770007</t>
  </si>
  <si>
    <t>SRAGEN</t>
  </si>
  <si>
    <t>081266700540</t>
  </si>
  <si>
    <t>PEGAWAI SWATA</t>
  </si>
  <si>
    <t>PT ESSITY HYGIENE AND HEALTH INDONESIA</t>
  </si>
  <si>
    <t>JL SIMPANG RANUGRATI NO 20 MALANG</t>
  </si>
  <si>
    <t>Faridpdg@yahoo.co.id</t>
  </si>
  <si>
    <t>HARMAYAN SARI</t>
  </si>
  <si>
    <t>1371106009850005</t>
  </si>
  <si>
    <t>PALEMBANG</t>
  </si>
  <si>
    <t>Harmayansari@gmail.com</t>
  </si>
  <si>
    <t>TK ANA KSALEH</t>
  </si>
  <si>
    <t>JL CANDI PANGGUNG INDAH NO. 1-3 MALANG</t>
  </si>
  <si>
    <t>3573051610230001</t>
  </si>
  <si>
    <t>3309171412170001</t>
  </si>
  <si>
    <t>FATIH</t>
  </si>
  <si>
    <t xml:space="preserve">MALANG </t>
  </si>
  <si>
    <t xml:space="preserve">PERUMAHAN PURI BUNGA BLOK B 16 </t>
  </si>
  <si>
    <t>08</t>
  </si>
  <si>
    <t xml:space="preserve">LOWOKWARU </t>
  </si>
  <si>
    <t>081311609678</t>
  </si>
  <si>
    <t>BATUK</t>
  </si>
  <si>
    <t>JUWADI</t>
  </si>
  <si>
    <t>3309172501740001</t>
  </si>
  <si>
    <t>BOYOLALI</t>
  </si>
  <si>
    <t>08139830567656</t>
  </si>
  <si>
    <t>ASN</t>
  </si>
  <si>
    <t xml:space="preserve">DEPARTMENT KEUANGAN </t>
  </si>
  <si>
    <t>8.000.000</t>
  </si>
  <si>
    <t>PUJI ASTUTIK</t>
  </si>
  <si>
    <t>3316066307850001</t>
  </si>
  <si>
    <t>BLORA</t>
  </si>
  <si>
    <t xml:space="preserve">DIRUMAH </t>
  </si>
  <si>
    <t xml:space="preserve">TK PERMATA IMAN 2 </t>
  </si>
  <si>
    <t>JL. IKAN KAKAP NO. 90 MALANG</t>
  </si>
  <si>
    <t>3573052201140009</t>
  </si>
  <si>
    <t>3573050203180001</t>
  </si>
  <si>
    <t xml:space="preserve">GHASSAN </t>
  </si>
  <si>
    <t xml:space="preserve">MUTIARA JINGGA 25 B JL AKORDION TUNGGULWULUNG LOWOKWARU MALANG </t>
  </si>
  <si>
    <t xml:space="preserve">TUNGGULWULUNG </t>
  </si>
  <si>
    <t xml:space="preserve">KOTA MALANG </t>
  </si>
  <si>
    <t>0,75</t>
  </si>
  <si>
    <t>081555620356</t>
  </si>
  <si>
    <t xml:space="preserve">DENY HERMAWAN </t>
  </si>
  <si>
    <t>3573051710810008</t>
  </si>
  <si>
    <t>081217407899</t>
  </si>
  <si>
    <t xml:space="preserve">KARYAWAN SWASTA </t>
  </si>
  <si>
    <t>PT. PERTA-SAMTAN GAS</t>
  </si>
  <si>
    <t xml:space="preserve">PT. PERTA-SAMTAN GAS. JALAN NIGATA. KOTA PRABUMULIH </t>
  </si>
  <si>
    <t>&gt;15.000.000</t>
  </si>
  <si>
    <t>dhermawan.oke@gmail.com</t>
  </si>
  <si>
    <t xml:space="preserve">TRIVIRA SULISTIANA </t>
  </si>
  <si>
    <t>3520116809800002</t>
  </si>
  <si>
    <t xml:space="preserve">MAGETAN </t>
  </si>
  <si>
    <t xml:space="preserve">IBU RUMAH TANGGA </t>
  </si>
  <si>
    <t>&gt;5000000</t>
  </si>
  <si>
    <t>trivira.sulistiana@gmail.com</t>
  </si>
  <si>
    <t>JL. CANDI PANGGUNG INDAH 1-3 MALANG</t>
  </si>
  <si>
    <t>3507232105180009</t>
  </si>
  <si>
    <t>3507232412170001</t>
  </si>
  <si>
    <t>NAFIS SYAKIR ALFATIH</t>
  </si>
  <si>
    <t>NAFIS</t>
  </si>
  <si>
    <t xml:space="preserve">PERUM DE BANNA BLOK C5-10 </t>
  </si>
  <si>
    <t>ESTIMASI 7 KM</t>
  </si>
  <si>
    <t>082333541617</t>
  </si>
  <si>
    <t>WAHYU HENDRA WASMARIKO</t>
  </si>
  <si>
    <t>3507232502890003</t>
  </si>
  <si>
    <t>082143182889</t>
  </si>
  <si>
    <t>POLRI</t>
  </si>
  <si>
    <t>POLRES MALANG</t>
  </si>
  <si>
    <t>JL. JENDRAL A. YANI NO.1 KEPANJEN KABUPATEN MALANG</t>
  </si>
  <si>
    <t>7.300.000</t>
  </si>
  <si>
    <t>wahyuhendrawasmariko1@gmail.com</t>
  </si>
  <si>
    <t>MAYASARI DWI AGUSTINA, S.E.</t>
  </si>
  <si>
    <t>3514084908880001</t>
  </si>
  <si>
    <t>BLITAR</t>
  </si>
  <si>
    <t>DINAS PENANAMAN MODAL DAN PELAYANAN TERPADU SATU PINTU KABUPATEN MALANG</t>
  </si>
  <si>
    <t>JL. TRUNOJOYO NO.4 KEDUNGPENDARINGAN KABUPATEN MALANG</t>
  </si>
  <si>
    <t>0341-396633</t>
  </si>
  <si>
    <t>12.000.000</t>
  </si>
  <si>
    <t>mayasaridwiagustina1@gmail.com</t>
  </si>
  <si>
    <t>CANDI PANGGUNG</t>
  </si>
  <si>
    <t>3573051004230004</t>
  </si>
  <si>
    <t>3571014811170004</t>
  </si>
  <si>
    <t>NAMIRA MYSHA ALMAHYRA</t>
  </si>
  <si>
    <t>NAMIRA</t>
  </si>
  <si>
    <t>GREEN ORCHID RESIDENCE, CLUSTER ESMERALDA BLOK G 65</t>
  </si>
  <si>
    <t>MOJOLANGU</t>
  </si>
  <si>
    <t xml:space="preserve">1 KM </t>
  </si>
  <si>
    <t>081332075650</t>
  </si>
  <si>
    <t>115cm</t>
  </si>
  <si>
    <t>ALHAMDULILLAH TIDAK ADA</t>
  </si>
  <si>
    <t>dr. IWAL REZA AHDI, Sp.PD</t>
  </si>
  <si>
    <t>3571012007860008</t>
  </si>
  <si>
    <t>PNS/DOKTER</t>
  </si>
  <si>
    <t>FKIK UIN MALANG</t>
  </si>
  <si>
    <t>JLN GAJAYANA NO 50</t>
  </si>
  <si>
    <t>-/+ 30 juta</t>
  </si>
  <si>
    <t>REZKIA RATNA WULANDARI, Amd.Keb,SST,MM.Kes</t>
  </si>
  <si>
    <t>3571016302860003</t>
  </si>
  <si>
    <t>085655628788</t>
  </si>
  <si>
    <t>PNS DAN USAHA BABY SPA</t>
  </si>
  <si>
    <t>KLINIK UIN DAN PREMIUM BABY SPA</t>
  </si>
  <si>
    <t>JLN GAJAYANA NO 50 KOTA MALANG</t>
  </si>
  <si>
    <t>-/+ 9 juta</t>
  </si>
  <si>
    <t>DAY CARE SEKOLAH DOLAN</t>
  </si>
  <si>
    <t>PERUMAHAN VILLA BUKIT TIDAR</t>
  </si>
  <si>
    <t>3573050311140002</t>
  </si>
  <si>
    <t>3573054303170008</t>
  </si>
  <si>
    <t>NAYAKA SYAZANA ANDRIYANTO</t>
  </si>
  <si>
    <t>ZANA</t>
  </si>
  <si>
    <t>7 Th, 4 Bln</t>
  </si>
  <si>
    <t>PERUM VILLA BUKIT TIDAR A4 - 512</t>
  </si>
  <si>
    <t>8,3</t>
  </si>
  <si>
    <t>081233917870</t>
  </si>
  <si>
    <t>DEMAM, BATUK, PILEK, DIARE</t>
  </si>
  <si>
    <t>INDONESIA, JAWA</t>
  </si>
  <si>
    <t>BENY SUGENG ANDRIYANTO</t>
  </si>
  <si>
    <t>3572021510840004</t>
  </si>
  <si>
    <t>081334737579</t>
  </si>
  <si>
    <t>JAVA TRAVELLINE</t>
  </si>
  <si>
    <t>RUKO VILLA BUKIT TIDAR BR 4</t>
  </si>
  <si>
    <t>benysandriyanto@gmail.com</t>
  </si>
  <si>
    <t>EVI DATUR ROFI'AH, S.S</t>
  </si>
  <si>
    <t>3504135310860002</t>
  </si>
  <si>
    <t>TULUNGAGUNG</t>
  </si>
  <si>
    <t>BEE HAPPY</t>
  </si>
  <si>
    <t>JL. JOYO AGUNG 2</t>
  </si>
  <si>
    <t>rofiahevid@gmail.com</t>
  </si>
  <si>
    <t>TK ISLAM KHARISMA</t>
  </si>
  <si>
    <t>TIRTASANI ROYAL RESORT BLOK G2 NO 7-10</t>
  </si>
  <si>
    <t>3507242501120001</t>
  </si>
  <si>
    <t>3507241612160002</t>
  </si>
  <si>
    <t>RAFIF RIZQULLAH ALTAMIS</t>
  </si>
  <si>
    <t>ALTA</t>
  </si>
  <si>
    <t>7 Th, 7 Bln</t>
  </si>
  <si>
    <t xml:space="preserve">JL PERUSAHAAN 20 </t>
  </si>
  <si>
    <t>4 KM</t>
  </si>
  <si>
    <t>0812-3330-5783</t>
  </si>
  <si>
    <t>08121768010</t>
  </si>
  <si>
    <t>SUYONO, ST</t>
  </si>
  <si>
    <t>3578091004700002</t>
  </si>
  <si>
    <t>GRESIK</t>
  </si>
  <si>
    <t>PENSIUNAN/WIRASWASTA</t>
  </si>
  <si>
    <t>SIMPLY FRESH LAUNDRY</t>
  </si>
  <si>
    <t>JL PERUSAHAAN 18 RT 2 RW 8  TUNJUNGTIRTO SINGOSARI  MALANG</t>
  </si>
  <si>
    <t>25 JUTA</t>
  </si>
  <si>
    <t>suyono1431@gmail.com</t>
  </si>
  <si>
    <t>FARIDA NUR LAILY SE</t>
  </si>
  <si>
    <t>3578094704700001</t>
  </si>
  <si>
    <t>TK SURYA GEMILANG</t>
  </si>
  <si>
    <t>JL. SAXOFON NO.212, JATIMULYO</t>
  </si>
  <si>
    <t>3507221008170004</t>
  </si>
  <si>
    <t>3507226609170001</t>
  </si>
  <si>
    <t>SARAH KAFKAMADINA DIPASANTA</t>
  </si>
  <si>
    <t>SARAH</t>
  </si>
  <si>
    <t>AUTISM SPECTRUM DISORDER</t>
  </si>
  <si>
    <t>PERUM. TAMAN LANDUNGSARI INDAH BLOK E-5</t>
  </si>
  <si>
    <t>LANDUNGSARI</t>
  </si>
  <si>
    <t>DAU</t>
  </si>
  <si>
    <t>3 KM</t>
  </si>
  <si>
    <t>081232033533</t>
  </si>
  <si>
    <t>ALDI KURSWIRYAWAN DIPASANTA</t>
  </si>
  <si>
    <t>3507240709860002</t>
  </si>
  <si>
    <t>081252150149</t>
  </si>
  <si>
    <t>EFISHERY</t>
  </si>
  <si>
    <t>JL. BUKIT PAKAR TIMUR IV KAV. B1, CIBURIAL, KECAMATAN CIMENYAN, BANDUNG</t>
  </si>
  <si>
    <t xml:space="preserve">MASYITHA NUR SHABRINA </t>
  </si>
  <si>
    <t>3507226909930001</t>
  </si>
  <si>
    <t>JL. SEMARANG NO 5 MALANG</t>
  </si>
  <si>
    <t xml:space="preserve"> 2.700.000</t>
  </si>
  <si>
    <t>KB TK LAB UM MALANG</t>
  </si>
  <si>
    <t>L. MAGELANG NO.2, RW.3, SUMBERSARI, KEC. LOWOKWARU, KOTA MALANG, JAWA TIMUR 65145</t>
  </si>
  <si>
    <t>3519042702170006</t>
  </si>
  <si>
    <t>3519042909170001</t>
  </si>
  <si>
    <t>SIDNAN MUQADDAM FADHLI</t>
  </si>
  <si>
    <t>SIDNAN</t>
  </si>
  <si>
    <t>KOTA MADIUN</t>
  </si>
  <si>
    <t>GARDEN RESIDENCE, BLOK EDELWEIS 30, KEPUHARJO, KARANGPLOSO, KAB. MALANG</t>
  </si>
  <si>
    <t>KEPUAHARJO</t>
  </si>
  <si>
    <t>1,5 KM</t>
  </si>
  <si>
    <t>085649600820</t>
  </si>
  <si>
    <t>085859353787</t>
  </si>
  <si>
    <t>Dr. MUHIBUDDIN FADHLI, M.Pd</t>
  </si>
  <si>
    <t>3519041305900001</t>
  </si>
  <si>
    <t>MADIUN</t>
  </si>
  <si>
    <t>DOSEN (ASN)</t>
  </si>
  <si>
    <t>JL. SEMARANG NO, 5 MALANG</t>
  </si>
  <si>
    <t>muhibuddin.fadhli.fip@um.ac.id</t>
  </si>
  <si>
    <t>PRIHMA SINTA UTAMI</t>
  </si>
  <si>
    <t>3312114104910001</t>
  </si>
  <si>
    <t>WONOGIRI</t>
  </si>
  <si>
    <t>UNIVERSITAS INSAN BUDI UTOMO MALANG</t>
  </si>
  <si>
    <t xml:space="preserve"> JL. SIMPANG ARJUNO NO.14B · </t>
  </si>
  <si>
    <t>(0341) 323214</t>
  </si>
  <si>
    <t>Prihmasinta@gmail.com</t>
  </si>
  <si>
    <t xml:space="preserve">RA ALKARIM </t>
  </si>
  <si>
    <t xml:space="preserve">LOSAWI TUNJUNGTIRTO </t>
  </si>
  <si>
    <t>3507240409170007</t>
  </si>
  <si>
    <t>3507241711170001</t>
  </si>
  <si>
    <t xml:space="preserve">ABDURRAHMAN ARRASYIID </t>
  </si>
  <si>
    <t xml:space="preserve">ARRASYIID </t>
  </si>
  <si>
    <t>PERUMAHAN BALI DUTA PROPERTI,JALAN PULAU MAS KEPUHARJO SELATAN</t>
  </si>
  <si>
    <t xml:space="preserve">KEPUHARJO </t>
  </si>
  <si>
    <t xml:space="preserve">KARANGPLOSO </t>
  </si>
  <si>
    <t>085157570082</t>
  </si>
  <si>
    <t xml:space="preserve">BAHASA INDONESIA </t>
  </si>
  <si>
    <t>ANGGA SAPUTRO WIJAYANTO, A.Md</t>
  </si>
  <si>
    <t>3507242104890001</t>
  </si>
  <si>
    <t xml:space="preserve">ISLAM </t>
  </si>
  <si>
    <t>082272727172</t>
  </si>
  <si>
    <t xml:space="preserve">PT. ECCO INDONESIA </t>
  </si>
  <si>
    <t>PT. ECCO INDONESIA, JALAN RAYA BLIGO NO. 17, BLIGO, CANDI, KEBOANANOM GEDANGAN, TENGGULUNAN JAYA, BLIGO, KEC. CANDI, KABUPATEN SIDOARJO, JAWA TIMUR 61271</t>
  </si>
  <si>
    <t>0318964555</t>
  </si>
  <si>
    <t>9jt</t>
  </si>
  <si>
    <t>anggasaputro.w@gmail.com</t>
  </si>
  <si>
    <t>RIKA ARI ANDINI</t>
  </si>
  <si>
    <t>3579036601900003</t>
  </si>
  <si>
    <t>rika.andini90@gmail.com</t>
  </si>
  <si>
    <t>ANDALUSIA KIDS</t>
  </si>
  <si>
    <t>JL. JOYO AGUNG NO.57-58, MERJOSARI, KEC. LOWOKWARU, KOTA MALANG</t>
  </si>
  <si>
    <t>3172662051</t>
  </si>
  <si>
    <t>3506051408170004</t>
  </si>
  <si>
    <t>3506051510170001</t>
  </si>
  <si>
    <t>ABYAZ ATHAYA MAHARDIKA</t>
  </si>
  <si>
    <t>ABY</t>
  </si>
  <si>
    <t>PERUMAHAN VILA BUKIT TIDAR BLOK F1-001</t>
  </si>
  <si>
    <t>KARANGBESUKI</t>
  </si>
  <si>
    <t>8</t>
  </si>
  <si>
    <t>085649775275</t>
  </si>
  <si>
    <t>082245405673</t>
  </si>
  <si>
    <t>YOGI KURNIAWAN, S.Kom., M.Kom.</t>
  </si>
  <si>
    <t>3506061808900002</t>
  </si>
  <si>
    <t>UNIVERSITAS BRAWIJAYA</t>
  </si>
  <si>
    <t>JL. VETERAN – MALANG – INDONESIA</t>
  </si>
  <si>
    <t>(0341) 575878</t>
  </si>
  <si>
    <t>yoancrayon@gmail.com</t>
  </si>
  <si>
    <t>MAMLUATUL HANI'AH, S.Kom., M.Kom.</t>
  </si>
  <si>
    <t>3506054602900001</t>
  </si>
  <si>
    <t>DOSEN PEGAWAI NEGERI SIPIL</t>
  </si>
  <si>
    <t>POLITEKNIK NEGERI MALANG</t>
  </si>
  <si>
    <t>JL. SOEKARNO HATTA NO. 9 	KEC. LOWOKWARU KOTA MALANG</t>
  </si>
  <si>
    <t>(0341) 404424 – 404425</t>
  </si>
  <si>
    <t>mamluatul.haniah@gmail.com</t>
  </si>
  <si>
    <t>JL. SAXOPONE 25 TUNGGUL WALUNG MALANG, TUNGGULWULUNG, KEC. LOWOKWARU, KOTA MALANG, JAWA TIMUR 65143</t>
  </si>
  <si>
    <t>3579011104110003</t>
  </si>
  <si>
    <t>3579015805170001</t>
  </si>
  <si>
    <t>ADEEVA AILA VARISHA</t>
  </si>
  <si>
    <t>ICHA</t>
  </si>
  <si>
    <t>PERUMAHAN DE SAXOPHONE TOWN HOUSE BLOK 3 NO. 19</t>
  </si>
  <si>
    <t>082131333187</t>
  </si>
  <si>
    <t>082144384596</t>
  </si>
  <si>
    <t>HANIF MUHAMMAD</t>
  </si>
  <si>
    <t>3579012503830004</t>
  </si>
  <si>
    <t>PT. PAMAPERSADA</t>
  </si>
  <si>
    <t>JL. RAWAGELAM 1 NO.9 KAWASAN INDUSTRI PULOGADUNG JAKARTA TIMUR</t>
  </si>
  <si>
    <t>0214602015</t>
  </si>
  <si>
    <t>Rp 13.000.000</t>
  </si>
  <si>
    <t>hanif.muhamm@gmail.com</t>
  </si>
  <si>
    <t>AMMI WIDIA LESTARI, SH</t>
  </si>
  <si>
    <t>3579034904830003</t>
  </si>
  <si>
    <t>PURBALINGGA</t>
  </si>
  <si>
    <t>MENGURUS RUMAH TANGGA</t>
  </si>
  <si>
    <t>widia.ahnaf@gmail.com</t>
  </si>
  <si>
    <t xml:space="preserve">TK GLOBAL KIDS PERMATA JINGGA </t>
  </si>
  <si>
    <t xml:space="preserve">JALAN ANGGREK VIII NO.1 PERMATA JINGGA LOWOKWARU MALANG </t>
  </si>
  <si>
    <t>3573050405150010</t>
  </si>
  <si>
    <t>3573055301180001</t>
  </si>
  <si>
    <t xml:space="preserve">ADINDA KIRANA KAMANIA </t>
  </si>
  <si>
    <t>ADINDA</t>
  </si>
  <si>
    <t>PERMATA SAXOPHONE F 10 MALANG</t>
  </si>
  <si>
    <t>081250025225</t>
  </si>
  <si>
    <t>17 KG</t>
  </si>
  <si>
    <t>110 CM</t>
  </si>
  <si>
    <t xml:space="preserve">DEMAM, BATUK, PILEK, PNUNOMIA </t>
  </si>
  <si>
    <t>DANY IRAWAN ST, MMT.</t>
  </si>
  <si>
    <t>6371032504810003</t>
  </si>
  <si>
    <t xml:space="preserve">PT WIRA BHUMI SEJATI </t>
  </si>
  <si>
    <t xml:space="preserve">JALAN GAYUNGSARI BARAT NO.9 SURABAYA </t>
  </si>
  <si>
    <t>0318289900</t>
  </si>
  <si>
    <t>23.000.000</t>
  </si>
  <si>
    <t>danyirawan81@gmail.com</t>
  </si>
  <si>
    <t xml:space="preserve">JEANE HESTI NOVIANTI, SE </t>
  </si>
  <si>
    <t>6371034504790016</t>
  </si>
  <si>
    <t xml:space="preserve">BANJARMASIN </t>
  </si>
  <si>
    <t>081254390758</t>
  </si>
  <si>
    <t xml:space="preserve">PEGAWAI BUMN </t>
  </si>
  <si>
    <t xml:space="preserve">BNI CABANG BRAWIJAYA MALANG </t>
  </si>
  <si>
    <t xml:space="preserve">JL VETERAN NO.16 KETAWANGGEDE LOWOKWARU KOTA MALANG </t>
  </si>
  <si>
    <t>0341 551517</t>
  </si>
  <si>
    <t>9.000.000</t>
  </si>
  <si>
    <t>jeanenovianti@gmail.com</t>
  </si>
  <si>
    <t>TK ROUDLOTUL HIKMAH</t>
  </si>
  <si>
    <t>JL. KEDIRI 65, CUKIR, KECAMATAN DIWEK, KABUPATEN JOMBANG, KODE POS 61471</t>
  </si>
  <si>
    <t>3517021608130001</t>
  </si>
  <si>
    <t>3517025809170001</t>
  </si>
  <si>
    <t>AISA NURDIANA FAZAALLOH</t>
  </si>
  <si>
    <t>AISA</t>
  </si>
  <si>
    <t>DSN. WANGKAL</t>
  </si>
  <si>
    <t>003</t>
  </si>
  <si>
    <t>DESA WANGKALKEPUH</t>
  </si>
  <si>
    <t>GUDO</t>
  </si>
  <si>
    <t>2,7 KM</t>
  </si>
  <si>
    <t>0321-871235</t>
  </si>
  <si>
    <t>085855922107</t>
  </si>
  <si>
    <t>25 KG</t>
  </si>
  <si>
    <t>125 CM</t>
  </si>
  <si>
    <t>JAWA / INDONESIA</t>
  </si>
  <si>
    <t>AL MUIZZUDDIN FAZAALLOH, S.E., M.E., Ph.D.</t>
  </si>
  <si>
    <t>3517020304860001</t>
  </si>
  <si>
    <t>FAKULTAS EKONOMI DAN BISNIS, UNIVERSITAS BRAWIJAYA, JL. MT. HARYONO NO.165, KEL. KETAWANGGEDE, KEC. LOWOKWARU, KOTA MALANG 65145</t>
  </si>
  <si>
    <t>0341-555000 (HUNTING), 551396</t>
  </si>
  <si>
    <t>Rp. 16.000.000,-</t>
  </si>
  <si>
    <t>fazaalloh@gmail.com</t>
  </si>
  <si>
    <t>RICA DIAN AGUSTIN</t>
  </si>
  <si>
    <t>3517024808920002</t>
  </si>
  <si>
    <t>085655513600</t>
  </si>
  <si>
    <t>ichadiana0808@gmail.com</t>
  </si>
  <si>
    <t>CANDI PANGGUNG INDAH 1-3</t>
  </si>
  <si>
    <t>3573051705180004</t>
  </si>
  <si>
    <t>3573051204170005</t>
  </si>
  <si>
    <t>AKHTAR XAQUILLE ANAS</t>
  </si>
  <si>
    <t>AXA</t>
  </si>
  <si>
    <t>GREEN ORCHID RESIDENCE, CLUSTEE GRANDE A19</t>
  </si>
  <si>
    <t>020</t>
  </si>
  <si>
    <t>3,2</t>
  </si>
  <si>
    <t>081219937015</t>
  </si>
  <si>
    <t>Dr. ANAS FIRMAN ADI M.KPd.</t>
  </si>
  <si>
    <t>3597242808770006</t>
  </si>
  <si>
    <t>081249001540</t>
  </si>
  <si>
    <t>NMC GROUP</t>
  </si>
  <si>
    <t>SIMPANG AKORDION 8B</t>
  </si>
  <si>
    <t>30.000.099</t>
  </si>
  <si>
    <t>anasfirman@gmail.com</t>
  </si>
  <si>
    <t>FRISTANIA GANDIS WIDO RETNO</t>
  </si>
  <si>
    <t>3507215502930002</t>
  </si>
  <si>
    <t>fristaniagandis@icloud.com</t>
  </si>
  <si>
    <t>JLN CANDI PANGGUNG INDAH NO 1-3</t>
  </si>
  <si>
    <t>3507242504140008</t>
  </si>
  <si>
    <t>3507240703180002</t>
  </si>
  <si>
    <t>ARVINO SHAKEEL IBRAHIM</t>
  </si>
  <si>
    <t>ARVI</t>
  </si>
  <si>
    <t>JL RAYA KARANGLO NO 4</t>
  </si>
  <si>
    <t>BANJARARUM</t>
  </si>
  <si>
    <t>081232262667</t>
  </si>
  <si>
    <t>20 kg</t>
  </si>
  <si>
    <t>ANDI PATIPPE</t>
  </si>
  <si>
    <t>081217536909</t>
  </si>
  <si>
    <t>KANTOR BALIKPAPAN</t>
  </si>
  <si>
    <t>081334652551</t>
  </si>
  <si>
    <t>20 jt</t>
  </si>
  <si>
    <t>Nino.aldinosulaiman@gmail.com</t>
  </si>
  <si>
    <t xml:space="preserve">FENY ARIANTI DEWI </t>
  </si>
  <si>
    <t>3506194707950001</t>
  </si>
  <si>
    <t>10 jt</t>
  </si>
  <si>
    <t>OMAH BOCAH ANNAAFI' MALANG</t>
  </si>
  <si>
    <t>PERUM GRIYASANTA L301, MOJOLANGU, KEC. LOWOKWARU, KOTA MALANG, JAWA TIMUR 65141</t>
  </si>
  <si>
    <t>3573050602180011</t>
  </si>
  <si>
    <t>3573054106180002</t>
  </si>
  <si>
    <t>AYRA NUR HAFIZAH</t>
  </si>
  <si>
    <t>AYRA</t>
  </si>
  <si>
    <t>JL. CENGGER AYAM DALAM II NO. 1</t>
  </si>
  <si>
    <t>014</t>
  </si>
  <si>
    <t>TULUSREJO</t>
  </si>
  <si>
    <t>3,9</t>
  </si>
  <si>
    <t>0341404745</t>
  </si>
  <si>
    <t>081217220715</t>
  </si>
  <si>
    <t xml:space="preserve">JANUAR MUTTAQIN </t>
  </si>
  <si>
    <t>3508101501880006</t>
  </si>
  <si>
    <t>082140972133</t>
  </si>
  <si>
    <t>PEGAWAIN SWASTA</t>
  </si>
  <si>
    <t>PT ELEKTRA DAYA INTEGRA</t>
  </si>
  <si>
    <t>JL. PAHLAWAN SERIBU B NO. 16, LENGKONG KARYA, KEC. SERPONG UTARA, KOTA TANGERANG SELATAN, BANTEN 15322</t>
  </si>
  <si>
    <t>januarmuttaqin@gmail.com</t>
  </si>
  <si>
    <t xml:space="preserve">DWI CHASANAWATI </t>
  </si>
  <si>
    <t>3573054311900004</t>
  </si>
  <si>
    <t>AMBON</t>
  </si>
  <si>
    <t>PPPK KEMENTERIAN PUPR</t>
  </si>
  <si>
    <t>PUSAT PENGENDALIAN LUMPUR SIDOARJO</t>
  </si>
  <si>
    <t>JL. GAYUNG KEBONSARI NO.26-28, GAYUNGAN, KEC. GAYUNGAN, SURABAYA, JAWA TIMUR 60235, INDONESIA</t>
  </si>
  <si>
    <t>3.900.000</t>
  </si>
  <si>
    <t>dwichas.0203@gmail.com</t>
  </si>
  <si>
    <t>IDA FATAWATI</t>
  </si>
  <si>
    <t>TERNATE</t>
  </si>
  <si>
    <t>08125218417</t>
  </si>
  <si>
    <t>PENSIUNAN</t>
  </si>
  <si>
    <t>JL. CENGGER AYAM DALAM II NO 1</t>
  </si>
  <si>
    <t>JL. BATU PERMATA NO.9, TLOGOMAS, KEC. LOWOKWARU, KOTA MALANG, JAWA TIMUR 65144</t>
  </si>
  <si>
    <t>3507221105180002</t>
  </si>
  <si>
    <t>3507226605180001</t>
  </si>
  <si>
    <t>DIANA ALMAHIRA NUURA RAMADHANI</t>
  </si>
  <si>
    <t>DIANA</t>
  </si>
  <si>
    <t>JL. MULYOREJO 2B</t>
  </si>
  <si>
    <t>MULYOAGUNG</t>
  </si>
  <si>
    <t>085646543044</t>
  </si>
  <si>
    <t xml:space="preserve">dr. MUHAMMAD ISA AHSANI </t>
  </si>
  <si>
    <t>3507222110930003</t>
  </si>
  <si>
    <t>DOKTER</t>
  </si>
  <si>
    <t>RSUD DR. SAIFUL ANWAR MALANG</t>
  </si>
  <si>
    <t>JL. JAKSA AGUNG SUPRAPTO NO.2, KLOJEN, KEC. KLOJEN, KOTA MALANG, JAWA TIMUR 65112</t>
  </si>
  <si>
    <t>(0341) 362101</t>
  </si>
  <si>
    <t>6 juta</t>
  </si>
  <si>
    <t>isa.ahsani@gmail.com</t>
  </si>
  <si>
    <t xml:space="preserve">dr. DINDA AMALIA EKA PUTRI </t>
  </si>
  <si>
    <t>3507185604940003</t>
  </si>
  <si>
    <t>0818882250</t>
  </si>
  <si>
    <t>RSUD DR. SAIFUL ANWAR</t>
  </si>
  <si>
    <t>dndamalia@gmail.com</t>
  </si>
  <si>
    <t>JALAN CANDI PANGGUNG</t>
  </si>
  <si>
    <t>3573051305130014</t>
  </si>
  <si>
    <t>3573050912170001</t>
  </si>
  <si>
    <t>ELFATHAN RIPKI RAMDAN</t>
  </si>
  <si>
    <t>ELFATHAN</t>
  </si>
  <si>
    <t>PERUM MUTIARA JINGGA RESIDENCE BLOK A55</t>
  </si>
  <si>
    <t>TASIKMADU</t>
  </si>
  <si>
    <t>KOTW MALANG</t>
  </si>
  <si>
    <t>081252328585</t>
  </si>
  <si>
    <t>125cm</t>
  </si>
  <si>
    <t>RIPKIANTO, ST, MT</t>
  </si>
  <si>
    <t>5101051306850001</t>
  </si>
  <si>
    <t>NEGARA</t>
  </si>
  <si>
    <t>085232224444</t>
  </si>
  <si>
    <t>KONTRUSKI JALAN</t>
  </si>
  <si>
    <t>PT AMIN JAYA GROUP</t>
  </si>
  <si>
    <t>MADURA</t>
  </si>
  <si>
    <t>meirzaprisca@gmail.com</t>
  </si>
  <si>
    <t>MEIRZA PRISCA NINGRUM SH</t>
  </si>
  <si>
    <t>3506036008890002</t>
  </si>
  <si>
    <t>PT BANK MANDIRI</t>
  </si>
  <si>
    <t xml:space="preserve">JALAN LETJEN SUTOYO NO. 18 </t>
  </si>
  <si>
    <t>0341</t>
  </si>
  <si>
    <t>Meirzsprisca@gmail.com</t>
  </si>
  <si>
    <t>JL. BATU PERMATA NO 9 TLOGOMAS KOTA MALANG</t>
  </si>
  <si>
    <t>3573051004180008</t>
  </si>
  <si>
    <t>3573055902180003</t>
  </si>
  <si>
    <t>HAFIZAH IZZATI PUTRI FADILAH</t>
  </si>
  <si>
    <t>HAFIZAH</t>
  </si>
  <si>
    <t>GRAHA MERJOSARI ASRI CLUSTER MAWAR NO 18</t>
  </si>
  <si>
    <t>008</t>
  </si>
  <si>
    <t>012</t>
  </si>
  <si>
    <t>081232544780</t>
  </si>
  <si>
    <t>MUHAMAD FADILAH, S.ST.Pel., M.Mar.Eng</t>
  </si>
  <si>
    <t>3171041505900002</t>
  </si>
  <si>
    <t>JAKARTA</t>
  </si>
  <si>
    <t>PELAYARAN</t>
  </si>
  <si>
    <t>PT BOGASARI FLOUR MILLS INDOMARITIME</t>
  </si>
  <si>
    <t>JI. RAYA CILINCING NO. 1, RT.6/RW.11, KALI BARU, KEC. CILINCING, JAKARTA UTARA</t>
  </si>
  <si>
    <t>(021) 29263800</t>
  </si>
  <si>
    <t>35.000.000</t>
  </si>
  <si>
    <t>ocean_blue94@yahoo.com</t>
  </si>
  <si>
    <t xml:space="preserve">drg. BILQIST SAVANNAH PUTRI </t>
  </si>
  <si>
    <t>3517084403950003</t>
  </si>
  <si>
    <t>DOKTER GIGI</t>
  </si>
  <si>
    <t>PRAKTEK PRIBADI</t>
  </si>
  <si>
    <t>JOYOAGUNG WHITE HOUSE 1 A27 KEL. MERJOSARI KEC. LOWOKWARU KOTA MALANG</t>
  </si>
  <si>
    <t>3.000.000</t>
  </si>
  <si>
    <t>bilqist.savannah@yahoo.com</t>
  </si>
  <si>
    <t>TK ASSALAM TLOGOMAS</t>
  </si>
  <si>
    <t>JL. BAIDURI PANDAN 1/2 TLOGOMAS KEC. LOEOKWARU KOTA MALANG</t>
  </si>
  <si>
    <t>0181986961</t>
  </si>
  <si>
    <t>3579031502180006</t>
  </si>
  <si>
    <t>3579035205180002</t>
  </si>
  <si>
    <t>HAVEZA SAREVA</t>
  </si>
  <si>
    <t>VEZA</t>
  </si>
  <si>
    <t>PERUMAHAN NADIA RESIDENCE A17 JUNREJO KOTA BATU</t>
  </si>
  <si>
    <t>DADAPREJO</t>
  </si>
  <si>
    <t>JUNREJO</t>
  </si>
  <si>
    <t>7,2 KM</t>
  </si>
  <si>
    <t>0341469048</t>
  </si>
  <si>
    <t>081327796177</t>
  </si>
  <si>
    <t>16,2</t>
  </si>
  <si>
    <t>DEMAM, PERNAH KEJANG USIA 4,5 THN 1 KALI</t>
  </si>
  <si>
    <t>INDONESIA DAN BAWEAN</t>
  </si>
  <si>
    <t>Ar. AKHMAD FATAH YASIN, IAI</t>
  </si>
  <si>
    <t>3507222210790001</t>
  </si>
  <si>
    <t>081252701789</t>
  </si>
  <si>
    <t>ARSITEK</t>
  </si>
  <si>
    <t>CV. MADRIKA</t>
  </si>
  <si>
    <t xml:space="preserve">PERUMAHAN NADIA RESIDENCE A17 RT. 004. RW. 008 DESA DADAPREJO KECAMATAN JUNREJO KOTA BATU. </t>
  </si>
  <si>
    <t>Kurang Lebih 20jt</t>
  </si>
  <si>
    <t>afys789@gmail.com</t>
  </si>
  <si>
    <t>YULINDA, S.Pd.SD</t>
  </si>
  <si>
    <t>3507225111840001</t>
  </si>
  <si>
    <t>GURU SD</t>
  </si>
  <si>
    <t>SDN PENDEM 01 KOTA BATU</t>
  </si>
  <si>
    <t>JL. DR. MOH. HATTA NO 118 KOTA BATU KODE POS 65324</t>
  </si>
  <si>
    <t>0341 463166</t>
  </si>
  <si>
    <t>Kurang lebih 3jt</t>
  </si>
  <si>
    <t>Yulilinda1111@gmail.com</t>
  </si>
  <si>
    <t>TK IQRO'</t>
  </si>
  <si>
    <t>JL. PUNCAK BOROBUDUR PERUM GRIYASHANTA BLOK G 405 - 406 KEL. MOJOLANGU KEC. LOWOKWARU KOTA MALANG</t>
  </si>
  <si>
    <t>3573051811210007</t>
  </si>
  <si>
    <t>3515182003170002</t>
  </si>
  <si>
    <t>KENZO ATHAR RIZA</t>
  </si>
  <si>
    <t>KENZO</t>
  </si>
  <si>
    <t>JL TERATAI 21 PERMATA JINGGA</t>
  </si>
  <si>
    <t>TUNGGUL WULUNG</t>
  </si>
  <si>
    <t xml:space="preserve">2,5 </t>
  </si>
  <si>
    <t>03414378643</t>
  </si>
  <si>
    <t>081231852164</t>
  </si>
  <si>
    <t>DEMAM, PILEK</t>
  </si>
  <si>
    <t>RIKA HEPIANTON, ST</t>
  </si>
  <si>
    <t>7371122210770002</t>
  </si>
  <si>
    <t>TRENGGALEK</t>
  </si>
  <si>
    <t>0811468881</t>
  </si>
  <si>
    <t>HOME</t>
  </si>
  <si>
    <t>JL TERATAI 21 PJ KEL. TUNGGUL WULUNG LOWOKWARU MALANG</t>
  </si>
  <si>
    <t>12 jt</t>
  </si>
  <si>
    <t>hepianton@gmail.com</t>
  </si>
  <si>
    <t>EKORINI MADUBUDIWATI</t>
  </si>
  <si>
    <t>JL .TERATAI 21 PJ</t>
  </si>
  <si>
    <t>Kenzosemangat1@gmail.com</t>
  </si>
  <si>
    <t xml:space="preserve">TK GLOBAL SCHOOL </t>
  </si>
  <si>
    <t>PERUMAHAN PERMATA JINGGA BLOK ANGGREK KOTA MALANG</t>
  </si>
  <si>
    <t>3573052109210018</t>
  </si>
  <si>
    <t>3504011207180001</t>
  </si>
  <si>
    <t>KHAYRU ALFAEYZA MARTASUNDJAYA</t>
  </si>
  <si>
    <t>KHAYRU</t>
  </si>
  <si>
    <t>PERUMAHAN GREEN ORCHID CLUSTER GRANDE E 07 KOTA MALANG</t>
  </si>
  <si>
    <t>08113559082</t>
  </si>
  <si>
    <t>R HADI MARTASUNDJAYA</t>
  </si>
  <si>
    <t>3272020109840042</t>
  </si>
  <si>
    <t>SUKABUMI</t>
  </si>
  <si>
    <t>082122216727</t>
  </si>
  <si>
    <t>KANTOR PELAYANAN PAJAK</t>
  </si>
  <si>
    <t>JL JAKSA AGUNG SUPRAPTO NO 29-31 KLOJEN KOTA MALANG</t>
  </si>
  <si>
    <t>0341 364270</t>
  </si>
  <si>
    <t>Rp 19.000.0000</t>
  </si>
  <si>
    <t>Martasundjaya725@gmail.com</t>
  </si>
  <si>
    <t>SANTI PUSPA RINI, SE, AK</t>
  </si>
  <si>
    <t>3504016810830001</t>
  </si>
  <si>
    <t>PT BANK MANDIRI (PERSERO) TBK</t>
  </si>
  <si>
    <t>JL RAYA TUMPANG KAB MALANG</t>
  </si>
  <si>
    <t>Rp 12.000.000</t>
  </si>
  <si>
    <t>dava_rinie@yahoo.com</t>
  </si>
  <si>
    <t>TK FIRDAUS</t>
  </si>
  <si>
    <t>DAUHAN MALANG</t>
  </si>
  <si>
    <t>3507023112130003</t>
  </si>
  <si>
    <t>3507020311170004</t>
  </si>
  <si>
    <t>M. ALFARIZI RESHWARA MUMTAZ</t>
  </si>
  <si>
    <t>ALFA</t>
  </si>
  <si>
    <t>JL. MANGGIS NO 29</t>
  </si>
  <si>
    <t>PENDEM</t>
  </si>
  <si>
    <t>10KM</t>
  </si>
  <si>
    <t>081252518009</t>
  </si>
  <si>
    <t>MUSA BAMBANG ARIWIBOWO</t>
  </si>
  <si>
    <t>3507112904870001</t>
  </si>
  <si>
    <t>081252518008</t>
  </si>
  <si>
    <t>POLSED DAU</t>
  </si>
  <si>
    <t>JLN RAYA MULYOAGUNG DAU</t>
  </si>
  <si>
    <t>8jt</t>
  </si>
  <si>
    <t>musabambangariwibowo@gmail.com</t>
  </si>
  <si>
    <t>EKA ELLYANA</t>
  </si>
  <si>
    <t>3507025610870001</t>
  </si>
  <si>
    <t>PUSKESMAS BEJI</t>
  </si>
  <si>
    <t>JL. IR SUKARNO NO 31 BEJI KOTA BATU</t>
  </si>
  <si>
    <t>7.000.000</t>
  </si>
  <si>
    <t>ekaellyanabaim@gmail.com</t>
  </si>
  <si>
    <t>3573051805220012</t>
  </si>
  <si>
    <t>3573051205180001</t>
  </si>
  <si>
    <t>MUHAMMAD ALMAN RAMADHAN</t>
  </si>
  <si>
    <t>ALMAN</t>
  </si>
  <si>
    <t>JL. CANDI MENDUT II/10</t>
  </si>
  <si>
    <t>2,5KM</t>
  </si>
  <si>
    <t>0341 494288</t>
  </si>
  <si>
    <t>081334744252</t>
  </si>
  <si>
    <t>KURNIAWAN YUDHA IRAWAN, STP</t>
  </si>
  <si>
    <t>3573052008790008</t>
  </si>
  <si>
    <t>0818537556</t>
  </si>
  <si>
    <t>kyirawan20@gmail.com</t>
  </si>
  <si>
    <t xml:space="preserve">FAJAR NUR ADIASRI </t>
  </si>
  <si>
    <t>3573056110810022</t>
  </si>
  <si>
    <t>pikipikicake@gmail.com</t>
  </si>
  <si>
    <t>JLN CANDI PANGGUNG</t>
  </si>
  <si>
    <t>3573032606150001</t>
  </si>
  <si>
    <t>3573032810170006</t>
  </si>
  <si>
    <t>MUHAMMAD FATIH AGIL GUDBAN</t>
  </si>
  <si>
    <t>PERUM GRIYASHANTA BLOK A NO 101</t>
  </si>
  <si>
    <t>2,6 KM</t>
  </si>
  <si>
    <t>081252353477</t>
  </si>
  <si>
    <t>081259668874</t>
  </si>
  <si>
    <t>AGIL GUDBAN</t>
  </si>
  <si>
    <t>KUPANG</t>
  </si>
  <si>
    <t>ISLAN</t>
  </si>
  <si>
    <t>081252353477 / 082242221287</t>
  </si>
  <si>
    <t>WIRAUSAHAWAN</t>
  </si>
  <si>
    <t>CV BERKAH</t>
  </si>
  <si>
    <t>ROTE NDAO</t>
  </si>
  <si>
    <t>&gt;10 juta</t>
  </si>
  <si>
    <t>NOOR AULIYANI</t>
  </si>
  <si>
    <t>6302064102840009</t>
  </si>
  <si>
    <t>KOTABARU</t>
  </si>
  <si>
    <t>Auliyanoor981@gmail.com</t>
  </si>
  <si>
    <t>TK AKADEMIKA AL-ARSYAD</t>
  </si>
  <si>
    <t>PERUM GRIYA PERMATA ALAM JL. PIRUS KB 8 NGIJO KARANGPLOSO MALANG</t>
  </si>
  <si>
    <t>3505213107180003</t>
  </si>
  <si>
    <t>3505211409170001</t>
  </si>
  <si>
    <t xml:space="preserve">MUHAMMAD KAYSAN ALSYAZANI </t>
  </si>
  <si>
    <t>KAI</t>
  </si>
  <si>
    <t>PERUMAHAN PERMATA REGENCY 1 BLOK 17 NO 7B</t>
  </si>
  <si>
    <t>5KM</t>
  </si>
  <si>
    <t>085334444054</t>
  </si>
  <si>
    <t>DEMAM, BATUK</t>
  </si>
  <si>
    <t xml:space="preserve">FAMBAYUN VIRGANANDHA WIHAN OKA </t>
  </si>
  <si>
    <t>3573050209910002</t>
  </si>
  <si>
    <t>081334200810</t>
  </si>
  <si>
    <t>PERUMAHAN PERMATA REGENCY 1 BLOK 17 NO 7B KELURAHAN NGIJO KECAMATAN KARANGPLOSO KABUPATEN MALANG</t>
  </si>
  <si>
    <t>Fambayunv.b@gmail.com</t>
  </si>
  <si>
    <t>RIZKI ANISA, S.E</t>
  </si>
  <si>
    <t>3505175006910001</t>
  </si>
  <si>
    <t>SHOPEE,TOKOPEDIA,TIKTOKSHOP</t>
  </si>
  <si>
    <t>PERUMAHAN PERMATA REGENCY 1 BLOK 17 NO 7B RT 02 RW 12 KELURAHAN NGIJO KECAMATAN KARANGPLOSO KABUPATEN MALANG</t>
  </si>
  <si>
    <t>ranisa1488@gmail.com</t>
  </si>
  <si>
    <t xml:space="preserve">SITI KOMARIYAH </t>
  </si>
  <si>
    <t>085648514576</t>
  </si>
  <si>
    <t>PETANI</t>
  </si>
  <si>
    <t>DS TEGALASRI RT 03 RW 01 KECAMATAN WLINGI KABUPATEN BLITAR</t>
  </si>
  <si>
    <t xml:space="preserve">TEGALASRI </t>
  </si>
  <si>
    <t>WLINGI</t>
  </si>
  <si>
    <t>RA AL MASITHOH</t>
  </si>
  <si>
    <t>JL. NOTOJOYO NO.166, KEL. TEGALGONDO, KEC. KARANGPLOSO, KAB. MALANG</t>
  </si>
  <si>
    <t>3507230809200001</t>
  </si>
  <si>
    <t>3507231801180005</t>
  </si>
  <si>
    <t>MUHAMMAD RAJA IMANULHAQ</t>
  </si>
  <si>
    <t>RAJA</t>
  </si>
  <si>
    <t>MALAMG</t>
  </si>
  <si>
    <t>JL. NOTOJOYO NO.34</t>
  </si>
  <si>
    <t>TEGALGONDO</t>
  </si>
  <si>
    <t>2,2 KM</t>
  </si>
  <si>
    <t>‪0817406677 ‬</t>
  </si>
  <si>
    <t>‪082138629383‬</t>
  </si>
  <si>
    <t>YETNO HENDRAYANTO</t>
  </si>
  <si>
    <t>3528040401780007</t>
  </si>
  <si>
    <t>PAMEKASAN</t>
  </si>
  <si>
    <t>0817406677</t>
  </si>
  <si>
    <t>PT. SAMIRA ALI WISATA</t>
  </si>
  <si>
    <t>JL. NOTOJOYO NO.34, RT 01, RW 01, KEL. TEGALGONDO, KEC. KARANGPLOSO, KAB. MALANG</t>
  </si>
  <si>
    <t>MU'AFATUN</t>
  </si>
  <si>
    <t>3507234505780003</t>
  </si>
  <si>
    <t>afaafi78@gmail.com</t>
  </si>
  <si>
    <t>JALAN CANDI PANGGUNG INDAH NO. 1-3</t>
  </si>
  <si>
    <t>3573010902170007</t>
  </si>
  <si>
    <t>3573010206170002</t>
  </si>
  <si>
    <t>MUHAMMAD ZHAFRAN AQILA DIRGANTARA</t>
  </si>
  <si>
    <t>AUTISM</t>
  </si>
  <si>
    <t>JALAN INDRAGIRI IV NO. 67 MALANG</t>
  </si>
  <si>
    <t>PURWANTORO</t>
  </si>
  <si>
    <t>7,6</t>
  </si>
  <si>
    <t>085791028992</t>
  </si>
  <si>
    <t>20 KG</t>
  </si>
  <si>
    <t>120 CM</t>
  </si>
  <si>
    <t>WISNU RYAN HADI SETYA PUTRA, S.Tr. Ak</t>
  </si>
  <si>
    <t>3573010503900002</t>
  </si>
  <si>
    <t>081238463207</t>
  </si>
  <si>
    <t>BPKP PERWAKILAN PROVINSI JAWA TIMUR</t>
  </si>
  <si>
    <t>JALAN RAYA BANDARA JUANDA NO. 38 KELURAHAN SEMAMBUNG KECAMATAN GEDANGAN KABUPATEN SIDOARJO</t>
  </si>
  <si>
    <t>(0341) 8670360</t>
  </si>
  <si>
    <t>Rp. 8.000.000,00</t>
  </si>
  <si>
    <t>wisnuryanhadi@gmail.com</t>
  </si>
  <si>
    <t>dr. AQIDATUL IZZAH</t>
  </si>
  <si>
    <t>3573016112910002</t>
  </si>
  <si>
    <t>PUSKESMAS CISADEA</t>
  </si>
  <si>
    <t>JALAN CISAEA NO. 19 KELURAHAN PURWANTORO KECAMATAN BLIMBING KOTA MALANG</t>
  </si>
  <si>
    <t>(0341) 489540</t>
  </si>
  <si>
    <t>8.000.000,00</t>
  </si>
  <si>
    <t>aqidatul21@gmail.com</t>
  </si>
  <si>
    <t>NUNUK KURNIAWATI, S.PD</t>
  </si>
  <si>
    <t>085806641148</t>
  </si>
  <si>
    <t>JALAN BATUBARA 70</t>
  </si>
  <si>
    <t>TK PERMATA IMAN I MALANG</t>
  </si>
  <si>
    <t>JL. BATU PERMATA NO. 9 MALANG</t>
  </si>
  <si>
    <t>3579031012150001</t>
  </si>
  <si>
    <t>3579031402180004</t>
  </si>
  <si>
    <t>NADAM ABIYOSO</t>
  </si>
  <si>
    <t>NADAM</t>
  </si>
  <si>
    <t>JL. TASRIP NO 9E DADAPTULIS DALAM</t>
  </si>
  <si>
    <t>5</t>
  </si>
  <si>
    <t>081334594174</t>
  </si>
  <si>
    <t>JOKO PRIANTO, SE., MT.</t>
  </si>
  <si>
    <t>3573052812750003</t>
  </si>
  <si>
    <t>TUBAN</t>
  </si>
  <si>
    <t>KONSULTAN</t>
  </si>
  <si>
    <t>LEMBAGA PENGKAJIAN DAN PENGEMBANGAN DAERAH</t>
  </si>
  <si>
    <t>JL. TASRIP NO 9E DADAPTULISDALAM, KEL. DADAPREJO, KEC. JUNREJO, KOTA BATU, JAWA TIMUR</t>
  </si>
  <si>
    <t>jokolappam@gmail.com</t>
  </si>
  <si>
    <t>WINNY PURWANTI</t>
  </si>
  <si>
    <t>3518114106800008</t>
  </si>
  <si>
    <t>0822-3292-3775</t>
  </si>
  <si>
    <t>RUMAH TANGGA</t>
  </si>
  <si>
    <t>JL. TASRIP NO 9E RT 03 RW 07 DADAPTULIS DALAM, KEL. DADAPREJO, KEC. JUNREJO, KOTA BATU, JAWA TIMUR</t>
  </si>
  <si>
    <t>TK ANAK SALEH MALANG</t>
  </si>
  <si>
    <t>3573011602150009</t>
  </si>
  <si>
    <t>3573015606180002</t>
  </si>
  <si>
    <t>NADHIRA ALMIRA AZMI</t>
  </si>
  <si>
    <t>NADHIRA</t>
  </si>
  <si>
    <t>TELUK BAYUR 182 MALANG</t>
  </si>
  <si>
    <t>082230045669</t>
  </si>
  <si>
    <t>14,9 kg</t>
  </si>
  <si>
    <t>99 cm</t>
  </si>
  <si>
    <t>drg. AKHMAD FARKHAN AZMI, M.Kes</t>
  </si>
  <si>
    <t>3573050710870002</t>
  </si>
  <si>
    <t>PT. ALFATH TEKNOLOGI KREATIF</t>
  </si>
  <si>
    <t>+62 822-4444-4689</t>
  </si>
  <si>
    <t>Rp. 10.000.000,-</t>
  </si>
  <si>
    <t>afa.farkhan@gmai.com</t>
  </si>
  <si>
    <t>NANING SUGIARTI, S.Psi</t>
  </si>
  <si>
    <t>3573015607890002</t>
  </si>
  <si>
    <t>081234646875</t>
  </si>
  <si>
    <t>nanands@ymail.com</t>
  </si>
  <si>
    <t>TK ASSALAM</t>
  </si>
  <si>
    <t>JL.BAIDURI PANDAN 1/2 MALANG</t>
  </si>
  <si>
    <t>3573041005100013</t>
  </si>
  <si>
    <t>357304460710003</t>
  </si>
  <si>
    <t>NAIRA NAZNEEN ARISANTI</t>
  </si>
  <si>
    <t>NAIRA</t>
  </si>
  <si>
    <t>VILLA BUKIT TIDAR E2-102</t>
  </si>
  <si>
    <t>KARANG BESUKI</t>
  </si>
  <si>
    <t>3,7KM</t>
  </si>
  <si>
    <t>----</t>
  </si>
  <si>
    <t>085234691599</t>
  </si>
  <si>
    <t>ARIPRIHARTA, ST.,MT.,Ph.D.</t>
  </si>
  <si>
    <t>082132580202</t>
  </si>
  <si>
    <t>JL. SEMARANG 5 MALANG</t>
  </si>
  <si>
    <t>0341-551312</t>
  </si>
  <si>
    <t>15jt</t>
  </si>
  <si>
    <t>Aripriharta @gmail.com</t>
  </si>
  <si>
    <t xml:space="preserve">MAWARTINAH </t>
  </si>
  <si>
    <t>3573045101820003</t>
  </si>
  <si>
    <t>---</t>
  </si>
  <si>
    <t>mawartina2011@gmail.com</t>
  </si>
  <si>
    <t>PAUD IT BALIKPAPAN ISLAMIC SCHOOL</t>
  </si>
  <si>
    <t>6471042912140013</t>
  </si>
  <si>
    <t>6471040401180002</t>
  </si>
  <si>
    <t>PRADHIKA FAIRUZ YAZDI</t>
  </si>
  <si>
    <t>DHIKA</t>
  </si>
  <si>
    <t>PERUMAHAN MUTIARA JINGGA RESIDENCE B21</t>
  </si>
  <si>
    <t>08115066965</t>
  </si>
  <si>
    <t>08115413898</t>
  </si>
  <si>
    <t>120 cm</t>
  </si>
  <si>
    <t>IRFAN APRIYAN YAZDI</t>
  </si>
  <si>
    <t>3275020304860034</t>
  </si>
  <si>
    <t>KOTA PALANGKARAYA</t>
  </si>
  <si>
    <t>05363221378</t>
  </si>
  <si>
    <t>15 jt</t>
  </si>
  <si>
    <t>irfan.apriyan@gmail.com</t>
  </si>
  <si>
    <t>TRISIA OKTA UTAMI, SH</t>
  </si>
  <si>
    <t>6471046110870002</t>
  </si>
  <si>
    <t>trisia.okta@gmail.com</t>
  </si>
  <si>
    <t>3573052407180011</t>
  </si>
  <si>
    <t>3573056805180003</t>
  </si>
  <si>
    <t>RAIHANA DAYU UTAMA</t>
  </si>
  <si>
    <t>HANA</t>
  </si>
  <si>
    <t>JL. SAXOFON PERUM. GRAHA JATIMULYA NO. 4 MALANG</t>
  </si>
  <si>
    <t>005</t>
  </si>
  <si>
    <t>1 KM</t>
  </si>
  <si>
    <t>0341-479292</t>
  </si>
  <si>
    <t>081259131359</t>
  </si>
  <si>
    <t>BAGUS IBNU UTAMA, SE, M.BA</t>
  </si>
  <si>
    <t>3573051607890003</t>
  </si>
  <si>
    <t>085606316056</t>
  </si>
  <si>
    <t>UNIVERSITAS GAJAYANA MALANG</t>
  </si>
  <si>
    <t>JL. MERTOJOYO BLK. L, MERJOSARI, KEC. LOWOKWARU, KOTA MALANG, JAWA TIMUR 65144</t>
  </si>
  <si>
    <t>0341-562411</t>
  </si>
  <si>
    <t>bagusutama12@gmail.com</t>
  </si>
  <si>
    <t>DEASY APRILIANY KAHAR, SE</t>
  </si>
  <si>
    <t>3573054104870006</t>
  </si>
  <si>
    <t>MAGELANG</t>
  </si>
  <si>
    <t>JL. SAXOFON PERUM. GRAHA JATIMULYA KAV 4 MALANG</t>
  </si>
  <si>
    <t>2.500.000</t>
  </si>
  <si>
    <t>deasy.apriliany@gmail.com</t>
  </si>
  <si>
    <t>JL. CANDI PANGGUNG 1-3 MALANG</t>
  </si>
  <si>
    <t>3573010504180012</t>
  </si>
  <si>
    <t>3573014503180001</t>
  </si>
  <si>
    <t>SYARIFAH HEDY ALMAHYRA PUTRI</t>
  </si>
  <si>
    <t>AIF</t>
  </si>
  <si>
    <t>PERUM ROYAL RATU RESIDENCE NO. V-9
JL. TELUK PELABUHAN RATU
KEL. ARJOSARI
KEC. BLIMBING
KOTA MALANG 65126</t>
  </si>
  <si>
    <t>ARJOSARI</t>
  </si>
  <si>
    <t>10</t>
  </si>
  <si>
    <t>081233668272</t>
  </si>
  <si>
    <t>DEDDY EKO PURNOMO ANAFIK, S.T.</t>
  </si>
  <si>
    <t>3517060505820005</t>
  </si>
  <si>
    <t>081217470077</t>
  </si>
  <si>
    <t>OASIS RELOAD</t>
  </si>
  <si>
    <t>RUKO SULFAT DE CASTILO KAV. 2-4 PANDANWANGI SULFAT MALANG</t>
  </si>
  <si>
    <t>4.000.000</t>
  </si>
  <si>
    <t>deddy.4nafik@gmail.com</t>
  </si>
  <si>
    <t>HERLINA TRI PAMBUDIATI, S.Pd, Gr.</t>
  </si>
  <si>
    <t>3517064603820001</t>
  </si>
  <si>
    <t>JL. ARUMBA NO. 31 MALANG</t>
  </si>
  <si>
    <t>herlinatripambudiati@gmail.com</t>
  </si>
  <si>
    <t>PERUM ROYAL RATU RESIDENCE NO. V-9
JL. TELUK PELABUHAN RATU RT.5 RW.2 
KEL. ARJOSARI
KEC. BLIMBING
KOTA MALANG 65126</t>
  </si>
  <si>
    <t>CANDI PANGGUNG MALANG</t>
  </si>
  <si>
    <t>3573051706150014</t>
  </si>
  <si>
    <t>3573055712170001</t>
  </si>
  <si>
    <t>TSAMARA RANIA CHAIRYZA</t>
  </si>
  <si>
    <t>RANIA</t>
  </si>
  <si>
    <t>PERMATA JINGGA BLOK TERATAI 24</t>
  </si>
  <si>
    <t>5 KM</t>
  </si>
  <si>
    <t>.</t>
  </si>
  <si>
    <t>082132677705 / 082230477778</t>
  </si>
  <si>
    <t>MAYOR LAUT ([P) KHOIRUL HADI PRAYITNO, Tr.Opsla</t>
  </si>
  <si>
    <t>3507122903860002</t>
  </si>
  <si>
    <t>082132677705</t>
  </si>
  <si>
    <t>TNI AL</t>
  </si>
  <si>
    <t>KOARMADA II</t>
  </si>
  <si>
    <t>UJUNG SURABAYA</t>
  </si>
  <si>
    <t>Dr. RYZTA SEKAR SMARADHANY</t>
  </si>
  <si>
    <t>3673055412890002</t>
  </si>
  <si>
    <t>082230477778</t>
  </si>
  <si>
    <t>ryztasekar@gmail.com</t>
  </si>
  <si>
    <t>JL. AMPEL PRATAMA V BLOK E-2/09 PERUM PESANGGRAHAN PRATAMA DESA AMPELDENTO KEC KARANGPLOSO KAB MALANG</t>
  </si>
  <si>
    <t>3507230205180006</t>
  </si>
  <si>
    <t>AGAM MAHENDRA ALFATIH</t>
  </si>
  <si>
    <t>AGAM</t>
  </si>
  <si>
    <t>DESA NGIJO</t>
  </si>
  <si>
    <t xml:space="preserve">KAB MALANG </t>
  </si>
  <si>
    <t>082232869532</t>
  </si>
  <si>
    <t>BATUK, NIHIL</t>
  </si>
  <si>
    <t>NOKA FERIKA SUBIYANTO, S.H.</t>
  </si>
  <si>
    <t>3507231411930006</t>
  </si>
  <si>
    <t>081337782422</t>
  </si>
  <si>
    <t xml:space="preserve">POLRESTA MALANG KOTA </t>
  </si>
  <si>
    <t xml:space="preserve">JL. JAKSA AGUNG SUPRAPTO NO 19, SAMAAN, KEC. KLOJEN KOTA MALANG  </t>
  </si>
  <si>
    <t>(0341) 364211</t>
  </si>
  <si>
    <t>8.000.000,-</t>
  </si>
  <si>
    <t>nokasubiyanto@gmail.com</t>
  </si>
  <si>
    <t>RATNA ARDIYANTI</t>
  </si>
  <si>
    <t>35073045909950001</t>
  </si>
  <si>
    <t xml:space="preserve">POLRI </t>
  </si>
  <si>
    <t xml:space="preserve">POLRES MALANG </t>
  </si>
  <si>
    <t xml:space="preserve">JL JENDRAL A. YANI NO. 01, ARDIREJO, KEPNJEN KAB MALANG </t>
  </si>
  <si>
    <t>6.500.000,-</t>
  </si>
  <si>
    <t>ratna.ardiyanti19@gmail.com</t>
  </si>
  <si>
    <t xml:space="preserve">ARIBUDI PANGESTI </t>
  </si>
  <si>
    <t>082245580108</t>
  </si>
  <si>
    <t xml:space="preserve">PNS </t>
  </si>
  <si>
    <t xml:space="preserve">JL S. SUPRIADI GG. PERIKANAN NO 9 RT.04/01 KEL. KEBONSARI KEC. SUKUN KOTA MALANG </t>
  </si>
  <si>
    <t xml:space="preserve">KEBONSARI </t>
  </si>
  <si>
    <t>TK LAB UM</t>
  </si>
  <si>
    <t>JALAN MAGELANG NO. 3 KOTA MALANG</t>
  </si>
  <si>
    <t>3507021907160006</t>
  </si>
  <si>
    <t>3507022603170001</t>
  </si>
  <si>
    <t>AHMAD ZULHADI AR-RASYID</t>
  </si>
  <si>
    <t>RASYID</t>
  </si>
  <si>
    <t>PONTIANAK</t>
  </si>
  <si>
    <t>PERUMAHAN LANDUNGSARI INSIDE NO. B2, JALAN TIRTOSARI</t>
  </si>
  <si>
    <t>KAB. MALANG</t>
  </si>
  <si>
    <t>082150016622</t>
  </si>
  <si>
    <t>JARANG</t>
  </si>
  <si>
    <t>Dr. ARI WIBOWO KURNIAWAN, M.Pd</t>
  </si>
  <si>
    <t>3573020307830004</t>
  </si>
  <si>
    <t>081334849633</t>
  </si>
  <si>
    <t>PNS DOSEN</t>
  </si>
  <si>
    <t>JALAN SEMARANG NO. 5 KOTA MALANG</t>
  </si>
  <si>
    <t>&gt;5 juta</t>
  </si>
  <si>
    <t>ari.wibowo.fik@um.ac.id</t>
  </si>
  <si>
    <t>WINDA ISTIANDINI, S.Pd., M.Pd</t>
  </si>
  <si>
    <t>6171014203880006</t>
  </si>
  <si>
    <t>JALAN
 SEMARANG NO. 5 KOTA MALANG</t>
  </si>
  <si>
    <t>windaistiandini23@gmail.com</t>
  </si>
  <si>
    <t>KBTK INSAN MULIA</t>
  </si>
  <si>
    <t xml:space="preserve">TIRTASANI ESTATE BLOK B1 TUNJUNGTIRTO SINGOSARI </t>
  </si>
  <si>
    <t>3507231307210003</t>
  </si>
  <si>
    <t>3508120703180001</t>
  </si>
  <si>
    <t>AL</t>
  </si>
  <si>
    <t xml:space="preserve">LUMAJANG </t>
  </si>
  <si>
    <t>TIRTASANI ROYAL RESORT PR 14/9</t>
  </si>
  <si>
    <t>NGENEP</t>
  </si>
  <si>
    <t>3,5 KM</t>
  </si>
  <si>
    <t>085600008677</t>
  </si>
  <si>
    <t>081330799387</t>
  </si>
  <si>
    <t>HAPPY OKI HARDIYANTO, SE</t>
  </si>
  <si>
    <t>3508031710870002</t>
  </si>
  <si>
    <t xml:space="preserve">BRI UNIT WENDIT </t>
  </si>
  <si>
    <t>JL. RAYA BUGIS NO.12 RT 01 RW 06 SAPTORENGGO PAKIS, MALANG</t>
  </si>
  <si>
    <t>0341 793692</t>
  </si>
  <si>
    <t>Rp 6.396.631</t>
  </si>
  <si>
    <t>Nandauta@gmail.com</t>
  </si>
  <si>
    <t>RATRI PUSPANINGTYAS, S.Pd</t>
  </si>
  <si>
    <t>3508125410870001</t>
  </si>
  <si>
    <t>ebesesysil@gmail.com</t>
  </si>
  <si>
    <t>TK PAUD SITI HAJAR</t>
  </si>
  <si>
    <t>JL. SAXOPHONE NO. 25 TUNGGULWULUNG KOTA MALANG</t>
  </si>
  <si>
    <t>3517090902150009</t>
  </si>
  <si>
    <t>3517095301180001</t>
  </si>
  <si>
    <t>ANINDITA AZZAHRA JASWINDER</t>
  </si>
  <si>
    <t>DITA</t>
  </si>
  <si>
    <t>JL. CILIWUNG AIRDAS NO. 14/28</t>
  </si>
  <si>
    <t>6 KM</t>
  </si>
  <si>
    <t>081252345179</t>
  </si>
  <si>
    <t>14kg</t>
  </si>
  <si>
    <t>106 cm</t>
  </si>
  <si>
    <t>DUTA SATRYA WIDODO, S.I.Kom.</t>
  </si>
  <si>
    <t>3273010105880003</t>
  </si>
  <si>
    <t>081252345178</t>
  </si>
  <si>
    <t>ASIAN PULP AND PAPER</t>
  </si>
  <si>
    <t>SINAR MAS LAND PLAZA JL.M.H. THAMRIN NO.51, RT.9/RW.4, GONDANGDIA, KEC. MENTENG, KOTA JAKARTA PUSAT, DAERAH KHUSUS IBUKOTA JAKARTA 10350</t>
  </si>
  <si>
    <t>Dutasatryawidodo@gmail.com</t>
  </si>
  <si>
    <t>EMIRIA CALLISTA, ST., MT</t>
  </si>
  <si>
    <t>MERAUKE</t>
  </si>
  <si>
    <t>APOTEK DUTA MEDIKA</t>
  </si>
  <si>
    <t>JL. SAXOPHONE NO.14 KOTA MALANG</t>
  </si>
  <si>
    <t>Emiriacallista@gmail.com</t>
  </si>
  <si>
    <t>3573052704120008</t>
  </si>
  <si>
    <t>3573056709170003</t>
  </si>
  <si>
    <t>ARETHA ALUNA KENDA</t>
  </si>
  <si>
    <t>TATA</t>
  </si>
  <si>
    <t>BOROBUDUR AGUNG BARAT 4 NO 6</t>
  </si>
  <si>
    <t>7 KM</t>
  </si>
  <si>
    <t>081288000163</t>
  </si>
  <si>
    <t>16.1 kg</t>
  </si>
  <si>
    <t>100 cm</t>
  </si>
  <si>
    <t>DHANI FAYUMI ASYHAR, ST</t>
  </si>
  <si>
    <t>3507102211840001</t>
  </si>
  <si>
    <t>SOROAKO</t>
  </si>
  <si>
    <t>081235007501</t>
  </si>
  <si>
    <t>PT.TIMAS SUPLINDO</t>
  </si>
  <si>
    <t>1, JL. TANAH ABANG II NO.81, RT.1/RW.4, PETOJO SEL., KECAMATAN GAMBIR, KOTA JAKARTA PUSAT, DAERAH KHUSUS IBUKOTA JAKARTA 10160</t>
  </si>
  <si>
    <t>0213522828</t>
  </si>
  <si>
    <t>27 juta</t>
  </si>
  <si>
    <t>dhani.fayumi@gmail.com</t>
  </si>
  <si>
    <t>IKE DANIA PUTRI, SH</t>
  </si>
  <si>
    <t>3573058808830019</t>
  </si>
  <si>
    <t>PEMERINTAH KOTA MALANG</t>
  </si>
  <si>
    <t>JLN. TUGU NO 1 MALANG</t>
  </si>
  <si>
    <t>5 Juta</t>
  </si>
  <si>
    <t>ikedaniaputri@gmail.com</t>
  </si>
  <si>
    <t>ANNA RACHMAWATI</t>
  </si>
  <si>
    <t>PONOROGO</t>
  </si>
  <si>
    <t>+62 812-3268-0505</t>
  </si>
  <si>
    <t>BOROBUDUR AGUNG BARAT IIB NO 3</t>
  </si>
  <si>
    <t>TK ABA 17</t>
  </si>
  <si>
    <t>JL BARENG TENGAH</t>
  </si>
  <si>
    <t>3573020512170004</t>
  </si>
  <si>
    <t>3573025610170001</t>
  </si>
  <si>
    <t>AYRA ZAHRA MALIKA SHALIHA</t>
  </si>
  <si>
    <t>RARA</t>
  </si>
  <si>
    <t xml:space="preserve">JL BARENG TENGAH VB/831 </t>
  </si>
  <si>
    <t>BARENG</t>
  </si>
  <si>
    <t>KLOJEN</t>
  </si>
  <si>
    <t>082232871147</t>
  </si>
  <si>
    <t>AGUNG ADHI PERMANA, SE</t>
  </si>
  <si>
    <t>3573020202830004</t>
  </si>
  <si>
    <t>082141899369</t>
  </si>
  <si>
    <t>indriruspitasari@gmail.com</t>
  </si>
  <si>
    <t>INDRI RUSPITASARI SP</t>
  </si>
  <si>
    <t>3507126002890003</t>
  </si>
  <si>
    <t>PT BCA TBK</t>
  </si>
  <si>
    <t>JL TERUSAN BOROBUDUR NO 1</t>
  </si>
  <si>
    <t xml:space="preserve">JL. CANDI PANGGUNG INDAH NO. 1-3, MOJOLANGU, KEC. LOWOKWARU, KOTA MALANG </t>
  </si>
  <si>
    <t>3514231611180005</t>
  </si>
  <si>
    <t>3514232906180001</t>
  </si>
  <si>
    <t>DAFIQI ZULFIKAR ALHAMIZ</t>
  </si>
  <si>
    <t>DAFIQI</t>
  </si>
  <si>
    <t>PUNCAK PERMATA SENGKALING BLOK REGENCY NOMER 73</t>
  </si>
  <si>
    <t>SUMBERSEKAR</t>
  </si>
  <si>
    <t xml:space="preserve">DAU </t>
  </si>
  <si>
    <t>10 KM</t>
  </si>
  <si>
    <t>082144718229</t>
  </si>
  <si>
    <t>19,5</t>
  </si>
  <si>
    <t>Drh. FURQON ADIMAS YUDISTIRA</t>
  </si>
  <si>
    <t>3507231911890003</t>
  </si>
  <si>
    <t>081232620886</t>
  </si>
  <si>
    <t>DOKTER HEWAN</t>
  </si>
  <si>
    <t>CV YUDISTIRA FEEDMILL</t>
  </si>
  <si>
    <t>JL. SIDOMAKMUR NO.26, SENGKALING, MULYOAGUNG, KEC. DAU, KABUPATEN MALANG,</t>
  </si>
  <si>
    <t>082233646746</t>
  </si>
  <si>
    <t>10-20jt</t>
  </si>
  <si>
    <t>drh.furqon.fay@gmail.com</t>
  </si>
  <si>
    <t>WIDYA ALIF SUHANDINI, S.Kh</t>
  </si>
  <si>
    <t>3514236512920001</t>
  </si>
  <si>
    <t>ALTA VET CLINIC</t>
  </si>
  <si>
    <t>JL. RAYA TLOGOMAS NO 5 LANNDUNGSARI MALANG</t>
  </si>
  <si>
    <t>085791390945</t>
  </si>
  <si>
    <t>1-2jt</t>
  </si>
  <si>
    <t>widyaalifsuhandini@gmail.com</t>
  </si>
  <si>
    <t>3507232511210004</t>
  </si>
  <si>
    <t>3524155806180001</t>
  </si>
  <si>
    <t>DYRA FATHIA AZKAYRA</t>
  </si>
  <si>
    <t>DYRA</t>
  </si>
  <si>
    <t>PERUM DE BANNA RESIDENCE KAV. A6 08</t>
  </si>
  <si>
    <t>085731090417</t>
  </si>
  <si>
    <t>14 kg</t>
  </si>
  <si>
    <t>98 cm</t>
  </si>
  <si>
    <t>M. ISHOMUDDIN, ST. MT.</t>
  </si>
  <si>
    <t>3524150905920002</t>
  </si>
  <si>
    <t>DOSEN LB ARSITEKTUR</t>
  </si>
  <si>
    <t>UIN MAULANA MALIK IBRAHIM MALANG</t>
  </si>
  <si>
    <t>JL. GAJAYANA 50 MALANG</t>
  </si>
  <si>
    <t>(0341)551354</t>
  </si>
  <si>
    <t>5.500.000</t>
  </si>
  <si>
    <t>mh.ishomuddin@gmail.com</t>
  </si>
  <si>
    <t>DWI RATNA PUSPITA SARI, S.Tr. Kes.</t>
  </si>
  <si>
    <t>3524156011920001</t>
  </si>
  <si>
    <t>085648156951</t>
  </si>
  <si>
    <t>dwiratnapuspita@gmail.com</t>
  </si>
  <si>
    <t>AKHTAR</t>
  </si>
  <si>
    <t>KARYAWAN</t>
  </si>
  <si>
    <t>BUMN</t>
  </si>
  <si>
    <t>YOGYAKARTA</t>
  </si>
  <si>
    <t>3jt</t>
  </si>
  <si>
    <t xml:space="preserve">GLOBAL KIDS PJ </t>
  </si>
  <si>
    <t>PERUM PERMATA JINGGA BLOK ANGGREK VIII / 1-2 MALANG</t>
  </si>
  <si>
    <t>3572032502140008</t>
  </si>
  <si>
    <t>3572032310170004</t>
  </si>
  <si>
    <t>HIDEO ALDRIC ADYARAKA SAPUTRA</t>
  </si>
  <si>
    <t>HIDEO</t>
  </si>
  <si>
    <t xml:space="preserve">PERUM SAXOFONE LAND KAV.8 </t>
  </si>
  <si>
    <t>082234016638</t>
  </si>
  <si>
    <t>18.4 kg</t>
  </si>
  <si>
    <t>112cm</t>
  </si>
  <si>
    <t>ARI KRISNA EKA SAPUTRA, S.T., M.M.</t>
  </si>
  <si>
    <t>3572031802840008</t>
  </si>
  <si>
    <t>08123368311</t>
  </si>
  <si>
    <t>PT. PEGADAIAN</t>
  </si>
  <si>
    <t>JL. PANGLIMA SUDIRMAN NO.1 GRESIK</t>
  </si>
  <si>
    <t>± 15 jt</t>
  </si>
  <si>
    <t>arrywicky@gmail.com</t>
  </si>
  <si>
    <t xml:space="preserve">FITRIYA YUNIARTI </t>
  </si>
  <si>
    <t>3572035307840003</t>
  </si>
  <si>
    <t>PERUM SAXOFONE LAND KAV.8 MALANG</t>
  </si>
  <si>
    <t xml:space="preserve">10jt </t>
  </si>
  <si>
    <t>yuni13chiu@gmail.com</t>
  </si>
  <si>
    <t>NANIK YUSWATI</t>
  </si>
  <si>
    <t>+62 858-5646-7335</t>
  </si>
  <si>
    <t xml:space="preserve">PENSIUNAN </t>
  </si>
  <si>
    <t>JL SURYAT NO.13</t>
  </si>
  <si>
    <t>GEDOG</t>
  </si>
  <si>
    <t>SANANWETAN</t>
  </si>
  <si>
    <t>KOTA BLITAR</t>
  </si>
  <si>
    <t>TK ISLAM AL GHAFFAAR</t>
  </si>
  <si>
    <t>PERUMAHAN BUMIASRI SENGKALING BLOK A, DAU, MALANG</t>
  </si>
  <si>
    <t>3507220512160006</t>
  </si>
  <si>
    <t>3507224108170002</t>
  </si>
  <si>
    <t>ISVARA FARZANA HIKARI</t>
  </si>
  <si>
    <t>FARZA</t>
  </si>
  <si>
    <t>PERUMAHAN TERRA REGENCY DAWUHAN BLOK C-8</t>
  </si>
  <si>
    <t>3,6KM</t>
  </si>
  <si>
    <t>081333245420</t>
  </si>
  <si>
    <t>18kg</t>
  </si>
  <si>
    <t>MUHAMMAD FAUZIL HAQQI, S.Kom.</t>
  </si>
  <si>
    <t>3507222711880002</t>
  </si>
  <si>
    <t>0811889937</t>
  </si>
  <si>
    <t>PEGAWAI SWASTA</t>
  </si>
  <si>
    <t>PT AKU PEDULI INDONESIA</t>
  </si>
  <si>
    <t>PERUMAHAN GRIYASHANTA BLOK M-374, MALANG</t>
  </si>
  <si>
    <t>Rp10.000.000</t>
  </si>
  <si>
    <t>me@haqqi.net</t>
  </si>
  <si>
    <t>SHAILA WIDA RAHARJA, S.AB., M.M.</t>
  </si>
  <si>
    <t>3507256511900002</t>
  </si>
  <si>
    <t>shailawida11@gmail.com</t>
  </si>
  <si>
    <t>TK ABA 5</t>
  </si>
  <si>
    <t>MARGOBASUKI</t>
  </si>
  <si>
    <t>3507222302150005</t>
  </si>
  <si>
    <t>3507222503170003</t>
  </si>
  <si>
    <t>JAVIER ATHALLA KHALFANI</t>
  </si>
  <si>
    <t>JAVIER</t>
  </si>
  <si>
    <t xml:space="preserve">JL. MARGOBASUKI GG ULIL ABSHAR </t>
  </si>
  <si>
    <t>0341-463850</t>
  </si>
  <si>
    <t>082143949707</t>
  </si>
  <si>
    <t>29 kg</t>
  </si>
  <si>
    <t>126 Cm</t>
  </si>
  <si>
    <t>SEMUANYA JARANG JARANG</t>
  </si>
  <si>
    <t>MUHAMMAD SHODIK AVIANO, SH, MH</t>
  </si>
  <si>
    <t>3573052008850004</t>
  </si>
  <si>
    <t>BAGIAN PEMERINTAH SETDA KOTA BATU</t>
  </si>
  <si>
    <t>JL. PANGLIMA SUDIRMAN 507, PESANGGRAHAN KECAMATAN BATU, KOTA BATU</t>
  </si>
  <si>
    <t>muhammad.aviano@gmail.com</t>
  </si>
  <si>
    <t>NOVITARIA PUSPITA CAROLINE, S.AB</t>
  </si>
  <si>
    <t>3507224911860001</t>
  </si>
  <si>
    <t>085230075800</t>
  </si>
  <si>
    <t>DPMPTSP KOTA BATU</t>
  </si>
  <si>
    <t>PANGLIMA SUDIRMAN 507</t>
  </si>
  <si>
    <t>caroline.soedigdo@gmail.com</t>
  </si>
  <si>
    <t>TK PKK JOGOMULYA</t>
  </si>
  <si>
    <t>DSN SUMBER MANGGIS RT 02 RW 01 DESA JOGOMULYAN KEC TIRTOYUDO KAB MALANG</t>
  </si>
  <si>
    <t>3507301108170002</t>
  </si>
  <si>
    <t>3507302408170001</t>
  </si>
  <si>
    <t>KAI ANINDITO PERTAMA</t>
  </si>
  <si>
    <t xml:space="preserve">DS JOGOMULYAN </t>
  </si>
  <si>
    <t xml:space="preserve">JOGOMULYAN </t>
  </si>
  <si>
    <t>TIRTOYUDO</t>
  </si>
  <si>
    <t>8 KM</t>
  </si>
  <si>
    <t>081333842197</t>
  </si>
  <si>
    <t>SYAHRUL GITA SYAHRONI, S.Or , S.Pd</t>
  </si>
  <si>
    <t>3507300305910001</t>
  </si>
  <si>
    <t>081233332796</t>
  </si>
  <si>
    <t xml:space="preserve">BANK RAKYAT INDONESIA </t>
  </si>
  <si>
    <t xml:space="preserve">JL PASAR BESAR NO 140 SUKOHARJO, KLOJEN KOTA MALANG </t>
  </si>
  <si>
    <t>0341 326 677</t>
  </si>
  <si>
    <t>Rp 5.000.000</t>
  </si>
  <si>
    <t>Syahroelgita@gmail.con</t>
  </si>
  <si>
    <t>OCTA RIANIS DWI PERMATA SARI, S.Ip</t>
  </si>
  <si>
    <t>3573034510900007</t>
  </si>
  <si>
    <t>BESTR GROUP</t>
  </si>
  <si>
    <t>GADUNG SARI 005/002 GADUNGSARI TIRTOYUDO KAN MALANG</t>
  </si>
  <si>
    <t>Rp 3.000.000</t>
  </si>
  <si>
    <t>Syahroelgita2@gmail.com</t>
  </si>
  <si>
    <t>JL.CANDI PANGGUNG NO 1-3</t>
  </si>
  <si>
    <t>0184315267</t>
  </si>
  <si>
    <t>3573053003150003</t>
  </si>
  <si>
    <t>3573054302180002</t>
  </si>
  <si>
    <t>KHANSA ALEA ZAHRA</t>
  </si>
  <si>
    <t>KHANSA</t>
  </si>
  <si>
    <t>JL.KERTOSARIRO NO 2</t>
  </si>
  <si>
    <t>081952111585</t>
  </si>
  <si>
    <t>90cm</t>
  </si>
  <si>
    <t>BATUK, GATAL TIDAK BERAIR (BIDURAN) KARENA ALERGI</t>
  </si>
  <si>
    <t xml:space="preserve">ERWAN PURNAWAN </t>
  </si>
  <si>
    <t>3573050605810019</t>
  </si>
  <si>
    <t>085755865587</t>
  </si>
  <si>
    <t>2.000.000</t>
  </si>
  <si>
    <t>@ronecakep.gmail.com</t>
  </si>
  <si>
    <t xml:space="preserve">UCIK SRI WAHYUNI </t>
  </si>
  <si>
    <t>3514026004870002</t>
  </si>
  <si>
    <t>081852111585</t>
  </si>
  <si>
    <t>JL.ARUMBA NO 31 MALANG</t>
  </si>
  <si>
    <t>0341 487088</t>
  </si>
  <si>
    <t>Ciklik.legenda@gmail.com</t>
  </si>
  <si>
    <t>ERWAN PURNAWAN</t>
  </si>
  <si>
    <t>085755865584</t>
  </si>
  <si>
    <t>JL.KERTOSARIRO NO.2</t>
  </si>
  <si>
    <t>JL. CANDI PANGGUNG INDAH NO.1-3 MALANG</t>
  </si>
  <si>
    <t>0153653768</t>
  </si>
  <si>
    <t>3573062806150014</t>
  </si>
  <si>
    <t>3573050410150004</t>
  </si>
  <si>
    <t>MUHAMMAD ARKANA CHAIRYZI</t>
  </si>
  <si>
    <t>ARKA</t>
  </si>
  <si>
    <t>ADD</t>
  </si>
  <si>
    <t>27 kg</t>
  </si>
  <si>
    <t>BATUK, PILEK, MIMISAN</t>
  </si>
  <si>
    <t>MABES TNI AL</t>
  </si>
  <si>
    <t>JL. CILANGKAP RAYA NO. 62, RT.3/RW.4, KEL. CILANGKAP, KEC. CIPAYUNG, JAKARTA TIMUR</t>
  </si>
  <si>
    <t>+/- 12.000.000</t>
  </si>
  <si>
    <t>Choirulhadi18670@gmail.com</t>
  </si>
  <si>
    <t>dr. RYZTA SEKAR SMARADHANY</t>
  </si>
  <si>
    <t>3573055412890002</t>
  </si>
  <si>
    <t>DR. ACHMAD SLAMET MULYANTO, SPOG</t>
  </si>
  <si>
    <t>SAMPANG</t>
  </si>
  <si>
    <t>081336032541</t>
  </si>
  <si>
    <t>PNS DOKTER OBGYN</t>
  </si>
  <si>
    <t>TK KARTIKA PRADANA</t>
  </si>
  <si>
    <t>JL.SIMPANG AKORDEON NO 2 TUNGGUL WULUNG KOTA MALANG</t>
  </si>
  <si>
    <t>3507232910180007</t>
  </si>
  <si>
    <t>3507232907170003</t>
  </si>
  <si>
    <t>MUHAMMAD SAM SULAIMAN</t>
  </si>
  <si>
    <t>SAM</t>
  </si>
  <si>
    <t>JL. SASANDO PERUM OMAH KLAKON NO B2</t>
  </si>
  <si>
    <t>039</t>
  </si>
  <si>
    <t>KETANGI</t>
  </si>
  <si>
    <t>KARANG PLOSO</t>
  </si>
  <si>
    <t>1KM</t>
  </si>
  <si>
    <t>082230102123</t>
  </si>
  <si>
    <t>25kg</t>
  </si>
  <si>
    <t xml:space="preserve">DIANA CITRA KRISNA </t>
  </si>
  <si>
    <t>3505155004920002</t>
  </si>
  <si>
    <t>20.000.000 - 30.000.000</t>
  </si>
  <si>
    <t>citra.diana81@gmail.com</t>
  </si>
  <si>
    <t>KATIYEM</t>
  </si>
  <si>
    <t>PENSIUN GURU</t>
  </si>
  <si>
    <t>KATHOLIK</t>
  </si>
  <si>
    <t>JL.ARJUNA NO 30 GANDUSARI</t>
  </si>
  <si>
    <t>GANDUSARI</t>
  </si>
  <si>
    <t>CC BSS UB</t>
  </si>
  <si>
    <t>JL. VETERAN NO.17 MALANG</t>
  </si>
  <si>
    <t>3573050202160015</t>
  </si>
  <si>
    <t>3573050304170003</t>
  </si>
  <si>
    <t>MUSTOFA RAJABAN ANANTA</t>
  </si>
  <si>
    <t>SUMBERSARI</t>
  </si>
  <si>
    <t>0341582342</t>
  </si>
  <si>
    <t>MAHARDEKA TRI ANANTA, S.Kom.,MT.,MSc</t>
  </si>
  <si>
    <t>3573050412890001</t>
  </si>
  <si>
    <t>082139801050</t>
  </si>
  <si>
    <t>FILKOM UB</t>
  </si>
  <si>
    <t>JL. VETERAN NO. 10-11 KELURAHAN KETAWANGGEDE KECAMATAN LOWOKWARU KOTA MALANG</t>
  </si>
  <si>
    <t>0341577911</t>
  </si>
  <si>
    <t>mahardekananta@gmail.com</t>
  </si>
  <si>
    <t xml:space="preserve">SURYANDARI DWI KARTIKA SIWI </t>
  </si>
  <si>
    <t>3573044808890005</t>
  </si>
  <si>
    <t>082139801060</t>
  </si>
  <si>
    <t>MANDIRI INHEALTH</t>
  </si>
  <si>
    <t>JL. LETJEN SUTOYO NO.68A MALANG</t>
  </si>
  <si>
    <t>03414387911</t>
  </si>
  <si>
    <t>7.600.000</t>
  </si>
  <si>
    <t>suryandaridksiwi@gmail.com</t>
  </si>
  <si>
    <t xml:space="preserve">TK BUNDA SITI HAJAR </t>
  </si>
  <si>
    <t>AMPEL PRATAMA V BLOK E-2 /09 KARANGPLOSO</t>
  </si>
  <si>
    <t>3573051403180005</t>
  </si>
  <si>
    <t>3573055707180001</t>
  </si>
  <si>
    <t>NALADHIPA AHSANA DZIKRA</t>
  </si>
  <si>
    <t>NALA</t>
  </si>
  <si>
    <t xml:space="preserve">JL. BOLA VOLLY NO.16 </t>
  </si>
  <si>
    <t>081249416466</t>
  </si>
  <si>
    <t>14 KG</t>
  </si>
  <si>
    <t>BAHASA INDONESIA &amp; BAHASA JAWA</t>
  </si>
  <si>
    <t>NUR MUHAMMAD AQUANA AKHSANUL HUDA, S.ST</t>
  </si>
  <si>
    <t>3508012211910002</t>
  </si>
  <si>
    <t>085204891782</t>
  </si>
  <si>
    <t>PT PP (PERSERO) TBK</t>
  </si>
  <si>
    <t>20.000.000</t>
  </si>
  <si>
    <t>aquasanul@gmail.com</t>
  </si>
  <si>
    <t>OKTAVIA GALI PERMATASARI, S.Tr.Keb</t>
  </si>
  <si>
    <t>3573055810920005</t>
  </si>
  <si>
    <t>BIDAN</t>
  </si>
  <si>
    <t xml:space="preserve">SMK KESEHATAN MADANI INDONESIA </t>
  </si>
  <si>
    <t>JL. RAYA DIPONEGORO NO. 128A NGAMBON GIRIMOYO KARANGPLOSO</t>
  </si>
  <si>
    <t>0341 464019</t>
  </si>
  <si>
    <t>galipermatsari@gmail.com</t>
  </si>
  <si>
    <t>3573051001180007</t>
  </si>
  <si>
    <t>3573054306180001</t>
  </si>
  <si>
    <t xml:space="preserve">NAYLA </t>
  </si>
  <si>
    <t>JL. MT. HARYONO 13/414</t>
  </si>
  <si>
    <t>DINOYO</t>
  </si>
  <si>
    <t>0341553743</t>
  </si>
  <si>
    <t>081333336180</t>
  </si>
  <si>
    <t>RONGGO ANANDYO KAHAR, SE, MPA-PNP</t>
  </si>
  <si>
    <t>3573051210900002</t>
  </si>
  <si>
    <t>081333336280</t>
  </si>
  <si>
    <t>BPKP PUSAT</t>
  </si>
  <si>
    <t>JL. PRAMUKA NO. 33, RT 10 RW 08, UTAN KAYU UTARA, KEC. MATRAMAN, JAKARTA TIMUR, 13120</t>
  </si>
  <si>
    <t>dr. SITI NURRAKHMA ARUM KURNIA</t>
  </si>
  <si>
    <t>3573055303900007</t>
  </si>
  <si>
    <t>PUSKESMAS MULYOREJO KOTA MALANG</t>
  </si>
  <si>
    <t>dilarakhmakurnia@gmail.com</t>
  </si>
  <si>
    <t>SITI HAJAR</t>
  </si>
  <si>
    <t>JL. SAXOPON</t>
  </si>
  <si>
    <t>3573052210210012</t>
  </si>
  <si>
    <t>1671090806170004</t>
  </si>
  <si>
    <t xml:space="preserve">MAXIME </t>
  </si>
  <si>
    <t xml:space="preserve">PALEMBANG </t>
  </si>
  <si>
    <t xml:space="preserve">THE 9 RESIDENCE  KAV.31 JL. ARUMBA </t>
  </si>
  <si>
    <t xml:space="preserve">TUNGGUL WULUNG </t>
  </si>
  <si>
    <t>KRG LEBIH 1 KM</t>
  </si>
  <si>
    <t>081399847000</t>
  </si>
  <si>
    <t>112 cm</t>
  </si>
  <si>
    <t>REZA BRAM ADIGUNA, S.sos</t>
  </si>
  <si>
    <t>1671090708810005</t>
  </si>
  <si>
    <t xml:space="preserve">MOJOKERTO </t>
  </si>
  <si>
    <t>082121613300</t>
  </si>
  <si>
    <t xml:space="preserve">HOTEL GRAND INNA SAMUDERA BEACH </t>
  </si>
  <si>
    <t>JL. RAYA CISOLOK - PELABUHANRATU, CIKAKAK, KEC. PELABUHANRATU, KABUPATEN SUKABUMI, JAWA BARAT 43365</t>
  </si>
  <si>
    <t>0266 - 431200</t>
  </si>
  <si>
    <t>razorstix@gmail.com</t>
  </si>
  <si>
    <t>UMMI KALSUM, S.kom</t>
  </si>
  <si>
    <t>1671094310810003</t>
  </si>
  <si>
    <t>THE 9 RESIDENCE KAV 31</t>
  </si>
  <si>
    <t>Dari suami</t>
  </si>
  <si>
    <t>mimieskyla@gmail.com</t>
  </si>
  <si>
    <t>HARUN PEBRUADI, H.DRS</t>
  </si>
  <si>
    <t xml:space="preserve">SURABAYA </t>
  </si>
  <si>
    <t>08123325790</t>
  </si>
  <si>
    <t>PENSIUNAN PNS</t>
  </si>
  <si>
    <t>JL. NANGKA 37</t>
  </si>
  <si>
    <t>WATES</t>
  </si>
  <si>
    <t>MAGERSARI</t>
  </si>
  <si>
    <t>3573051204120003</t>
  </si>
  <si>
    <t>3573054710170003</t>
  </si>
  <si>
    <t>REVA NIRWASITA PUTRI</t>
  </si>
  <si>
    <t>REVA</t>
  </si>
  <si>
    <t>BANJARMASIN</t>
  </si>
  <si>
    <t>GRIYA SHANTA J427 MALANG</t>
  </si>
  <si>
    <t>019</t>
  </si>
  <si>
    <t>082144165334</t>
  </si>
  <si>
    <t>KEDUA</t>
  </si>
  <si>
    <t>INDONESIA - JAWA - BANJAR</t>
  </si>
  <si>
    <t>GESANG YOGA MADYASTO, S.H., M.H.</t>
  </si>
  <si>
    <t>3577031104860002</t>
  </si>
  <si>
    <t>081350519052</t>
  </si>
  <si>
    <t>HAKIM</t>
  </si>
  <si>
    <t>PENGADILAN NEGERI KEPANJEN</t>
  </si>
  <si>
    <t xml:space="preserve">JL. PANJI NO. 205 </t>
  </si>
  <si>
    <t>0341 394123</t>
  </si>
  <si>
    <t>16.000.000</t>
  </si>
  <si>
    <t>gesang.yoga11@gmail.com</t>
  </si>
  <si>
    <t>NURUL MA'RIFAH, S.H., M.Kn</t>
  </si>
  <si>
    <t>3573056509890011</t>
  </si>
  <si>
    <t>PENGADILAN NEGERI MALANG</t>
  </si>
  <si>
    <t xml:space="preserve">JL. A. YANI NO. 198 </t>
  </si>
  <si>
    <t>0341 495171</t>
  </si>
  <si>
    <t>7.800.000</t>
  </si>
  <si>
    <t>nurul.astro4@gmail.com</t>
  </si>
  <si>
    <t>PERMATA IMAN 1</t>
  </si>
  <si>
    <t>JL BATU PERMATA - TLOGOMAS</t>
  </si>
  <si>
    <t>3507221109170010</t>
  </si>
  <si>
    <t>3507221011170001</t>
  </si>
  <si>
    <t>RIDDARI ALSAKI GANISENA</t>
  </si>
  <si>
    <t>RIDDAR</t>
  </si>
  <si>
    <t>JL DELIMA N0.6 - DAU</t>
  </si>
  <si>
    <t>08563611575</t>
  </si>
  <si>
    <t>VIRA SETYA PRAYOGO, S.Psi, MBA</t>
  </si>
  <si>
    <t>3507222007890001</t>
  </si>
  <si>
    <t>RS UNIVERSITAS BRAWIJAYA</t>
  </si>
  <si>
    <t>JL. SUKARNO HATTA , LOWOKWARU MALANG</t>
  </si>
  <si>
    <t>0341403000</t>
  </si>
  <si>
    <t>virasetya1989@gmail.com</t>
  </si>
  <si>
    <t>WINDI WIDYANTI, S.Gz</t>
  </si>
  <si>
    <t>5207025003890001</t>
  </si>
  <si>
    <t>TALIWANG - KAB. SUMBAWA BARAT</t>
  </si>
  <si>
    <t>0852144518475</t>
  </si>
  <si>
    <t>JL. SUKARNO HATTA - MALANG</t>
  </si>
  <si>
    <t>(0341) 403000</t>
  </si>
  <si>
    <t>7.500.000</t>
  </si>
  <si>
    <t>windi10389@gmail.com</t>
  </si>
  <si>
    <t>DRA. MINING WASTU SARI</t>
  </si>
  <si>
    <t>08123314648</t>
  </si>
  <si>
    <t>JL DELIMA NO. 6 DAU</t>
  </si>
  <si>
    <t>JALAN IKAN KAKAP NO. 90 MALANG</t>
  </si>
  <si>
    <t>3573050102130001</t>
  </si>
  <si>
    <t>3573055201180005</t>
  </si>
  <si>
    <t>SALMA ADREENA PRIMARIAYU</t>
  </si>
  <si>
    <t>SALMA</t>
  </si>
  <si>
    <t>JALAN SIMPANG PIRANHA ATAS NO. 10</t>
  </si>
  <si>
    <t>TUNJUNGSEKAR</t>
  </si>
  <si>
    <t>3,8</t>
  </si>
  <si>
    <t>081333620193</t>
  </si>
  <si>
    <t>15 kg</t>
  </si>
  <si>
    <t>BAHASA INDONESIA DAN BAHASA JAWA</t>
  </si>
  <si>
    <t>PRIMA SINGGIH ARISONA, S. ST</t>
  </si>
  <si>
    <t>3573051312860005</t>
  </si>
  <si>
    <t>082132622007</t>
  </si>
  <si>
    <t>KONSTRUKSI</t>
  </si>
  <si>
    <t>JALAN SIMPANG PIRANHA ATAS NO. 10 RT. 06 RW.02 KELURAHAN TUNJUNGSEKAR KECAMATAN LOWOKWARU KOTA MALANG 65142</t>
  </si>
  <si>
    <t>Kurang lebih Rp 10.000.000,-</t>
  </si>
  <si>
    <t>VILA KARYAWATI, S. Pd</t>
  </si>
  <si>
    <t>3503126304870002</t>
  </si>
  <si>
    <t>Kurang lebih Rp 3.000.000,-</t>
  </si>
  <si>
    <t>vilakaryawati123@gmail.com</t>
  </si>
  <si>
    <t>TK ANAK SOLEH</t>
  </si>
  <si>
    <t>MOJOLANGU, KEC. LOWOKWARU, KOTA MALANG, JAWA TIMUR 65143</t>
  </si>
  <si>
    <t>3573052205180005</t>
  </si>
  <si>
    <t>3573057003180003</t>
  </si>
  <si>
    <t>SHAKIRA PUTRI PRADHANA</t>
  </si>
  <si>
    <t>SHASA</t>
  </si>
  <si>
    <t>GRIYA SHANTA INSIDE BLOK H-6</t>
  </si>
  <si>
    <t>015</t>
  </si>
  <si>
    <t>500M</t>
  </si>
  <si>
    <t>081230301990</t>
  </si>
  <si>
    <t>ADITYA BAGUS PRADHANA, S.Gz RD</t>
  </si>
  <si>
    <t>3507242412900002</t>
  </si>
  <si>
    <t>BANK RAKYAT INDONESIA</t>
  </si>
  <si>
    <t>JL LAKSAMANA MARTADINATA NO 8 MALANG</t>
  </si>
  <si>
    <t>aditya.baghus@gmail.com</t>
  </si>
  <si>
    <t xml:space="preserve">SHERY FERLITA PUTRI </t>
  </si>
  <si>
    <t>3507244907910002</t>
  </si>
  <si>
    <t>081230301991</t>
  </si>
  <si>
    <t>BANK RAKYAT INDONESIA TBK</t>
  </si>
  <si>
    <t>JL RAYA PANGLIMASUDIRMAN PASURUAN</t>
  </si>
  <si>
    <t>shery.ferlita@gmail.com</t>
  </si>
  <si>
    <t>DRA. SRI RAHAJOE,  MSI., MPD</t>
  </si>
  <si>
    <t>082230467989</t>
  </si>
  <si>
    <t>GRIYA SHANTA INSIDE HH6</t>
  </si>
  <si>
    <t>3573052812220002</t>
  </si>
  <si>
    <t>35072216121700001</t>
  </si>
  <si>
    <t>ZAFRAN LATIF MAULANA</t>
  </si>
  <si>
    <t>ZAFRAN</t>
  </si>
  <si>
    <t>JALAN SOEKARNO HATTA INDAH IV NO.7</t>
  </si>
  <si>
    <t>085235917111</t>
  </si>
  <si>
    <t>dr. MIRZA ZAKA PRATAMA, SpPD M.Biomed</t>
  </si>
  <si>
    <t>3573050408900003</t>
  </si>
  <si>
    <t>+62 812-3354-9377</t>
  </si>
  <si>
    <t>JALAN JAKSA AGUNG SUPRAPTO NO 2 MALANG</t>
  </si>
  <si>
    <t>mirzazaka.pratama@gmail.com</t>
  </si>
  <si>
    <t>dr. TITA LUTHFIA SARI, M.Biomed</t>
  </si>
  <si>
    <t>3518046001900003</t>
  </si>
  <si>
    <t>NGANJUK</t>
  </si>
  <si>
    <t>0852-3591-7111</t>
  </si>
  <si>
    <t>RSUD DR SAIFUL ANWAR MALANG</t>
  </si>
  <si>
    <t>JALAN JAKSA AGUNG SOEPRAPTO NO.2 MALANG</t>
  </si>
  <si>
    <t>dr.tita.luthfia@gmail.com</t>
  </si>
  <si>
    <t>KB TK PERMATA IMAN 2</t>
  </si>
  <si>
    <t>JL. IKAN KAKAP N0.90 TUNJUNGSEKAR, MALANG</t>
  </si>
  <si>
    <t>3507111102190001</t>
  </si>
  <si>
    <t>3507115509180002</t>
  </si>
  <si>
    <t>ZIVANKA QALESYA ALFATIH</t>
  </si>
  <si>
    <t>VANKA</t>
  </si>
  <si>
    <t>PURI FIRDAUS BLOK G-6, PENDEM, JUNREJO, KOTA BATU</t>
  </si>
  <si>
    <t>4,3 KM</t>
  </si>
  <si>
    <t>081226811882</t>
  </si>
  <si>
    <t>17,5</t>
  </si>
  <si>
    <t xml:space="preserve">ANANG YUDI PRASETYO </t>
  </si>
  <si>
    <t>3505211706940001</t>
  </si>
  <si>
    <t>+62 812-5866-7711</t>
  </si>
  <si>
    <t>PT. HILLCONJAYA SAKTI</t>
  </si>
  <si>
    <t>TAMAN MODERN BLOK R2 NO.18 CAKUNG, JAKARTA TIMUR 13960 - INDONESIA</t>
  </si>
  <si>
    <t>Rp. 10.000.000</t>
  </si>
  <si>
    <t>experiago.anang@gmail.com</t>
  </si>
  <si>
    <t>HILDA EKA PUSPITA SARI, S.T</t>
  </si>
  <si>
    <t>3507115005950001</t>
  </si>
  <si>
    <t>hildaekapuspitasari@gmail.com</t>
  </si>
  <si>
    <t>TK NOOR FADJAR</t>
  </si>
  <si>
    <t>JL. PISANG KIPAS</t>
  </si>
  <si>
    <t>3573051610130004</t>
  </si>
  <si>
    <t>3573052802180001</t>
  </si>
  <si>
    <t>ABQARY RUNAKO ARSENIO ROMADHONI</t>
  </si>
  <si>
    <t>ABQA</t>
  </si>
  <si>
    <t xml:space="preserve">JL. REMUJUNG 30 F </t>
  </si>
  <si>
    <t>KURANG LEBIH 3 KM</t>
  </si>
  <si>
    <t>081333385553</t>
  </si>
  <si>
    <t>CHOIRUL ROMADHONI, ST</t>
  </si>
  <si>
    <t>3573012806830003</t>
  </si>
  <si>
    <t>082132293131</t>
  </si>
  <si>
    <t>PT. TCM</t>
  </si>
  <si>
    <t>GEDUNG MENARA HIJAU LT. 7 RUANG 709. JL. LETJEN MT HARYONO KAV. 33 RT.3/RW 2 CIKOKO. KEC. PANCORAN. JAKSE. 12770</t>
  </si>
  <si>
    <t>0217900945</t>
  </si>
  <si>
    <t>9.5 jt</t>
  </si>
  <si>
    <t>dhoni.101@gmail.com</t>
  </si>
  <si>
    <t>RIRIS RACHMAYATI, ST</t>
  </si>
  <si>
    <t>3573054708840001</t>
  </si>
  <si>
    <t>skripe@yahoo.com</t>
  </si>
  <si>
    <t>JL. IKAN KAKAP 90 TUNJUNGSEKAR KOTA MALANG</t>
  </si>
  <si>
    <t>3573053008190009</t>
  </si>
  <si>
    <t>3521091706170002</t>
  </si>
  <si>
    <t>ADEDIIVO RAMADHANA NANDADHIVA</t>
  </si>
  <si>
    <t>DIIVO</t>
  </si>
  <si>
    <t>PATRALAND PLACE BLOK C.3-8</t>
  </si>
  <si>
    <t>2.5 KM</t>
  </si>
  <si>
    <t>082234637204</t>
  </si>
  <si>
    <t>114 cm</t>
  </si>
  <si>
    <t>BAHASA JAWA &amp; BAHASA INDONESIA</t>
  </si>
  <si>
    <t>ADHI THRISTYA DHINAR, S.Pi (ALM)</t>
  </si>
  <si>
    <t>IVARILLY YUNALINDA, S.Pi</t>
  </si>
  <si>
    <t>3572034106870001</t>
  </si>
  <si>
    <t>BANK WOORI SAUDARA KCP KEPANJEN</t>
  </si>
  <si>
    <t>JL. KAWI 22 KEL. CEPOKOMULYO, KEC. KEPANJEN, KAB. MALANG</t>
  </si>
  <si>
    <t>ivarilly@gmail.com</t>
  </si>
  <si>
    <t>SEKOLAH PILAR INDONESIA</t>
  </si>
  <si>
    <t>JL DEWA NO. 9, CIANGSANA, GUNUNG PUTRI, BOGOR, JAWA BARAT</t>
  </si>
  <si>
    <t>3276050602140018</t>
  </si>
  <si>
    <t>3276054412170001</t>
  </si>
  <si>
    <t>ADREENA SHAKILA MAULIDINA ARIFIN</t>
  </si>
  <si>
    <t>ADREENA</t>
  </si>
  <si>
    <t>DEPOK</t>
  </si>
  <si>
    <t>JL. PALEM 1 NO. 12 TAMAN DUTA</t>
  </si>
  <si>
    <t>CISALAK</t>
  </si>
  <si>
    <t>SUKMAJAYA</t>
  </si>
  <si>
    <t>AHMAD RIFA'I ARIFIN, ST., MM</t>
  </si>
  <si>
    <t>3573050402890007</t>
  </si>
  <si>
    <t>SHARA NUR FITRIA, SH</t>
  </si>
  <si>
    <t>3276056803930006</t>
  </si>
  <si>
    <t>BOGOR</t>
  </si>
  <si>
    <t>081381477942</t>
  </si>
  <si>
    <t>TK SITI HAJAR KARANGPLOSO</t>
  </si>
  <si>
    <t>JL. AMPEL PRATAMA V BLOK E-2/09 PERUM. PESANGGRAHAN PRATAMA, AMPELDENTO, KARANGPLOSO</t>
  </si>
  <si>
    <t>3579033005170002</t>
  </si>
  <si>
    <t>3579035308170001</t>
  </si>
  <si>
    <t>AMEERA LOVIA KINARIAN</t>
  </si>
  <si>
    <t>KINAR</t>
  </si>
  <si>
    <t>JL. LAPANGAN BANGKIT KAV. 11 KARANGPLOSO</t>
  </si>
  <si>
    <t>GIRIMOYO</t>
  </si>
  <si>
    <t>082333740200</t>
  </si>
  <si>
    <t>085334417999</t>
  </si>
  <si>
    <t>23 Kg</t>
  </si>
  <si>
    <t>BATUK, PILEK, ASMA DAN GATAL PADA KULIT KARENA ALERGI</t>
  </si>
  <si>
    <t>BAHASA JAWA DAN BAHASA INDONESIA</t>
  </si>
  <si>
    <t xml:space="preserve">SATRIYO JATI UTOMO, SE., MM. </t>
  </si>
  <si>
    <t>3573010107770143</t>
  </si>
  <si>
    <t>KLATEN</t>
  </si>
  <si>
    <t>PEMERINTAH KOTA BATU</t>
  </si>
  <si>
    <t xml:space="preserve">JL. PANGLIMA SUDIRMAN NO. 507, PESANGGRAHAN, KECAMATAN BATU, KOTA BATU. </t>
  </si>
  <si>
    <t>Rp. 4.335.000,00</t>
  </si>
  <si>
    <t>tomix.cla10@gmail.com</t>
  </si>
  <si>
    <t>CITRA PILAR MEDINA, S.P.</t>
  </si>
  <si>
    <t>3574035211810003</t>
  </si>
  <si>
    <t>JL. LAPANGAN BANGKIT KAV. 11 KARANGPLOSO
 RT. 01/RW.01, GIRIMOYO
, KARANGPLOSO, KAB. MALANG</t>
  </si>
  <si>
    <t>citramedina81@gmail.com</t>
  </si>
  <si>
    <t>JL CANDI PANGGUNG INDAH NO 1-3 MALANG</t>
  </si>
  <si>
    <t>3573051110190003</t>
  </si>
  <si>
    <t>3505175511170001</t>
  </si>
  <si>
    <t>ANDYRA CAHYA ALMIRA</t>
  </si>
  <si>
    <t>ANDYRA</t>
  </si>
  <si>
    <t xml:space="preserve">PERUM PERMATA SAXOFONE KAV. G7 </t>
  </si>
  <si>
    <t>1,1KM</t>
  </si>
  <si>
    <t>085645488568</t>
  </si>
  <si>
    <t>081335407142</t>
  </si>
  <si>
    <t>NURCAHYA AGUNG ELLYADI, S.T.</t>
  </si>
  <si>
    <t>3574040412860001</t>
  </si>
  <si>
    <t>PROBOLINGGO</t>
  </si>
  <si>
    <t>085234638477</t>
  </si>
  <si>
    <t>PT PAMA PERSADA NUSANTARA</t>
  </si>
  <si>
    <t>JL. RAWAGELAM I NO.9, RT.1/RW.9, JATINEGARA, KEC. CAKUNG, KOTA JAKARTA TIMUR, DAERAH KHUSUS IBUKOTA JAKARTA 13930</t>
  </si>
  <si>
    <t>021-4602015</t>
  </si>
  <si>
    <t>agung.ellyadi@gmail.com</t>
  </si>
  <si>
    <t>SITI MAHMUDAH, S.T.</t>
  </si>
  <si>
    <t>3505174412860001</t>
  </si>
  <si>
    <t>GRIYA ALMIRA</t>
  </si>
  <si>
    <t>PERUM PERMATA SAXOFONE KAV G7 MALANG</t>
  </si>
  <si>
    <t>mahmudah.sadzali@gmail.com</t>
  </si>
  <si>
    <t>TK AKADEMIKA NGIJO</t>
  </si>
  <si>
    <t>JEMBER</t>
  </si>
  <si>
    <t>JLN. CANDI PANGGUNG LOWOKWARU MALANG</t>
  </si>
  <si>
    <t>3579032909160006</t>
  </si>
  <si>
    <t>3579032901170001</t>
  </si>
  <si>
    <t>ARTHUR NIAM ALFATAH</t>
  </si>
  <si>
    <t>ARTHUR</t>
  </si>
  <si>
    <t>ASD</t>
  </si>
  <si>
    <t>LEMBAH DELIMA RESIDENCE NO. 9 JLN. DEWI SARTIKA GANG 3 H TEMAS - KOTA BATU</t>
  </si>
  <si>
    <t>KOTA BATU</t>
  </si>
  <si>
    <t>11</t>
  </si>
  <si>
    <t>081233690298</t>
  </si>
  <si>
    <t xml:space="preserve">ABDULLOH CHARIS </t>
  </si>
  <si>
    <t>3579030207890004</t>
  </si>
  <si>
    <t>081230079978</t>
  </si>
  <si>
    <t>DIRICARE</t>
  </si>
  <si>
    <t>PERUMAHAN KEBON JERUK BARU NO. 6 DKI JAKARTA 11530</t>
  </si>
  <si>
    <t>081998880006</t>
  </si>
  <si>
    <t>43 juta</t>
  </si>
  <si>
    <t>me@chars.me</t>
  </si>
  <si>
    <t>AYU MIRANTI PUJI LESTARI, S.S</t>
  </si>
  <si>
    <t>3506177010920001</t>
  </si>
  <si>
    <t>ayumiranti@chars.me</t>
  </si>
  <si>
    <t xml:space="preserve">JL. IKAN KAKAP NO 90 TUNJUNGSEKAR LOWOKWARU KOTA MALANG </t>
  </si>
  <si>
    <t>35730523111000107</t>
  </si>
  <si>
    <t>3573054712170003</t>
  </si>
  <si>
    <t>AYESHA</t>
  </si>
  <si>
    <t xml:space="preserve">JL. RENANG PERUM PATRALAND PLACE BLOK C7-7 </t>
  </si>
  <si>
    <t>2,1 KM</t>
  </si>
  <si>
    <t>08155513767</t>
  </si>
  <si>
    <t>108 cm</t>
  </si>
  <si>
    <t>ANTON SETIAWAN</t>
  </si>
  <si>
    <t>3573051110810003</t>
  </si>
  <si>
    <t>081515333439</t>
  </si>
  <si>
    <t xml:space="preserve">WIRASWASTA </t>
  </si>
  <si>
    <t>DI RUMAH (ONLINE)</t>
  </si>
  <si>
    <t xml:space="preserve">JL. RENANG PERUM PATRALAND PLACE BLOK C7-7 RT 008 RW 004 TASIKMADU LOWOKWARU MALANG </t>
  </si>
  <si>
    <t>Kurang Lebih Rp. 10.000.000</t>
  </si>
  <si>
    <t>anton.retro@gmail.com</t>
  </si>
  <si>
    <t>ERFA'ANA HANDAYANI, S.Pi</t>
  </si>
  <si>
    <t>3573056709790007</t>
  </si>
  <si>
    <t>erfaanahandayani@gmail.com</t>
  </si>
  <si>
    <t>1 (SATU)</t>
  </si>
  <si>
    <t>2 (DUA)</t>
  </si>
  <si>
    <t>PEGAWAI</t>
  </si>
  <si>
    <t>6.000.000</t>
  </si>
  <si>
    <t>JL. CANDI PANGGUNG</t>
  </si>
  <si>
    <t>3507232804150004</t>
  </si>
  <si>
    <t>3507234609170001</t>
  </si>
  <si>
    <t>DIANDRA SYAFIRA PUTRI HARJANTO</t>
  </si>
  <si>
    <t>FIRA</t>
  </si>
  <si>
    <t>PERUM GRIYA PERMATA ALAM BLOK ID 25</t>
  </si>
  <si>
    <t>RUMAH KAKEK</t>
  </si>
  <si>
    <t>5,3</t>
  </si>
  <si>
    <t>082230458958</t>
  </si>
  <si>
    <t>INDONESIA, INGGRIS, JAWA</t>
  </si>
  <si>
    <t>DHIDIK YUDI HARJANTO, Amd</t>
  </si>
  <si>
    <t>3513190207890001</t>
  </si>
  <si>
    <t>JAYAPURA</t>
  </si>
  <si>
    <t>085259128032</t>
  </si>
  <si>
    <t>PT. BUMA</t>
  </si>
  <si>
    <t>SITE TABANG, KALIMANTAN TIMUR</t>
  </si>
  <si>
    <t>Dhidik.yh@gmail.com</t>
  </si>
  <si>
    <t>DIAN EKA PURNAMA SARI, Amd</t>
  </si>
  <si>
    <t>3507234112900001</t>
  </si>
  <si>
    <t>PT HM SAMPOERNA</t>
  </si>
  <si>
    <t>SUKOREJO, PANDAAN</t>
  </si>
  <si>
    <t>Dsari75@gmail.com</t>
  </si>
  <si>
    <t>PAUD ANAK SALEH</t>
  </si>
  <si>
    <t>JL. CANDI PANGGUNG MALANG</t>
  </si>
  <si>
    <t>3579032510130001</t>
  </si>
  <si>
    <t>3579031603180002</t>
  </si>
  <si>
    <t>FAREZELL UWAIS AL FATIH</t>
  </si>
  <si>
    <t>UWAIS</t>
  </si>
  <si>
    <t>PERUMAHAN GRAND MUTIARA REGENCY KAV.E2</t>
  </si>
  <si>
    <t>MARTOREJO</t>
  </si>
  <si>
    <t>0341462056</t>
  </si>
  <si>
    <t>082244055475</t>
  </si>
  <si>
    <t>BAHASA INDONESIA DAN JAWA</t>
  </si>
  <si>
    <t>ROBBI DHARMAWAN, ST</t>
  </si>
  <si>
    <t>3572022510890002</t>
  </si>
  <si>
    <t>PT. PLN ENJINIRING</t>
  </si>
  <si>
    <t>PROYEK PLTA CISOKAN KABUPATEN BANDUNG BARAT</t>
  </si>
  <si>
    <t>Rp.14.000.000,00</t>
  </si>
  <si>
    <t>dharmawan.robbi@gmail.com</t>
  </si>
  <si>
    <t>GALIH RETNO BUDYASTITI, ST</t>
  </si>
  <si>
    <t>3579036002890002</t>
  </si>
  <si>
    <t>081333103840</t>
  </si>
  <si>
    <t>KARYAWAN BUMD</t>
  </si>
  <si>
    <t>BANK JATIM</t>
  </si>
  <si>
    <t>Rp.9.500.000,00</t>
  </si>
  <si>
    <t>galih.wre06@gmail.com</t>
  </si>
  <si>
    <t>IR. BUDI SETYONO</t>
  </si>
  <si>
    <t>081234223290</t>
  </si>
  <si>
    <t>JL.MARTOREJO NO.76</t>
  </si>
  <si>
    <t xml:space="preserve">PAUD TK ANAK SALEH </t>
  </si>
  <si>
    <t xml:space="preserve"> MOJOLANGU, LOWOKWARU, MALANG CITY, EAST JAVA 65143, INDONESIA</t>
  </si>
  <si>
    <t>3578063105120061</t>
  </si>
  <si>
    <t>3578300212170001</t>
  </si>
  <si>
    <t>FINO</t>
  </si>
  <si>
    <t>DE GREEN PAVILLION D-15</t>
  </si>
  <si>
    <t>550 M</t>
  </si>
  <si>
    <t>08123028203</t>
  </si>
  <si>
    <t xml:space="preserve">FREDY MARDIYANTORO </t>
  </si>
  <si>
    <t>3578061803830003</t>
  </si>
  <si>
    <t>3/18/0083</t>
  </si>
  <si>
    <t>08113649820</t>
  </si>
  <si>
    <t xml:space="preserve">DOSEN </t>
  </si>
  <si>
    <t>JL. VETERAN, KETAWANGGEDE, KEC. LOWOKWARU, KOTA MALANG, JAWA TIMUR 65145, INDONESIA</t>
  </si>
  <si>
    <t>fredymardiyantoro@gmail.com</t>
  </si>
  <si>
    <t xml:space="preserve">DEVITA TINTASARI </t>
  </si>
  <si>
    <t>3578305910900001</t>
  </si>
  <si>
    <t>devitatintasari@gmail.com</t>
  </si>
  <si>
    <t>TK AR-ROHMAH KARANGJUWET</t>
  </si>
  <si>
    <t>JL.RAYA KARANGJUWET NO.118 RT/RW : 31/08 DONOWARIH KARANGPLOSO MALANG</t>
  </si>
  <si>
    <t>3507231108100010</t>
  </si>
  <si>
    <t>3507232107170001</t>
  </si>
  <si>
    <t>GI PIO AFFANDRA ALSAKI MUSLIM</t>
  </si>
  <si>
    <t>GI PIO</t>
  </si>
  <si>
    <t>JL.WATU BANTENG GG.III</t>
  </si>
  <si>
    <t>6 KILOMETER</t>
  </si>
  <si>
    <t>089697003789</t>
  </si>
  <si>
    <t>25 kg</t>
  </si>
  <si>
    <t>135 cm</t>
  </si>
  <si>
    <t>BAHASA JAWA</t>
  </si>
  <si>
    <t>NUR BAENI SOFA</t>
  </si>
  <si>
    <t>3507230206820002</t>
  </si>
  <si>
    <t>081233235036</t>
  </si>
  <si>
    <t>PT. SELARASGRIYA ADIGUNATAMA</t>
  </si>
  <si>
    <t>PASAR INDUK TANAH TINGGI KOTA TANGERANG</t>
  </si>
  <si>
    <t>benyshava@gmail.com-</t>
  </si>
  <si>
    <t>LAILATUL AZIZAH</t>
  </si>
  <si>
    <t>3507234811850001</t>
  </si>
  <si>
    <t>RUMAH SENDIRI</t>
  </si>
  <si>
    <t>JL.WATU BANTENG GG.III RT/RW 07/02 GIRIMOYO MALANG</t>
  </si>
  <si>
    <t>IlaI52419@gmail.com</t>
  </si>
  <si>
    <t>TRI DHARMA</t>
  </si>
  <si>
    <t>BARENG, JOMBANG</t>
  </si>
  <si>
    <t>3578101008170015</t>
  </si>
  <si>
    <t>3578105409170008</t>
  </si>
  <si>
    <t>HARUMI IQLIMA AZZAHRA</t>
  </si>
  <si>
    <t>RUMI</t>
  </si>
  <si>
    <t>DANAU MANINJAU TENGAH B3/D9</t>
  </si>
  <si>
    <t>SAWOJAJAR</t>
  </si>
  <si>
    <t>KEDUNGKANDANG</t>
  </si>
  <si>
    <t>7,1 KM</t>
  </si>
  <si>
    <t>082231747979</t>
  </si>
  <si>
    <t>082331747979</t>
  </si>
  <si>
    <t>dr. DIMAS ADHIATMA, Sp.B, M.Ked.Klin</t>
  </si>
  <si>
    <t>3578072808910001</t>
  </si>
  <si>
    <t>RS CAHAYA MEDIKA</t>
  </si>
  <si>
    <t>KARANG EMPAT XII/30</t>
  </si>
  <si>
    <t>dimasadhiatma@gmail.com</t>
  </si>
  <si>
    <t>dr. AYU PRAMITHA WULANDARI, M.Biomed</t>
  </si>
  <si>
    <t>3578036212900001</t>
  </si>
  <si>
    <t>081231755560</t>
  </si>
  <si>
    <t>Ayuwulandr@gmail.com</t>
  </si>
  <si>
    <t>07 MARET 2025</t>
  </si>
  <si>
    <t>SDIT TUNAS CENDEKIA</t>
  </si>
  <si>
    <t>3174823226</t>
  </si>
  <si>
    <t>3318031909160009</t>
  </si>
  <si>
    <t>3318035709170001</t>
  </si>
  <si>
    <t>HATMIA IMMI PRASMITA</t>
  </si>
  <si>
    <t>MIA</t>
  </si>
  <si>
    <t>PATI</t>
  </si>
  <si>
    <t>ARUMBA UTAMA RESIDENCE</t>
  </si>
  <si>
    <t>081325006555</t>
  </si>
  <si>
    <t>IMAM PRASETYO</t>
  </si>
  <si>
    <t>3318032705920002</t>
  </si>
  <si>
    <t>27 MEI 1992</t>
  </si>
  <si>
    <t>085225060823</t>
  </si>
  <si>
    <t>KARYAWAN PLN ICON PLUS / MANAGER KANTOR PERWAKILAN</t>
  </si>
  <si>
    <t>PLN ICON PLUS</t>
  </si>
  <si>
    <t>KAUMAN, KLOJEN, KOTA MALANG</t>
  </si>
  <si>
    <t>imam.praset@gmai.com</t>
  </si>
  <si>
    <t>DWI UTAMI</t>
  </si>
  <si>
    <t>3318096010930001</t>
  </si>
  <si>
    <t>20 OKTOBER 1993</t>
  </si>
  <si>
    <t>SMA</t>
  </si>
  <si>
    <t>dwidwiut@gmail.com</t>
  </si>
  <si>
    <t>3322162005140002</t>
  </si>
  <si>
    <t>3322161003180001</t>
  </si>
  <si>
    <t>IHYA SYAUQI AL FARUQ ASKHA</t>
  </si>
  <si>
    <t>UQI</t>
  </si>
  <si>
    <t>KAB. KEBUMEN</t>
  </si>
  <si>
    <t>WONOKERTO RT 02 RW 01 BANCAK KAB SEMARANG / PERUM PURI BUNGA II JATISARI LOWOKWARU MALANG</t>
  </si>
  <si>
    <t>WONOKERTO</t>
  </si>
  <si>
    <t>BANCAK</t>
  </si>
  <si>
    <t>KAB. SEMARANG</t>
  </si>
  <si>
    <t>&lt; 1 KM</t>
  </si>
  <si>
    <t>08118753220</t>
  </si>
  <si>
    <t>18 KG</t>
  </si>
  <si>
    <t>118 CM</t>
  </si>
  <si>
    <t>INDONESIA - JAWA</t>
  </si>
  <si>
    <t>MUH DARSUL KHAFID</t>
  </si>
  <si>
    <t>3322162708860001</t>
  </si>
  <si>
    <t>PT. UNILEVER INDONESIA TBK</t>
  </si>
  <si>
    <t>JL. GUNTUR NO 27 KLOJEN MALANG</t>
  </si>
  <si>
    <t>10 JT</t>
  </si>
  <si>
    <t>darsul.khafid@gmail.com</t>
  </si>
  <si>
    <t>PUJI ASTUTI</t>
  </si>
  <si>
    <t>3309076211869003</t>
  </si>
  <si>
    <t>KAB. BOYOLALI</t>
  </si>
  <si>
    <t>085740082432</t>
  </si>
  <si>
    <t>SASTA</t>
  </si>
  <si>
    <t>WONOKERTO RT 02 RW 01 BANCAK KAB SEMARANG</t>
  </si>
  <si>
    <t>JL SAXOFONE</t>
  </si>
  <si>
    <t>3579034101180006</t>
  </si>
  <si>
    <t>KIANI LANIKA NURHADHY</t>
  </si>
  <si>
    <t>KIA</t>
  </si>
  <si>
    <t xml:space="preserve">JL SADEWA NO 2 </t>
  </si>
  <si>
    <t>JUNREJI</t>
  </si>
  <si>
    <t>082313639233</t>
  </si>
  <si>
    <t>085334359188</t>
  </si>
  <si>
    <t>INDO JAWA</t>
  </si>
  <si>
    <t>ACHMAD NUR HADHY, SE</t>
  </si>
  <si>
    <t>3573031501870004</t>
  </si>
  <si>
    <t>LEMBAH DIENG BLOK GA NO 3-4</t>
  </si>
  <si>
    <t>Dnurhadhy@gmail.com</t>
  </si>
  <si>
    <t>RENGGA RISKI RIADINI, SE</t>
  </si>
  <si>
    <t>3579034305920001</t>
  </si>
  <si>
    <t>JL. SAKSOFON NO. 25 TUNGGUL WULUNG, MALANG</t>
  </si>
  <si>
    <t>3507230604150001</t>
  </si>
  <si>
    <t>3507232205170001</t>
  </si>
  <si>
    <t>MUHAMMAD ALTHAF ABIDIN</t>
  </si>
  <si>
    <t>ALTHAF</t>
  </si>
  <si>
    <t>JLN. NOTOJOYO 291</t>
  </si>
  <si>
    <t>TEGALGONDO, GONDANG</t>
  </si>
  <si>
    <t>085812241314</t>
  </si>
  <si>
    <t>19,5 kg</t>
  </si>
  <si>
    <t>116 cm</t>
  </si>
  <si>
    <t>JAWA, BAHASA INDONESIA</t>
  </si>
  <si>
    <t>AYNUL ABIDIN, Amd</t>
  </si>
  <si>
    <t>3507232703870001</t>
  </si>
  <si>
    <t>085815413298</t>
  </si>
  <si>
    <t>PT. NESTLE INDONESIA, TBK</t>
  </si>
  <si>
    <t>TEMBERO TANGGULANGIN, KEC KEJAYAN, PASURUAN, JAWA TIMUR</t>
  </si>
  <si>
    <t>(0343) 421005</t>
  </si>
  <si>
    <t>Aynul182@gmail.com</t>
  </si>
  <si>
    <t>NOVIE KUSUMA WARDHANI</t>
  </si>
  <si>
    <t>3506945011870003</t>
  </si>
  <si>
    <t xml:space="preserve">IBU RUMAH TANGGA ( MENGELOLA USAHA KOST) </t>
  </si>
  <si>
    <t xml:space="preserve">KOST ALZAM </t>
  </si>
  <si>
    <t>JLN. NOTOJOYO 291 TEGALGONDO , KARANGPLOSO, KAB. MALANG</t>
  </si>
  <si>
    <t>4jt</t>
  </si>
  <si>
    <t>novieksm@gmail.com</t>
  </si>
  <si>
    <t>TK AL HIKMAH</t>
  </si>
  <si>
    <t>PILANG MAS GARDEN CIREBON</t>
  </si>
  <si>
    <t>320920040718007</t>
  </si>
  <si>
    <t>3209202709180002</t>
  </si>
  <si>
    <t>MUHAMMAD DAMAR ARUNA GEMINTANG</t>
  </si>
  <si>
    <t>DAMAR</t>
  </si>
  <si>
    <t>CIREBON</t>
  </si>
  <si>
    <t>PILANG MAS GARDEN A 77 D</t>
  </si>
  <si>
    <t>KEDUNGJAYA</t>
  </si>
  <si>
    <t>KEDAWUNG</t>
  </si>
  <si>
    <t>081259569391</t>
  </si>
  <si>
    <t>INDONESIA &amp; JAWA</t>
  </si>
  <si>
    <t>HENDRA KURNIAWAN SANTOSO</t>
  </si>
  <si>
    <t>3573040606890002</t>
  </si>
  <si>
    <t>10.000.000-20.000.000</t>
  </si>
  <si>
    <t>hendrakurniawan0606@gmail.com</t>
  </si>
  <si>
    <t>PUJI RAHAYU</t>
  </si>
  <si>
    <t>3521124208930001</t>
  </si>
  <si>
    <t>NGAWI</t>
  </si>
  <si>
    <t>082115994221</t>
  </si>
  <si>
    <t>ayuputry817@yahoo.com</t>
  </si>
  <si>
    <t xml:space="preserve">TK ANAK SALEH </t>
  </si>
  <si>
    <t>3507240503180032</t>
  </si>
  <si>
    <t>3507242005170005</t>
  </si>
  <si>
    <t xml:space="preserve">HAFIZ </t>
  </si>
  <si>
    <t xml:space="preserve">DESA LANG-LANG </t>
  </si>
  <si>
    <t xml:space="preserve">LANG LANG </t>
  </si>
  <si>
    <t xml:space="preserve">SINGOSARI </t>
  </si>
  <si>
    <t>082179634220</t>
  </si>
  <si>
    <t>082336373411</t>
  </si>
  <si>
    <t>JAWA</t>
  </si>
  <si>
    <t xml:space="preserve">FICHRUL PRADITYA HANANTA </t>
  </si>
  <si>
    <t>3507222512910003</t>
  </si>
  <si>
    <t>PT KOSMETIKATAMA</t>
  </si>
  <si>
    <t>JL PERUSAHAAN RANDU AGUNG LAWANG</t>
  </si>
  <si>
    <t>praditya25121991@gmail.com</t>
  </si>
  <si>
    <t>RANI FATMAWATI</t>
  </si>
  <si>
    <t>3507245412920002</t>
  </si>
  <si>
    <t xml:space="preserve">RUMAH </t>
  </si>
  <si>
    <t xml:space="preserve">Rani Fatmawati </t>
  </si>
  <si>
    <t>TK EL MU'JIZAH</t>
  </si>
  <si>
    <t>JL BULUTANGKIS TASIKMADU MALANG</t>
  </si>
  <si>
    <t>3573050608150013</t>
  </si>
  <si>
    <t>3573051709170002</t>
  </si>
  <si>
    <t>MUHAMMAD HAIDAR RASYID DIRGANTARA</t>
  </si>
  <si>
    <t>HAIDAR</t>
  </si>
  <si>
    <t>SINTANG</t>
  </si>
  <si>
    <t>JALAN LONCAT INDAH 09</t>
  </si>
  <si>
    <t>2 KK</t>
  </si>
  <si>
    <t>087852775416</t>
  </si>
  <si>
    <t>085234828833</t>
  </si>
  <si>
    <t>24 kg</t>
  </si>
  <si>
    <t>LUDIANSYAH, S.H.I.,M.S.I</t>
  </si>
  <si>
    <t>1671080702820006</t>
  </si>
  <si>
    <t>SUKAMARGA</t>
  </si>
  <si>
    <t>081255443109</t>
  </si>
  <si>
    <t>KETUA PENGADILAN AGAMA</t>
  </si>
  <si>
    <t>PA SINGARAJA</t>
  </si>
  <si>
    <t>JL UDAYANA NO 15 BULELENG BALI</t>
  </si>
  <si>
    <t>ludian34@gmail.com</t>
  </si>
  <si>
    <t>ALLYSA UMILAILI SHENTA PUTRI ASYTRIKA, S.E.</t>
  </si>
  <si>
    <t>3573056301870005</t>
  </si>
  <si>
    <t>PENGADILAN TINGGI AGAMA SURABAYA</t>
  </si>
  <si>
    <t>JL MAYJEN SUNGKONO 07 SURABAYA</t>
  </si>
  <si>
    <t>allysaumilaili@gmail.com</t>
  </si>
  <si>
    <t>DJUNAIDI,.S.H.,M.H</t>
  </si>
  <si>
    <t>081333546888</t>
  </si>
  <si>
    <t>JL LONCAT INDAH 09</t>
  </si>
  <si>
    <t xml:space="preserve"> JL. CANDI PANGGUNG INDAH NO. 1-3</t>
  </si>
  <si>
    <t>3573051109170008</t>
  </si>
  <si>
    <t>3573053010170002</t>
  </si>
  <si>
    <t>MUHAMMAD TSAQIF ADNANI RAHMAN</t>
  </si>
  <si>
    <t>AQIF</t>
  </si>
  <si>
    <t>GRIYA PERMATA ALAM BLOK LC 47</t>
  </si>
  <si>
    <t>3,3 KM</t>
  </si>
  <si>
    <t>085236165828</t>
  </si>
  <si>
    <t>ARIF NUR RAHMAN, S.S., M.Pd</t>
  </si>
  <si>
    <t>3573051301900004</t>
  </si>
  <si>
    <t>TENAGA PENDIDIK</t>
  </si>
  <si>
    <t>JALAN ARUMBA 31 TUNGGULWULUNG LOWOKWARU</t>
  </si>
  <si>
    <t>(0341) 487088</t>
  </si>
  <si>
    <t>dibawah 4 jt</t>
  </si>
  <si>
    <t>Arifnurrahman1301@gmail.com</t>
  </si>
  <si>
    <t>PANGESTUTI PRIMA DARAJAT, M.Si</t>
  </si>
  <si>
    <t>3507265008920001</t>
  </si>
  <si>
    <t>083143113790</t>
  </si>
  <si>
    <t>UNIVERSITAS ISLAM RADEN RAHMAT</t>
  </si>
  <si>
    <t>JL. RAYA MOJOSARI 2 KEPANJEN</t>
  </si>
  <si>
    <t>(0341) 399099</t>
  </si>
  <si>
    <t>dibawah 3 jt</t>
  </si>
  <si>
    <t>TK SELARAS CITA</t>
  </si>
  <si>
    <t>JL. DABAU SENTANI RAYA</t>
  </si>
  <si>
    <t>3573052601190011</t>
  </si>
  <si>
    <t>3573030708170003</t>
  </si>
  <si>
    <t>NARENDRA RAFA PUTRA SUGIHARTO</t>
  </si>
  <si>
    <t>RAFA</t>
  </si>
  <si>
    <t>ADHD</t>
  </si>
  <si>
    <t>PERUM PERMATA PULOSARI KAV 37</t>
  </si>
  <si>
    <t>PURWODADI</t>
  </si>
  <si>
    <t>KURLEB 2 KM</t>
  </si>
  <si>
    <t>085257556790</t>
  </si>
  <si>
    <t>AGUNG SUGIHARTO</t>
  </si>
  <si>
    <t>3573051711920001</t>
  </si>
  <si>
    <t>082234719456</t>
  </si>
  <si>
    <t>PT. ADI SARANA ARMADA</t>
  </si>
  <si>
    <t>JL. TENAGA NO 2</t>
  </si>
  <si>
    <t>3,5 - 4 juta</t>
  </si>
  <si>
    <t>Agungsugiharto17@gmail.com</t>
  </si>
  <si>
    <t xml:space="preserve">DESY RAHMA </t>
  </si>
  <si>
    <t>3573034712930005</t>
  </si>
  <si>
    <t>Dessyrahma0793@gmail.com</t>
  </si>
  <si>
    <t>BIAN HAFIDZ DARMAWAN</t>
  </si>
  <si>
    <t>KALIMANTAN</t>
  </si>
  <si>
    <t>081336604299</t>
  </si>
  <si>
    <t>PERUM GRIYA PERMATA ALAM JL. PIRUS NO 8 KARANGPLOSO</t>
  </si>
  <si>
    <t>3575011110170005</t>
  </si>
  <si>
    <t>3575016212170001</t>
  </si>
  <si>
    <t>QUINZA AQILA MELODY</t>
  </si>
  <si>
    <t>MELODY</t>
  </si>
  <si>
    <t>PERUM GRIYA PERMATA ALAM BLOK ID NO 14 KARANGPLOSO</t>
  </si>
  <si>
    <t>5,1 KM</t>
  </si>
  <si>
    <t>085854662340</t>
  </si>
  <si>
    <t>18 kg</t>
  </si>
  <si>
    <t>119 cm</t>
  </si>
  <si>
    <t>FIKKY FERDIANTO, SE</t>
  </si>
  <si>
    <t>3575011709910003</t>
  </si>
  <si>
    <t>085733085557</t>
  </si>
  <si>
    <t>BANK BRI</t>
  </si>
  <si>
    <t>JL. MT HARYONO NO 117 KELURAHAN DINOYO KECAMATAN LOWOKWARU</t>
  </si>
  <si>
    <t>fikkyferdianto@gmail.con</t>
  </si>
  <si>
    <t>YULISTIAN ARGA, Amd Keb</t>
  </si>
  <si>
    <t>3575024407920001</t>
  </si>
  <si>
    <t>TIDAK BEKERJA</t>
  </si>
  <si>
    <t>Tidak Bekerja</t>
  </si>
  <si>
    <t>yulistianarga8@gmail.com</t>
  </si>
  <si>
    <t>FATMAWATI</t>
  </si>
  <si>
    <t>085719836406</t>
  </si>
  <si>
    <t>RANDUSARI</t>
  </si>
  <si>
    <t>P04</t>
  </si>
  <si>
    <t>GADINGREJO</t>
  </si>
  <si>
    <t>KOTA PASURUAN</t>
  </si>
  <si>
    <t>KB-TK ISLAM KHARISMA</t>
  </si>
  <si>
    <t>TIRTASANI ROYAL RESORT BLOK F2 NO 8-9, NGENEP, KARANGPLOSO, KAB. MALANG</t>
  </si>
  <si>
    <t>3573011010170029</t>
  </si>
  <si>
    <t>3573012110170001</t>
  </si>
  <si>
    <t>RAFIF ALFAREZI LAKSANA</t>
  </si>
  <si>
    <t>RAFIF</t>
  </si>
  <si>
    <t>TIRTASANI ROYAL RESORT, CLUSTER ROYAL VILLAGE BLOK RV 3 NO 3</t>
  </si>
  <si>
    <t>081944893272</t>
  </si>
  <si>
    <t>081808901737</t>
  </si>
  <si>
    <t>ELFA RIZAL DWI LAKSONO, S.Ap</t>
  </si>
  <si>
    <t>3507241405890003</t>
  </si>
  <si>
    <t>PT AMCOR SPECIALTY CARTONS</t>
  </si>
  <si>
    <t>JL. REMBANG INDUSTRI RAYA NO.36, JATI, PANDEAN, KEC. REMBANG, PASURUAN, JAWA TIMUR 67152</t>
  </si>
  <si>
    <t>ARNITA EKA WULANDARI, SST</t>
  </si>
  <si>
    <t>3573014908900008</t>
  </si>
  <si>
    <t>BOJONEGORO</t>
  </si>
  <si>
    <t>CV. TANI KITA INDONESIA</t>
  </si>
  <si>
    <t>PERUM JL. PERMATA TASIKMADU NO.C13, TASIKMADU, KEC. LOWOKWARU, KOTA MALANG, JAWA TIMUR 65143</t>
  </si>
  <si>
    <t>TA AL-QUR'AN PLUS ALAA NURIYAH</t>
  </si>
  <si>
    <t>JL TELUK CENDRAWASIH NO 148</t>
  </si>
  <si>
    <t>3573011005190002</t>
  </si>
  <si>
    <t>3573014202180002</t>
  </si>
  <si>
    <t>SABRINA AMADIA ANKA</t>
  </si>
  <si>
    <t>SABRINA</t>
  </si>
  <si>
    <t>JL TELUK ETNA 1 NO 34</t>
  </si>
  <si>
    <t>7.2KM</t>
  </si>
  <si>
    <t>082244164894</t>
  </si>
  <si>
    <t>082244164884</t>
  </si>
  <si>
    <t>19kg</t>
  </si>
  <si>
    <t>BAHASA INDONESIA SAMA JAWA</t>
  </si>
  <si>
    <t>YUSUF AJI DWI PRANATA</t>
  </si>
  <si>
    <t>3573011307940003</t>
  </si>
  <si>
    <t>082231960334</t>
  </si>
  <si>
    <t>USAHA SENDIRI D RUMAH</t>
  </si>
  <si>
    <t>9.600.000</t>
  </si>
  <si>
    <t>Adjiepranata666@gmail.com</t>
  </si>
  <si>
    <t>DEVI NOVITASARI</t>
  </si>
  <si>
    <t>3573016912920005</t>
  </si>
  <si>
    <t>devipranata01@gmail.com</t>
  </si>
  <si>
    <t>NADIRA AZZURA RAHMADANI</t>
  </si>
  <si>
    <t>081334033443</t>
  </si>
  <si>
    <t>IBU RUMH TANGGA</t>
  </si>
  <si>
    <t>JL BATU AMARIL PERUMAHAN GRIYA ASRI BLOK K15</t>
  </si>
  <si>
    <t>2A</t>
  </si>
  <si>
    <t>JL. BUKIT HIJAU BLOK A/2A</t>
  </si>
  <si>
    <t>JL. SUMBERSARI GG.4 NO.262A MALANG</t>
  </si>
  <si>
    <t>JL. BUDI UTOMO NO. 12A, KELURAHAN MULYOREJO, KECAMATAN SUKUN, KOTA MALANG</t>
  </si>
  <si>
    <t>2B</t>
  </si>
  <si>
    <t>2C</t>
  </si>
  <si>
    <t>2D</t>
  </si>
  <si>
    <t>TAMAN KANAK-KANAK (TK)</t>
  </si>
  <si>
    <t xml:space="preserve"> JL. BATU PERMATA 9 MALANG, TLOGOMAS, KEC. LOWOKWARU, KOTA MALANG</t>
  </si>
  <si>
    <t>3310052511180001</t>
  </si>
  <si>
    <t>ABAYOMI NATADWIJA AHMAD</t>
  </si>
  <si>
    <t>ABAYOMI/ UBAY</t>
  </si>
  <si>
    <t>KUDUS</t>
  </si>
  <si>
    <t>JL. ARUMBA UTAMA RESIDENCE NO A10</t>
  </si>
  <si>
    <t>00</t>
  </si>
  <si>
    <t>081299398667</t>
  </si>
  <si>
    <t>17</t>
  </si>
  <si>
    <t>122</t>
  </si>
  <si>
    <t>BAHASA INDONESIA &amp; JAWA</t>
  </si>
  <si>
    <t>AHMAD FARIS MUSTOFA, ST</t>
  </si>
  <si>
    <t>3310050301890001</t>
  </si>
  <si>
    <t>085647082623</t>
  </si>
  <si>
    <t>PT PP PROPERTY</t>
  </si>
  <si>
    <t>APARTMENT BEGAWAN
JL. RAYA TLOGOMAS NO.1-3, TLOGOMAS, KEC. LOWOKWARU, KOTA MALANG, JAWA TIMUR 65144</t>
  </si>
  <si>
    <t>ahmadfarismustofa@gmail.com</t>
  </si>
  <si>
    <t>ALIN PRADITA AGUSTIN, ST. MT</t>
  </si>
  <si>
    <t>3319024908900004</t>
  </si>
  <si>
    <t>FREELANCE DESAINER</t>
  </si>
  <si>
    <t>AEASTUDIO</t>
  </si>
  <si>
    <t>alinpradita@gmail.com</t>
  </si>
  <si>
    <t>TK LABORATORIUM</t>
  </si>
  <si>
    <t xml:space="preserve">JL. MAGELANG NO 2, SUMBERSARI, KEC. LOWOKWARU, KOTA MALANG PROV. JAWA TIMUR </t>
  </si>
  <si>
    <t>3504022911180001</t>
  </si>
  <si>
    <t>ABIDZAR ARRAZI WICAKSONO</t>
  </si>
  <si>
    <t>ABIDZAR</t>
  </si>
  <si>
    <t>GAMBUTA 2 NO 11</t>
  </si>
  <si>
    <t>0895801038832</t>
  </si>
  <si>
    <t>19</t>
  </si>
  <si>
    <t>120</t>
  </si>
  <si>
    <t>FERRI WICAKSONO, SE</t>
  </si>
  <si>
    <t>3504020803910003</t>
  </si>
  <si>
    <t>+62 812-1630-9050</t>
  </si>
  <si>
    <t>KARYAWAN BANK JATIM</t>
  </si>
  <si>
    <t>BANK JATIM TULUNGAGUNG</t>
  </si>
  <si>
    <t>I GUSTI NGURAH RAI NO 1, KEPATIHAN, KEC. TULUNGAGUNG, KAB. TULUNGAGUNG, 66218</t>
  </si>
  <si>
    <t>8 jt</t>
  </si>
  <si>
    <t>ferri.wicaksono@gmail.com</t>
  </si>
  <si>
    <t>dr. NADIA APRILIA FITRIANA</t>
  </si>
  <si>
    <t>DOKTER UMUM</t>
  </si>
  <si>
    <t>RSUD DR. ISKAK TULUNGAGUNG</t>
  </si>
  <si>
    <t xml:space="preserve"> JL. DR. WAHIDIN SUDIRO HUSODO, KEDUNG TAMAN, KEDUNGWARU, KEC. KEDUNGWARU, KABUPATEN TULUNGAGUNG, JAWA TIMUR 66223</t>
  </si>
  <si>
    <t>(0355) 322609</t>
  </si>
  <si>
    <t>3,7</t>
  </si>
  <si>
    <t>nadiaaprilia92@gmail.com</t>
  </si>
  <si>
    <t>PURWADI, SH, M. Hum</t>
  </si>
  <si>
    <t>08123248510</t>
  </si>
  <si>
    <t>PAUD SURYA GEMILANG</t>
  </si>
  <si>
    <t>JL SAXOPHONE 212 MALANG</t>
  </si>
  <si>
    <t>3573053003190003</t>
  </si>
  <si>
    <t>ABIMANA DEWANGGA DIMAS</t>
  </si>
  <si>
    <t>ABIM</t>
  </si>
  <si>
    <t xml:space="preserve">PERUM SAXOPHONE RIVER VILLAGE KAV 9 </t>
  </si>
  <si>
    <t>081233541119</t>
  </si>
  <si>
    <t>20</t>
  </si>
  <si>
    <t>105</t>
  </si>
  <si>
    <t>GAYUH ARDHI DWI NARKO SE</t>
  </si>
  <si>
    <t>3577031202840004</t>
  </si>
  <si>
    <t>ardheespeed@gmail.com</t>
  </si>
  <si>
    <t>FEBRIARISTIKA DWI SETIASARI</t>
  </si>
  <si>
    <t>3579034802920001</t>
  </si>
  <si>
    <t>081330312509</t>
  </si>
  <si>
    <t>CIMB NIAGA SYARIAH</t>
  </si>
  <si>
    <t>JL. A. YANI 18 E BLIMBING MALANG</t>
  </si>
  <si>
    <t>0341 411891</t>
  </si>
  <si>
    <t>tika.febriaristika@yahoo.co.id</t>
  </si>
  <si>
    <t>JALAN SAXOPHONE NO.25</t>
  </si>
  <si>
    <t>3578100612180009</t>
  </si>
  <si>
    <t>ABIZAR ALVINO AZKANDRA</t>
  </si>
  <si>
    <t>VINO</t>
  </si>
  <si>
    <t>MOJOKERTO</t>
  </si>
  <si>
    <t>PERUMAHAN JAWARA LAND BLOK D-36,MALANG</t>
  </si>
  <si>
    <t>2,5</t>
  </si>
  <si>
    <t>081286528743</t>
  </si>
  <si>
    <t>082245352931</t>
  </si>
  <si>
    <t>26,5</t>
  </si>
  <si>
    <t>118</t>
  </si>
  <si>
    <t>GANDHI NOVANTO PRABOWO</t>
  </si>
  <si>
    <t>3578101211870006</t>
  </si>
  <si>
    <t>PT HARPAG NIAGA HUTAMA</t>
  </si>
  <si>
    <t>JALAN BALAI DESA KEPUHARJO 36H,KARANGPLOSO</t>
  </si>
  <si>
    <t>9.000.0000</t>
  </si>
  <si>
    <t>novan.gandhie@gmail.com</t>
  </si>
  <si>
    <t>IKE FAHRIYANA</t>
  </si>
  <si>
    <t>3516136204880004</t>
  </si>
  <si>
    <t>JAWARA LAND</t>
  </si>
  <si>
    <t>ike.fahriana@gmail.com</t>
  </si>
  <si>
    <t>RA MUSLIMAT NU 1 DINOYO</t>
  </si>
  <si>
    <t>JL. TATA SURYA, NO. 2, DINOYO, KOTA MALANG</t>
  </si>
  <si>
    <t>3573031702180002</t>
  </si>
  <si>
    <t>ABRAHAM AHMAD GIBRAN RABBANI</t>
  </si>
  <si>
    <t>GIBRAN</t>
  </si>
  <si>
    <t>PERUM CITY VIEW, BLOK C4, JL. KH MALIK DALAM, KELURAHAN KEDUNGKANDANG, KECAMATAN KEDUNGKANDANG, KOTA MALANG</t>
  </si>
  <si>
    <t>30-35KM</t>
  </si>
  <si>
    <t>082131711119</t>
  </si>
  <si>
    <t>26,1KG</t>
  </si>
  <si>
    <t>116</t>
  </si>
  <si>
    <t>INDONESIA - INGGRIS</t>
  </si>
  <si>
    <t>ADHITYA SYARIF SUBANGSA, S.S</t>
  </si>
  <si>
    <t>3529010909810001</t>
  </si>
  <si>
    <t>SUMENEP</t>
  </si>
  <si>
    <t>+62 853-3655-4141</t>
  </si>
  <si>
    <t>PT. BENESSE INDONESIA</t>
  </si>
  <si>
    <t>PRUDENTIAL TOWER, 20TH FL, JL. JENDERAL SUDIRMAN NO.KAV. 79, RT.2/RW.2, KUNINGAN, KARET, SETIABUDI, SOUTH JAKARTA CITY, JAKARTA 12920</t>
  </si>
  <si>
    <t>021-5204711</t>
  </si>
  <si>
    <t>Rp 10.000.000</t>
  </si>
  <si>
    <t>adhitya.pelita@gmail.com</t>
  </si>
  <si>
    <t>RETNO WULAN SEKARSARI</t>
  </si>
  <si>
    <t>3506156312880001</t>
  </si>
  <si>
    <t>UNIVERSITAS ISLAM MALANG</t>
  </si>
  <si>
    <t>JALAN MAYJEN HARYONO NO.193, DINOYO, KEC. LOWOKWARU, KOTA MALANG, JAWA TIMUR 65144</t>
  </si>
  <si>
    <t>0341-551932</t>
  </si>
  <si>
    <t>sekarsari@unisma.ac.id</t>
  </si>
  <si>
    <t>JL. CANDI PANGGUNG INDAH NO. 1-3, MOJOLANGU, KEC. LOWOKWARU, KOTA MALANG</t>
  </si>
  <si>
    <t>3509210907180001</t>
  </si>
  <si>
    <t>ABRIZAM KHAIRUNNAS RAFISQY</t>
  </si>
  <si>
    <t>IZAM</t>
  </si>
  <si>
    <t>PERUM. BUMI TUNGGULWULUNG INDAH BLOK H-2</t>
  </si>
  <si>
    <t>081333240630</t>
  </si>
  <si>
    <t>18,5</t>
  </si>
  <si>
    <t>115</t>
  </si>
  <si>
    <t>DIMAS VEKTOR ARIDIANTO, S.T.</t>
  </si>
  <si>
    <t>3509212501900005</t>
  </si>
  <si>
    <t>PT. PLN INDONESIA POWER</t>
  </si>
  <si>
    <t>JL RAYA SURABAYA PROBOLINGGO KM. 73 PASURUAN, 67184</t>
  </si>
  <si>
    <t xml:space="preserve">(0343) 413582, 413583 </t>
  </si>
  <si>
    <t>zimazzamiz@gmail.com</t>
  </si>
  <si>
    <t>SITI HALIMAH, Amd.Kep.</t>
  </si>
  <si>
    <t>3509176010900004</t>
  </si>
  <si>
    <t>081334040280</t>
  </si>
  <si>
    <t>duokhairunnas@gmail.com</t>
  </si>
  <si>
    <t>JL. PERUM GRIYASHANTA, CANDI PANGGUNG NO.23</t>
  </si>
  <si>
    <t>ADZKIRA ZULAIKHA PUTRI SANTOSO</t>
  </si>
  <si>
    <t>ADZKIRA</t>
  </si>
  <si>
    <t>JL. PIRANHA ATAS NO. 165 (S)</t>
  </si>
  <si>
    <t>010</t>
  </si>
  <si>
    <t>3,9 KM</t>
  </si>
  <si>
    <t>0341 487451</t>
  </si>
  <si>
    <t>081233375299</t>
  </si>
  <si>
    <t>110</t>
  </si>
  <si>
    <t>BHS INDONESIA</t>
  </si>
  <si>
    <t>MOCHAMAD ANDIK SANTOSO,SE,Ak</t>
  </si>
  <si>
    <t>3573052212750006</t>
  </si>
  <si>
    <t>081233488000</t>
  </si>
  <si>
    <t>CV. DELTA PERDANA PUTRA</t>
  </si>
  <si>
    <t>JL DUPAK BANDAREJO 3 NO 7</t>
  </si>
  <si>
    <t>Andisantoso1105@gmail.com</t>
  </si>
  <si>
    <t>WIDYA ARDIYANTI</t>
  </si>
  <si>
    <t>3573045504840004</t>
  </si>
  <si>
    <t>RUMAH TINGGAL</t>
  </si>
  <si>
    <t>JL. PIRANHA ATAS NO. 165</t>
  </si>
  <si>
    <t>5000000-10000000</t>
  </si>
  <si>
    <t>widisantos79@gmail.com</t>
  </si>
  <si>
    <t>TK BAITUL MAKMUR</t>
  </si>
  <si>
    <t>VILLA SENGKALING</t>
  </si>
  <si>
    <t>3507225802190001</t>
  </si>
  <si>
    <t>AFIQAH CALLISTA SAFAQILA</t>
  </si>
  <si>
    <t>AFIQA</t>
  </si>
  <si>
    <t>VILLA SENGKALING N-55</t>
  </si>
  <si>
    <t>082211850094</t>
  </si>
  <si>
    <t>16</t>
  </si>
  <si>
    <t>ANGGA YUDHA FIRMANSYAH</t>
  </si>
  <si>
    <t>3578091905890001</t>
  </si>
  <si>
    <t>081232360889</t>
  </si>
  <si>
    <t>JAWA TIMUR</t>
  </si>
  <si>
    <t>angga.yudha.firmansyah@gmail.com</t>
  </si>
  <si>
    <t>MAYA LUSTIYANA, S.AB</t>
  </si>
  <si>
    <t>3507227105940002</t>
  </si>
  <si>
    <t>TANGERANG</t>
  </si>
  <si>
    <t>mayalustiyana94@gmail.com</t>
  </si>
  <si>
    <t>3573052706180002</t>
  </si>
  <si>
    <t xml:space="preserve">AFNAN </t>
  </si>
  <si>
    <t xml:space="preserve">CLUSTER AKORDION REGENCY A7 </t>
  </si>
  <si>
    <t>085954551400</t>
  </si>
  <si>
    <t>17,1</t>
  </si>
  <si>
    <t>DHIMAS DWI NUGRAHA HADISTYA, S.Pd., M.A.</t>
  </si>
  <si>
    <t>3522152709890004</t>
  </si>
  <si>
    <t>MATARAM</t>
  </si>
  <si>
    <t>087759939909</t>
  </si>
  <si>
    <t>POLINEMA</t>
  </si>
  <si>
    <t>JL SOEKARNO HATTA MALANG</t>
  </si>
  <si>
    <t>6jt</t>
  </si>
  <si>
    <t>Dhimasdwinugraha@gmail.com</t>
  </si>
  <si>
    <t>ZIADATUL HIKMIAH, S.Pd., S.Psi., M.Sc.</t>
  </si>
  <si>
    <t>3573056811900002</t>
  </si>
  <si>
    <t xml:space="preserve">PONOROGO </t>
  </si>
  <si>
    <t xml:space="preserve">UNIVERSITAS BRAWIJAYA </t>
  </si>
  <si>
    <t>JL VETERAN MALANG</t>
  </si>
  <si>
    <t>6 jt</t>
  </si>
  <si>
    <t>ziadatulhikmiah@gmail.com</t>
  </si>
  <si>
    <t xml:space="preserve">RIDA RUHAMAWATI </t>
  </si>
  <si>
    <t>+62 815-5973-8443</t>
  </si>
  <si>
    <t>JL SAXOFON NO.30 MALANG</t>
  </si>
  <si>
    <t>TK TUNAS HARAPAN</t>
  </si>
  <si>
    <t>SUARU BULUROTO</t>
  </si>
  <si>
    <t>3505112304190002</t>
  </si>
  <si>
    <t>AGAM IZAR PRASETYO</t>
  </si>
  <si>
    <t>081234064744</t>
  </si>
  <si>
    <t xml:space="preserve">TIDAK ADA </t>
  </si>
  <si>
    <t>BAHASA JAWA DAN INDONESIA</t>
  </si>
  <si>
    <t>EKO AJI PRASETYO</t>
  </si>
  <si>
    <t>3505103010930001</t>
  </si>
  <si>
    <t>+62 857-8285-3936</t>
  </si>
  <si>
    <t>PETERNAK AYAM</t>
  </si>
  <si>
    <t xml:space="preserve">BLITAR GARUM </t>
  </si>
  <si>
    <t>5jt</t>
  </si>
  <si>
    <t>Ajieko166@gmail.com</t>
  </si>
  <si>
    <t xml:space="preserve">AYEN KLIMENTIN </t>
  </si>
  <si>
    <t>3505115902990001</t>
  </si>
  <si>
    <t>08123064744</t>
  </si>
  <si>
    <t>DI RUMH</t>
  </si>
  <si>
    <t>ayenchemol22@gmail.com</t>
  </si>
  <si>
    <t>AYEN KLIMENTIN</t>
  </si>
  <si>
    <t>AGHNIA CYRAUZA RAMADHAN</t>
  </si>
  <si>
    <t>CYRA</t>
  </si>
  <si>
    <t>JAKARTA SELATAN</t>
  </si>
  <si>
    <t xml:space="preserve">JLN ARIEF RAHMAN HAKIM NO.81 </t>
  </si>
  <si>
    <t>SIDOMORO</t>
  </si>
  <si>
    <t>KEBOMAS</t>
  </si>
  <si>
    <t>081335181093</t>
  </si>
  <si>
    <t>108</t>
  </si>
  <si>
    <t>MUHAMAD GHONIYYU MAULIDIPUTA</t>
  </si>
  <si>
    <t>3525141608950001</t>
  </si>
  <si>
    <t>LIPPO LIFE ASSURANCE</t>
  </si>
  <si>
    <t>GEDUNG LIPPO KUNINGAN LANTAI 17, UNIT E, JALAN HAJI R. RASUNA SAID KAV. B12, RT.6/RW.7, KUNINGAN, KARET KUNINGAN, KECAMATAN SETIABUDI, KOTA JAKARTA SELATAN, DAERAH KHUSUS IBUKOTA JAKARTA 12920</t>
  </si>
  <si>
    <t>(6221) 297 70877</t>
  </si>
  <si>
    <t>ghoniyyumaulidi@gmail.com</t>
  </si>
  <si>
    <t>ARIFIA DWI KARALN</t>
  </si>
  <si>
    <t>367404520599005</t>
  </si>
  <si>
    <t>RIAU</t>
  </si>
  <si>
    <t>RAUDHATUL ATHFAL (RA)</t>
  </si>
  <si>
    <t xml:space="preserve">RA AL-HIKAM </t>
  </si>
  <si>
    <t xml:space="preserve">BUKIR SARI </t>
  </si>
  <si>
    <t>3511163006180001</t>
  </si>
  <si>
    <t>AHMAD AZMI ADNANI</t>
  </si>
  <si>
    <t>AZMI</t>
  </si>
  <si>
    <t>PERUM MANGGA 5 GG 1 NO. 6</t>
  </si>
  <si>
    <t xml:space="preserve">PRAJEKAN </t>
  </si>
  <si>
    <t>PRAJEKAN</t>
  </si>
  <si>
    <t>08113389504</t>
  </si>
  <si>
    <t>25</t>
  </si>
  <si>
    <t>dr. M. HABIB MUZAKKI, M. Kes</t>
  </si>
  <si>
    <t>3511161202810002</t>
  </si>
  <si>
    <t>081358104704</t>
  </si>
  <si>
    <t>PUSKESMAS CERME</t>
  </si>
  <si>
    <t>JALAN RAYA CERME, DESA SULING KULON, KECAMATAN CERME, KABUPATEN BONDOWOSO</t>
  </si>
  <si>
    <t>10 juta</t>
  </si>
  <si>
    <t>ulima0803@gmail.com</t>
  </si>
  <si>
    <t xml:space="preserve">Dr. LAILY ABIDA, M. Psi., PSIKOLOG </t>
  </si>
  <si>
    <t>3511165812830001</t>
  </si>
  <si>
    <t>PSIKOLOG, DOSEN</t>
  </si>
  <si>
    <t>STAIMA AL-HIKAM MALANG</t>
  </si>
  <si>
    <t>CENGGER AYAM 25</t>
  </si>
  <si>
    <t>8 juta</t>
  </si>
  <si>
    <t>laily@staima-alhikam.ac.id</t>
  </si>
  <si>
    <t>ALFI RAHMAWATI, S. Pertanian</t>
  </si>
  <si>
    <t>081333893515</t>
  </si>
  <si>
    <t>BANTARAN BARAT III/35</t>
  </si>
  <si>
    <t>016</t>
  </si>
  <si>
    <t>3573052209180002</t>
  </si>
  <si>
    <t>AHSAN MUHAMMAD DIPA</t>
  </si>
  <si>
    <t>AHSAN</t>
  </si>
  <si>
    <t>JL. VINOLIA PERUMAHAN PURI BUNGA B19</t>
  </si>
  <si>
    <t>JARIMULYO</t>
  </si>
  <si>
    <t>1 KG</t>
  </si>
  <si>
    <t>082132666899</t>
  </si>
  <si>
    <t>22</t>
  </si>
  <si>
    <t>MUHAMMAD SUHADI</t>
  </si>
  <si>
    <t>3573050706760009</t>
  </si>
  <si>
    <t>081333374477</t>
  </si>
  <si>
    <t>- MANDIRI</t>
  </si>
  <si>
    <t>KEC. JABUNG, KAB. MALANG</t>
  </si>
  <si>
    <t>Rp. 50.000.000,00</t>
  </si>
  <si>
    <t>mhd_suhadi@yahoo.com</t>
  </si>
  <si>
    <t>DESY ARDIYANI</t>
  </si>
  <si>
    <t>3573056512800014</t>
  </si>
  <si>
    <t>desy.muhammad@gmail.com</t>
  </si>
  <si>
    <t>TK ALGHONIYA</t>
  </si>
  <si>
    <t>JALAN NUSA INDAH NO 33</t>
  </si>
  <si>
    <t>3573056309180005</t>
  </si>
  <si>
    <t>AISYAH</t>
  </si>
  <si>
    <t>JALAN CENGGER AYAM 1A NO 29</t>
  </si>
  <si>
    <t>2,5 KM</t>
  </si>
  <si>
    <t>0822-3224-8511</t>
  </si>
  <si>
    <t>085103301161</t>
  </si>
  <si>
    <t xml:space="preserve">KUSUMA NUGROHO AGUNG PRABOWO ST </t>
  </si>
  <si>
    <t>3573022111780004</t>
  </si>
  <si>
    <t>081336833707</t>
  </si>
  <si>
    <t xml:space="preserve">KONSULTAN ELECTRICAL </t>
  </si>
  <si>
    <t xml:space="preserve">PT BERAU VARITAS </t>
  </si>
  <si>
    <t>JALAN GATOT SUBROTO NO 8 RT 8/RW 8 MENTENG DALAM - JAKARTA</t>
  </si>
  <si>
    <t>02129069411</t>
  </si>
  <si>
    <t>14 juta</t>
  </si>
  <si>
    <t>kusumaprabowo@yahoo.com</t>
  </si>
  <si>
    <t xml:space="preserve">TREVI WULANDARI </t>
  </si>
  <si>
    <t>3522156909880003</t>
  </si>
  <si>
    <t>WIRASWASTA DAGANG</t>
  </si>
  <si>
    <t xml:space="preserve">OMAH NJAJAN AISYAH </t>
  </si>
  <si>
    <t xml:space="preserve">JALAN CENGGER AYAM 1A NO 29 LOWOKWARU KOTA MALANG </t>
  </si>
  <si>
    <t>4 juta</t>
  </si>
  <si>
    <t>viviannanda01@gmail.com</t>
  </si>
  <si>
    <t>3573054611180001</t>
  </si>
  <si>
    <t>AIZA AQSHA SAMANHUDI</t>
  </si>
  <si>
    <t>AIZA</t>
  </si>
  <si>
    <t>ASD DAN SPEECH DELAY</t>
  </si>
  <si>
    <t>GRIYASHANTA D 301</t>
  </si>
  <si>
    <t>0341490210</t>
  </si>
  <si>
    <t>081334359727</t>
  </si>
  <si>
    <t>35</t>
  </si>
  <si>
    <t>123</t>
  </si>
  <si>
    <t>RIFQI SAMANHUDI</t>
  </si>
  <si>
    <t>5201091706890001</t>
  </si>
  <si>
    <t>082247002005</t>
  </si>
  <si>
    <t>KEMENKUMHAM-LAPAS MALANG</t>
  </si>
  <si>
    <t>JL ASAHAN, KEC BLIMBING MALANG</t>
  </si>
  <si>
    <t>Rifqisamanhudi@gmail.com</t>
  </si>
  <si>
    <t>MARSHA BANIITA FIRDLO</t>
  </si>
  <si>
    <t>3573056311890003</t>
  </si>
  <si>
    <t>USAHA PRIBADI-SASHA SHOP</t>
  </si>
  <si>
    <t>JL MT HARYONO NO 128 MALANG</t>
  </si>
  <si>
    <t>Marsha.baniita.firdlo@gmail.com</t>
  </si>
  <si>
    <t>JL. CANDI PANGGUNG INDAH NO. 1-3 RT 5/RW 8 KELURAHAN MOJOLANGU KECAMATAN LOWOKWARU KOTA MALANG</t>
  </si>
  <si>
    <t>3573054511180003</t>
  </si>
  <si>
    <t>AIZA KHAIRANIA ZANNA</t>
  </si>
  <si>
    <t>CENGKEH REGENCY KAV. 2 JALAN SONGGOLANGIT</t>
  </si>
  <si>
    <t>21</t>
  </si>
  <si>
    <t>117</t>
  </si>
  <si>
    <t>FARIZ IZZAN AGUSTA, S. Kom</t>
  </si>
  <si>
    <t>6474030808920004</t>
  </si>
  <si>
    <t>BONTANG</t>
  </si>
  <si>
    <t>083834663388</t>
  </si>
  <si>
    <t>PT. AKSI VISITAMA (TADA)</t>
  </si>
  <si>
    <t>SETIABUDI ATRIUM 6TH FLOOR SUITE 602 JL. H. R. RASUNA SAID, KAV 62, KUNINGAN, RT.18/RW.2, KUNINGAN, KARET, KECAMATAN SETIABUDI, KOTA JAKARTA SELATAN, DAERAH KHUSUS IBUKOTA JAKARTA 12920</t>
  </si>
  <si>
    <t>021-1500340</t>
  </si>
  <si>
    <t>&gt; 5.000.000</t>
  </si>
  <si>
    <t>fiagusta@gmail.com</t>
  </si>
  <si>
    <t>NABELLA QONITA, S. Kom</t>
  </si>
  <si>
    <t>3507224605930001</t>
  </si>
  <si>
    <t>085155499619</t>
  </si>
  <si>
    <t>nabellaqonita@gmail.com</t>
  </si>
  <si>
    <t>TK GITA NANDA</t>
  </si>
  <si>
    <t>JL. SUDIMORO NO. 21 A</t>
  </si>
  <si>
    <t>3573051608180008</t>
  </si>
  <si>
    <t>ASKA</t>
  </si>
  <si>
    <t xml:space="preserve">JL. IKAN LODAN VI NO.9 </t>
  </si>
  <si>
    <t xml:space="preserve">TUNJUNGSEKAR </t>
  </si>
  <si>
    <t>4-5 KM</t>
  </si>
  <si>
    <t>08819178999</t>
  </si>
  <si>
    <t>088808254304/08819178999</t>
  </si>
  <si>
    <t>114</t>
  </si>
  <si>
    <t xml:space="preserve">IWAN JUNAEDI </t>
  </si>
  <si>
    <t>3524171406810001</t>
  </si>
  <si>
    <t xml:space="preserve">LAMONGAN </t>
  </si>
  <si>
    <t>081232991234</t>
  </si>
  <si>
    <t xml:space="preserve">FREELANCE DRIVER </t>
  </si>
  <si>
    <t xml:space="preserve">JL. IKAN LODAN VI </t>
  </si>
  <si>
    <t>junaedi.ione88@gmail.com</t>
  </si>
  <si>
    <t>TITI LARASATI</t>
  </si>
  <si>
    <t>3507226408830002</t>
  </si>
  <si>
    <t>085853435995</t>
  </si>
  <si>
    <t>KEUANGAN</t>
  </si>
  <si>
    <t>theafamilyofficial@gmail.com</t>
  </si>
  <si>
    <t>SUMIATI</t>
  </si>
  <si>
    <t>0341465306</t>
  </si>
  <si>
    <t>SD</t>
  </si>
  <si>
    <t>PERUM SENGKALING INDAH II JL. KEMUNING V NO. 7</t>
  </si>
  <si>
    <t>TK STAR KIDS</t>
  </si>
  <si>
    <t>PERUM BUMI MONDOROKO RAYA BLOK AJ 49A</t>
  </si>
  <si>
    <t>3575020206180001</t>
  </si>
  <si>
    <t>AKMAL HAFIZH RIVANDRA</t>
  </si>
  <si>
    <t>AKMAL</t>
  </si>
  <si>
    <t>PERUM BUMI MONDOROKO RAYA BLOK GM 1 NO 10</t>
  </si>
  <si>
    <t>WATUGEDE</t>
  </si>
  <si>
    <t>9</t>
  </si>
  <si>
    <t>085655557475</t>
  </si>
  <si>
    <t>18</t>
  </si>
  <si>
    <t>TEGUH PRASETYO, S.Si</t>
  </si>
  <si>
    <t>3506252001910001</t>
  </si>
  <si>
    <t>KEMENTRIAN KEUANGAN</t>
  </si>
  <si>
    <t>RADITYA PRATAMA WITAYANDANI, S.Gz</t>
  </si>
  <si>
    <t>3575024307920001</t>
  </si>
  <si>
    <t>UPT PUSKESMAS BEJI</t>
  </si>
  <si>
    <t>JL. IR SOEKARNO NO 30 KOTA BATU</t>
  </si>
  <si>
    <t>witaraditya@gmail.com</t>
  </si>
  <si>
    <t>DAVIES YUDISNO. S.S</t>
  </si>
  <si>
    <t>081803830577</t>
  </si>
  <si>
    <t>JL CANDI PANGGUNG NO 1 - 3 MALANG</t>
  </si>
  <si>
    <t>3573056405190001</t>
  </si>
  <si>
    <t>ALEIA DIARO ANASYASHEVA</t>
  </si>
  <si>
    <t>SHEVA</t>
  </si>
  <si>
    <t>PERMATA JINGGA WEST AREA BLOK C 2</t>
  </si>
  <si>
    <t>082333588805</t>
  </si>
  <si>
    <t>081333249662</t>
  </si>
  <si>
    <t>27,5 KG</t>
  </si>
  <si>
    <t>117 CM</t>
  </si>
  <si>
    <t>ROBY RACHMANSYAH PUTRA WIBAWA, SH</t>
  </si>
  <si>
    <t>3507251902830002</t>
  </si>
  <si>
    <t>DIAH RAHMAWATI</t>
  </si>
  <si>
    <t>3507255205860001</t>
  </si>
  <si>
    <t>PT ASTRA DAIHATSU MALANG</t>
  </si>
  <si>
    <t>JL AHMAD YANI 175 MALANG</t>
  </si>
  <si>
    <t>&gt; 10 juta</t>
  </si>
  <si>
    <t>rdiah86@gmail.com</t>
  </si>
  <si>
    <t>JL CANDI PANGGUNG INDAH NO 1-3 KOTA MALANG</t>
  </si>
  <si>
    <t>3578251011180002</t>
  </si>
  <si>
    <t>ALMIRZA ZHAFIR AKIHIKO</t>
  </si>
  <si>
    <t>IKO</t>
  </si>
  <si>
    <t>AUTISME</t>
  </si>
  <si>
    <t>JL BUNGA FLAMBOYAN NO 49</t>
  </si>
  <si>
    <t>+/- 6KM</t>
  </si>
  <si>
    <t>0341409910</t>
  </si>
  <si>
    <t>081333398600</t>
  </si>
  <si>
    <t>APT. MIRZA FARISI EDRIA,S.Farm</t>
  </si>
  <si>
    <t>3578251204870001</t>
  </si>
  <si>
    <t>085648002734</t>
  </si>
  <si>
    <t>RS SAIFUL ANWAR MALANG</t>
  </si>
  <si>
    <t>JL JAKSA AGUNG SUPRAPTO NO 2 KOTA MALANG</t>
  </si>
  <si>
    <t>0341 362101</t>
  </si>
  <si>
    <t>6.000.000-10.000.000</t>
  </si>
  <si>
    <t>mirzaedria@gmail.com</t>
  </si>
  <si>
    <t>dr. EDZA AKELEI RYANTIFA,SpOG</t>
  </si>
  <si>
    <t>3514114106870001</t>
  </si>
  <si>
    <t>DOKTER SPESIALIS OBSTETRI DAN GINEKOLOGI</t>
  </si>
  <si>
    <t xml:space="preserve">RSI MASYITHOH BANGIL </t>
  </si>
  <si>
    <t>JL A.YANI NO 6 BANGIL-PASURUAN</t>
  </si>
  <si>
    <t>0343741018</t>
  </si>
  <si>
    <t>20.000.000-30.000.000</t>
  </si>
  <si>
    <t>edza.akelei@gmail.com</t>
  </si>
  <si>
    <t>Dr.ARIESZA T PERMATA,SPd,MPd</t>
  </si>
  <si>
    <t>081233245981</t>
  </si>
  <si>
    <t xml:space="preserve">PERUM KEBONWARIS PERMAH 1 BLOK C NO 6 PANDAAN </t>
  </si>
  <si>
    <t xml:space="preserve">KEBONWARIS </t>
  </si>
  <si>
    <t>PANDAAN</t>
  </si>
  <si>
    <t>KABUPATEN PASURUAN</t>
  </si>
  <si>
    <t>3174095006190010</t>
  </si>
  <si>
    <t>ALUNA GANTARIBUMI DARMAWAN</t>
  </si>
  <si>
    <t>ALUNA</t>
  </si>
  <si>
    <t>MUTIARA JINGGA RESIDENCE BLOK A77</t>
  </si>
  <si>
    <t>000</t>
  </si>
  <si>
    <t>085694848419</t>
  </si>
  <si>
    <t>112</t>
  </si>
  <si>
    <t>HARIS DARMAWAN PUTRA S.Pn</t>
  </si>
  <si>
    <t>3517010504920002</t>
  </si>
  <si>
    <t>081290996726</t>
  </si>
  <si>
    <t>PT PP PROPERTY TBK</t>
  </si>
  <si>
    <t>BEGAWAN APARTMENT, JL. TLOGOMAS NO 1-3, MALANG</t>
  </si>
  <si>
    <t>harisdputra@gmail.com</t>
  </si>
  <si>
    <t>SUCIATY, S.Pn</t>
  </si>
  <si>
    <t>3174045506920009</t>
  </si>
  <si>
    <t>DIRUMAH</t>
  </si>
  <si>
    <t>ssuciaty@gmail.com</t>
  </si>
  <si>
    <t xml:space="preserve">LOVELYBEE </t>
  </si>
  <si>
    <t>RUKO TAMAN NIAGA SUKARNO HATTA</t>
  </si>
  <si>
    <t>3573015605190007</t>
  </si>
  <si>
    <t>ANDHARA JELITA RAMADHANI</t>
  </si>
  <si>
    <t>ARA</t>
  </si>
  <si>
    <t>JALAN CILIWUNG II NO 23E KOTA MALANG</t>
  </si>
  <si>
    <t>081216006877</t>
  </si>
  <si>
    <t>24KG</t>
  </si>
  <si>
    <t>120CM</t>
  </si>
  <si>
    <t>DADANG SYAHRUNA WINARTO PUTRO Amd</t>
  </si>
  <si>
    <t>3573050508850007</t>
  </si>
  <si>
    <t>BANGKALAN</t>
  </si>
  <si>
    <t>081333400092</t>
  </si>
  <si>
    <t>RESTO BEBEK SINJAY MADURA</t>
  </si>
  <si>
    <t>JALAN PERUSAHAAN NO 45 KARANGLO SINGOSARI KABUPATEN MALANG</t>
  </si>
  <si>
    <t>syahruna1886@gmail.com</t>
  </si>
  <si>
    <t>NOVITASARI</t>
  </si>
  <si>
    <t>3573014411920005</t>
  </si>
  <si>
    <t>CAFE SEMOX JUICE</t>
  </si>
  <si>
    <t xml:space="preserve">JL. KALIURANG NO 52 </t>
  </si>
  <si>
    <t>Novitasarie1192@gmail.com</t>
  </si>
  <si>
    <t>ANDRA</t>
  </si>
  <si>
    <t>POLOWIJEN</t>
  </si>
  <si>
    <t>3510065201190003</t>
  </si>
  <si>
    <t>ANINDYASWARI MAHIRA UTOMO</t>
  </si>
  <si>
    <t>NINDY</t>
  </si>
  <si>
    <t>MALANG 12 JANUARI 2019</t>
  </si>
  <si>
    <t>SLOW LEARNER</t>
  </si>
  <si>
    <t>PERUM PERMATA JINGGA WEST AREA I 14</t>
  </si>
  <si>
    <t>1,8 KM</t>
  </si>
  <si>
    <t>082194774878</t>
  </si>
  <si>
    <t>24 KG</t>
  </si>
  <si>
    <t>115 CM</t>
  </si>
  <si>
    <t>ADHEN BAGUSSA UTOMO ST</t>
  </si>
  <si>
    <t>6408040911840005</t>
  </si>
  <si>
    <t>08114616900</t>
  </si>
  <si>
    <t>PT PERTAMINA PERSERO</t>
  </si>
  <si>
    <t>PERTAMINA OFFICE BUILDING SURABAYA JL JAGIR WONOKROMO NO 88 JAGIR WONOKROMO SURABAYA JAWA TIMUR 60243</t>
  </si>
  <si>
    <t>(031) 8492400</t>
  </si>
  <si>
    <t>36.688.000</t>
  </si>
  <si>
    <t>adhen.utomo@pertamina.com</t>
  </si>
  <si>
    <t>FITRI ARIFIYANTI S Sos</t>
  </si>
  <si>
    <t>6408044406860002</t>
  </si>
  <si>
    <t>fitriarifiyanti04@gmail.com</t>
  </si>
  <si>
    <t>ADHEN BAGUSSA UTOMO</t>
  </si>
  <si>
    <t>JALAN CANDI PANGGUNG INDAH NO 1-3, KOTA MALANG</t>
  </si>
  <si>
    <t>3506250902190001</t>
  </si>
  <si>
    <t>AQMAR IZZA PRAMUDANA</t>
  </si>
  <si>
    <t>AQMAR</t>
  </si>
  <si>
    <t>PERUMAHAN GRANDA ARUMBA BLOK B NO 7, JALAN ARUMBA KEC. LOWOKWARU KEL. TUNGGULWULUNG KOTA MALANG JAWA TIMUR 65143</t>
  </si>
  <si>
    <t>0,5 KM</t>
  </si>
  <si>
    <t>081230293091</t>
  </si>
  <si>
    <t>085649268653</t>
  </si>
  <si>
    <t>21 KG</t>
  </si>
  <si>
    <t>PONCO WIDODO, SE</t>
  </si>
  <si>
    <t>3305191005850001</t>
  </si>
  <si>
    <t>KEBUMEN</t>
  </si>
  <si>
    <t>APARAT SIPIL NEGARA (ASN)</t>
  </si>
  <si>
    <t>KEMENTERIAN KEUANGAN REPUBLIK INDONESIA, DIREKTORAT JENDERAL PERBENDAHARAAN</t>
  </si>
  <si>
    <t>GEDUNG KEUANGAN NEGARA JAYAPURA, JALAN AHMAD YANI NO 8 KEL. GURABESI KEC. JAYAPURA UTARA KOTA JAYAPURA PROVINSI PAPUA 99222</t>
  </si>
  <si>
    <t>0967-531612</t>
  </si>
  <si>
    <t>Rp. 12.000.000,-</t>
  </si>
  <si>
    <t>ponco.widodo@kemenkeu.go.id</t>
  </si>
  <si>
    <t>AJENG WAHYU PUSPITASARI, SE, MA</t>
  </si>
  <si>
    <t>3506256105860001</t>
  </si>
  <si>
    <t>ajengwahyupuspitasari@gmail.com</t>
  </si>
  <si>
    <t>TK OMAH BOCAH ANNAAFI</t>
  </si>
  <si>
    <t>3573022702190002</t>
  </si>
  <si>
    <t>ARJUNA RAZZANO SUBANDRIO</t>
  </si>
  <si>
    <t>JUNA</t>
  </si>
  <si>
    <t>JL. DIENG NO. 7</t>
  </si>
  <si>
    <t>GADING KASRI</t>
  </si>
  <si>
    <t>6.2 KM</t>
  </si>
  <si>
    <t>081916160416</t>
  </si>
  <si>
    <t>24</t>
  </si>
  <si>
    <t>INDONESIA DAN INGGRIS</t>
  </si>
  <si>
    <t>ARYACIPTA SUBANDRIO, S.E.</t>
  </si>
  <si>
    <t>3573022104870001</t>
  </si>
  <si>
    <t>081322314914</t>
  </si>
  <si>
    <t>PT. START SPORT INDONESIA</t>
  </si>
  <si>
    <t>JL. GAJAYANA NO. 14C, KETAWANGGEDE, LOWOKWARU, MALANG</t>
  </si>
  <si>
    <t>8-10jt</t>
  </si>
  <si>
    <t>aryacipta@yahoo.co.id</t>
  </si>
  <si>
    <t>RIZKY AMALIA, S.Si.</t>
  </si>
  <si>
    <t>3275045804920004</t>
  </si>
  <si>
    <t>PT. MEDIA PENGEMBANGAN PROFESI</t>
  </si>
  <si>
    <t>CIBIS NINE LT. 11, JL. TB SIMATUPANG NO. 2 JAKARTA</t>
  </si>
  <si>
    <t>7-10 juta</t>
  </si>
  <si>
    <t>rizky.amalia01@yahoo.co.id</t>
  </si>
  <si>
    <t>TK ANDALISIA KIDS, MERJOSARI, KOTA MALANG</t>
  </si>
  <si>
    <t>JL. JOYO AGUNG NO.57-58, MERJOSARI, KEC. LOWOKWARU, KOTA MALANG, JAWA TIMUR 65144</t>
  </si>
  <si>
    <t>3573055906180002</t>
  </si>
  <si>
    <t>ARKAWANGI LARASATI MAJID</t>
  </si>
  <si>
    <t>WANGI</t>
  </si>
  <si>
    <t>JAKARTA TIMUR</t>
  </si>
  <si>
    <t>PERUM GRAHA DEWATA BLOK BB NO 7-8</t>
  </si>
  <si>
    <t>085736044081</t>
  </si>
  <si>
    <t>113</t>
  </si>
  <si>
    <t>TAM ABDUL MAJID</t>
  </si>
  <si>
    <t>3573052707900002</t>
  </si>
  <si>
    <t>DIREKTORAT JENDERAL PAJAK</t>
  </si>
  <si>
    <t>KPP PRATAMA KEPANJEN, JL RAYA KEPANJEN-PAKISAJI KM.4, KEPANJEN, KAB MALANG</t>
  </si>
  <si>
    <t>0341-398393</t>
  </si>
  <si>
    <t>ozzytam87@gmail.com</t>
  </si>
  <si>
    <t>ELSY ARIFA WULANDINI</t>
  </si>
  <si>
    <t>1610036608870006</t>
  </si>
  <si>
    <t>085655591312</t>
  </si>
  <si>
    <t>elsy.arifa@gmail.com</t>
  </si>
  <si>
    <t>GALUH ADANTI KALISTA ZAHRO</t>
  </si>
  <si>
    <t>08165454694</t>
  </si>
  <si>
    <t>JL TLOGO SURYO V NO 28</t>
  </si>
  <si>
    <t>3507312004190001</t>
  </si>
  <si>
    <t>ARKENZO ZIANDRO KHANZA SUSILO</t>
  </si>
  <si>
    <t>KUBU PRATAMA REGENCY KAV 45 KEPUHARJO KARANGPLOSO</t>
  </si>
  <si>
    <t>tidak ada</t>
  </si>
  <si>
    <t>081331789166</t>
  </si>
  <si>
    <t>19 KG</t>
  </si>
  <si>
    <t>100</t>
  </si>
  <si>
    <t>AGUS SUSILO</t>
  </si>
  <si>
    <t>3505201810800003</t>
  </si>
  <si>
    <t>DISTRIBUTOR</t>
  </si>
  <si>
    <t>AR HELMET</t>
  </si>
  <si>
    <t>SRI RAHAYU</t>
  </si>
  <si>
    <t>3507315803840001</t>
  </si>
  <si>
    <t>TIDK ADA</t>
  </si>
  <si>
    <t>ayukenzo71@gmail.com</t>
  </si>
  <si>
    <t>TATIK</t>
  </si>
  <si>
    <t>081</t>
  </si>
  <si>
    <t>TKIT TARUNA MANDIRI</t>
  </si>
  <si>
    <t>JL KARANGWIDORO BO 14 RT 29 RW 03</t>
  </si>
  <si>
    <t>3573041412180001</t>
  </si>
  <si>
    <t>ARKHAN DHANADIPATI TIYA PRAWIRO</t>
  </si>
  <si>
    <t>ARKHA</t>
  </si>
  <si>
    <t>BUKIT CEMARA TIDAR B51</t>
  </si>
  <si>
    <t xml:space="preserve">SUKUN </t>
  </si>
  <si>
    <t>081334308384</t>
  </si>
  <si>
    <t>ANDI AGUNG PRAWIRO S.H</t>
  </si>
  <si>
    <t>3573011105860004</t>
  </si>
  <si>
    <t>081333326886</t>
  </si>
  <si>
    <t>POLRES KEPANJEN</t>
  </si>
  <si>
    <t>JALAN KEPANJEN NO 1</t>
  </si>
  <si>
    <t>andiagungp17@gmail.com</t>
  </si>
  <si>
    <t>MERLINA NOURMALITA.M.Si M.Psi</t>
  </si>
  <si>
    <t>3573046403890007</t>
  </si>
  <si>
    <t>IBUBRUMAH TANGGA</t>
  </si>
  <si>
    <t>Nourmalita24@gmail.com</t>
  </si>
  <si>
    <t>JL BATU PERMATA NO 9</t>
  </si>
  <si>
    <t>3573052506180005</t>
  </si>
  <si>
    <t>ARRAYYAN AZKA ARVINZA</t>
  </si>
  <si>
    <t>AZKA</t>
  </si>
  <si>
    <t>JL KERTOASRI NO 82 B</t>
  </si>
  <si>
    <t>081235001756</t>
  </si>
  <si>
    <t>081288895669</t>
  </si>
  <si>
    <t>ANGGI SUROPRAYOGO, Amd</t>
  </si>
  <si>
    <t>3573051207910002</t>
  </si>
  <si>
    <t>PT. GUDANG GARAM, TBK</t>
  </si>
  <si>
    <t>DUSUN KALIPUTIH, SUMBERSUKO, KEC. GEMPOL KAB. PASURUAN, 67157</t>
  </si>
  <si>
    <t>12.800.000</t>
  </si>
  <si>
    <t>suroprayogo12@gmail.com</t>
  </si>
  <si>
    <t>RIZKA FIRDAUSI RAMASARI, SAP</t>
  </si>
  <si>
    <t>3573032402920004</t>
  </si>
  <si>
    <t>JL KERTOASRI NO 82B</t>
  </si>
  <si>
    <t>firdausi.rizka@gmail.com</t>
  </si>
  <si>
    <t>HARLAH YUNARWATI</t>
  </si>
  <si>
    <t>085755387296</t>
  </si>
  <si>
    <t xml:space="preserve"> JL IKAN KAKAP NO 90 TUNJUNGSEKAR MALANG</t>
  </si>
  <si>
    <t>3573052511180001</t>
  </si>
  <si>
    <t>ARSENIO PUTRA WARDHANA</t>
  </si>
  <si>
    <t>ARSEN</t>
  </si>
  <si>
    <t>JL IKAN ARWANA BLOK G7</t>
  </si>
  <si>
    <t>082132194550</t>
  </si>
  <si>
    <t>085232148004</t>
  </si>
  <si>
    <t>27</t>
  </si>
  <si>
    <t>TRISTIANTA ISTIAR WARDHANA</t>
  </si>
  <si>
    <t>3573011511860001</t>
  </si>
  <si>
    <t>085231313464</t>
  </si>
  <si>
    <t>CV. SARANA KREATIF NUSANTARA</t>
  </si>
  <si>
    <t>JL IKAN ARWANA BLOK G7 RT 008 RW 004 KEL. TUNJUNGSEKAR KEC. LOWOKWARU KOTA MALANG</t>
  </si>
  <si>
    <t>Tristianta.wardana@gmail.com</t>
  </si>
  <si>
    <t>YATNI SARISTIKA</t>
  </si>
  <si>
    <t>5201145110870001</t>
  </si>
  <si>
    <t xml:space="preserve">BANK MANDIRI </t>
  </si>
  <si>
    <t>JL LETJEN SUTOYO NO 18-20 MALANG</t>
  </si>
  <si>
    <t>yatnisaristika@gmail.com</t>
  </si>
  <si>
    <t>TK HUDAN CENDIKIA</t>
  </si>
  <si>
    <t>PERUM VILLA BUKIT TIDAR BLOK A4 NO.209A</t>
  </si>
  <si>
    <t>3573050902190001</t>
  </si>
  <si>
    <t>ARYASH MUHAMMAD ZUHUD AMARTYA</t>
  </si>
  <si>
    <t>ARYASH</t>
  </si>
  <si>
    <t>JL. MANGGAR NO.35B</t>
  </si>
  <si>
    <t>5.7 KM</t>
  </si>
  <si>
    <t>081233306660</t>
  </si>
  <si>
    <t>082232033203</t>
  </si>
  <si>
    <t>17.5 KG</t>
  </si>
  <si>
    <t>ADHITYA OCTARIDWAN YUDHANTO, S.T.</t>
  </si>
  <si>
    <t>3573042710920005</t>
  </si>
  <si>
    <t>PT PLN ENERGI PRIMER INDONESIA</t>
  </si>
  <si>
    <t xml:space="preserve">CENTENNIAL TOWER, LANTAI 7-8, JL. GATOT SUBROTO NO 24-25 SETIABUDI, JAKARTA 12930
</t>
  </si>
  <si>
    <t>(021) 21684025; (021)21684027</t>
  </si>
  <si>
    <t>adhityaoy1@gmail.com</t>
  </si>
  <si>
    <t>DINDA RINDI PUTRI MARIANA, S.E.</t>
  </si>
  <si>
    <t>3573054603940007</t>
  </si>
  <si>
    <t>dindarindipm@gmail.com</t>
  </si>
  <si>
    <t>SITI JOHARINDIYAH</t>
  </si>
  <si>
    <t>081333695249</t>
  </si>
  <si>
    <t>JL. JOYO AGUNG MERJOSARI MALANG</t>
  </si>
  <si>
    <t>3507220903190005</t>
  </si>
  <si>
    <t>ATHALLA MUHAMMAD ARKANANTA</t>
  </si>
  <si>
    <t>ATHALLA</t>
  </si>
  <si>
    <t xml:space="preserve">GREEN ORCHID RESIDENCE CLUSTER ESMERALDA B 28 </t>
  </si>
  <si>
    <t>082228505900</t>
  </si>
  <si>
    <t>08222850590</t>
  </si>
  <si>
    <t>MUHAMMAD SONI ALFAN S.Hi</t>
  </si>
  <si>
    <t>3510141905840007</t>
  </si>
  <si>
    <t>0811858818</t>
  </si>
  <si>
    <t>DOME TACKLE</t>
  </si>
  <si>
    <t>PERU BUKIT CEMARA TIDAR</t>
  </si>
  <si>
    <t>iinindrawati5341@gmail.com</t>
  </si>
  <si>
    <t>INDRAWATI S.Hi</t>
  </si>
  <si>
    <t>3518095709860005</t>
  </si>
  <si>
    <t>GREEN ORCHID RESIDENCE</t>
  </si>
  <si>
    <t>JL AMPEL PRATAMA V BLOK E2/IX PERUM PESANGGRAHAN PRATAMA KARANGPLOSO</t>
  </si>
  <si>
    <t>3573036205190002</t>
  </si>
  <si>
    <t>AURELLIA KAYLEE MAHESWARI RAMADHANI</t>
  </si>
  <si>
    <t>KAYLEE</t>
  </si>
  <si>
    <t>JL LANGSEP PERUM PURI FIRDAUS BLOK H-17</t>
  </si>
  <si>
    <t>081332671244</t>
  </si>
  <si>
    <t>081240042118</t>
  </si>
  <si>
    <t>ARI WINARDI</t>
  </si>
  <si>
    <t>3517031501890002</t>
  </si>
  <si>
    <t>PT. FREEPORT INDONESIA</t>
  </si>
  <si>
    <t>TEMBAGAPURA, MILE68. MIMIKA, PAPUA TENGAH</t>
  </si>
  <si>
    <t>0901468990</t>
  </si>
  <si>
    <t>7jt /bulan</t>
  </si>
  <si>
    <t>ariwinardi15@gamil.com</t>
  </si>
  <si>
    <t>YULANDA NUR MAULANA ANGGRAINI</t>
  </si>
  <si>
    <t>3573036407960002</t>
  </si>
  <si>
    <t xml:space="preserve">. </t>
  </si>
  <si>
    <t>JL. CANDI PANGGUNG INDAH NO.1-3, KOTA MALANG, JAWA TIMUR</t>
  </si>
  <si>
    <t>3507222212170001</t>
  </si>
  <si>
    <t>AZLAN KHALID PUA JIWA</t>
  </si>
  <si>
    <t>AZLAN</t>
  </si>
  <si>
    <t xml:space="preserve">PERUMAHAN BUMI TUNGGULWULUNG INDAH BLOK S/14
</t>
  </si>
  <si>
    <t>085233150111</t>
  </si>
  <si>
    <t>0852331510111</t>
  </si>
  <si>
    <t>125</t>
  </si>
  <si>
    <t>FUAD MUAFFAN S. Kom</t>
  </si>
  <si>
    <t>3510090309870005</t>
  </si>
  <si>
    <t>DILI</t>
  </si>
  <si>
    <t>ATOYMAC</t>
  </si>
  <si>
    <t>JL. RAYA TLOGOMAS NO.12, TLOGOMAS, KEC. LOWOKWARU, KOTA MALANG, JAWA TIMUR 65144</t>
  </si>
  <si>
    <t>fuadmuaffan@gmail.com</t>
  </si>
  <si>
    <t>MAYA SHOFA S. Pd</t>
  </si>
  <si>
    <t>3216095409870007</t>
  </si>
  <si>
    <t>081213141987</t>
  </si>
  <si>
    <t>PERUM BUMI TUNGGULWULUNG INDAH S 14</t>
  </si>
  <si>
    <t>shofamaya87@gmail.com</t>
  </si>
  <si>
    <t>RA ISKANDAR SULAIMAN</t>
  </si>
  <si>
    <t>SEKARPUTIH, PENDEM</t>
  </si>
  <si>
    <t>3579034308180001</t>
  </si>
  <si>
    <t>BELLATRIX RUBY AILOVA</t>
  </si>
  <si>
    <t>RUBY</t>
  </si>
  <si>
    <t>PERUM. DE DAUN RESIDENCE</t>
  </si>
  <si>
    <t>032</t>
  </si>
  <si>
    <t>KURANG LEBIH 6KM</t>
  </si>
  <si>
    <t>08999083075</t>
  </si>
  <si>
    <t>32</t>
  </si>
  <si>
    <t>YUDIANTO</t>
  </si>
  <si>
    <t>3312190302880001</t>
  </si>
  <si>
    <t>08993103886</t>
  </si>
  <si>
    <t>POLRES BATU</t>
  </si>
  <si>
    <t>0341599045</t>
  </si>
  <si>
    <t>Yudianto2912@gmail.com</t>
  </si>
  <si>
    <t>MURFI RISTAMONIKA, S.Ikom</t>
  </si>
  <si>
    <t>3172044104880001</t>
  </si>
  <si>
    <t>MEDAN</t>
  </si>
  <si>
    <t>ristamonika50@gmail.com</t>
  </si>
  <si>
    <t>SURYANI SINAGA</t>
  </si>
  <si>
    <t>BELAWAN</t>
  </si>
  <si>
    <t>0895321798919</t>
  </si>
  <si>
    <t>ASRAMA AIRUD CILINCING BLOK E2/6</t>
  </si>
  <si>
    <t>SEMPER TIMUR</t>
  </si>
  <si>
    <t>CILINCING</t>
  </si>
  <si>
    <t>JAKARTA UTARA</t>
  </si>
  <si>
    <t>TK ANAK SALEHANAK SALEH</t>
  </si>
  <si>
    <t>3573040912180003</t>
  </si>
  <si>
    <t>BERYL ADZKAN MAGHALI</t>
  </si>
  <si>
    <t>BERYL</t>
  </si>
  <si>
    <t>PERUM GARDEN RESIDENCE BLOK ASOKA NO. 31</t>
  </si>
  <si>
    <t>081255577446</t>
  </si>
  <si>
    <t>ZULVICAR EDO FEBRIANSYAH</t>
  </si>
  <si>
    <t>3573040102900005</t>
  </si>
  <si>
    <t>081255544118</t>
  </si>
  <si>
    <t>RSSA</t>
  </si>
  <si>
    <t>JA. SUPRAPTO NO.2</t>
  </si>
  <si>
    <t>Edofebriansyah23@gmail.com</t>
  </si>
  <si>
    <t>JOHANY PUTRIA PERDANA</t>
  </si>
  <si>
    <t>3520136409890002</t>
  </si>
  <si>
    <t>RSU. PERMATA BUNDA</t>
  </si>
  <si>
    <t>JL. SOEKARNI HATTA 75</t>
  </si>
  <si>
    <t>johanuputriaperdana@gmail.com</t>
  </si>
  <si>
    <t>3507236803190007</t>
  </si>
  <si>
    <t>BIL ASABINTANG ALDHARA</t>
  </si>
  <si>
    <t>BIL</t>
  </si>
  <si>
    <t xml:space="preserve">JL. KAUMAN 1 NO. 6 </t>
  </si>
  <si>
    <t>5,8 KM</t>
  </si>
  <si>
    <t>085640687767</t>
  </si>
  <si>
    <t>FAISAL ROMADONNA PUTRA S.Ikom</t>
  </si>
  <si>
    <t>3507232303910001</t>
  </si>
  <si>
    <t>0895366570828</t>
  </si>
  <si>
    <t>PERUMAHAN</t>
  </si>
  <si>
    <t>JL. CHILI, JOYOGRAND BLOK GRAHA UTAMA A01 NO.146, MERJOSARI, KEC. LOWOKWARU, KOTA MALANG, JAWA TIMUR 65144</t>
  </si>
  <si>
    <t>+628888725878</t>
  </si>
  <si>
    <t>6.500.000</t>
  </si>
  <si>
    <t>Faisalramdhanputra@gmail.com</t>
  </si>
  <si>
    <t>RADIVA ALBALGIS S.M</t>
  </si>
  <si>
    <t>3507234307980003</t>
  </si>
  <si>
    <t>BATANGHARI</t>
  </si>
  <si>
    <t>Radivaalbagis@gmail.com</t>
  </si>
  <si>
    <t>PERUM. GRIYASHANTA L-301, MALANG</t>
  </si>
  <si>
    <t>3573014207190005</t>
  </si>
  <si>
    <t>BONDAN AURORA ZHAFIRAH</t>
  </si>
  <si>
    <t>RORO / AURORA</t>
  </si>
  <si>
    <t>JL. TIMAH NO. 3</t>
  </si>
  <si>
    <t>024</t>
  </si>
  <si>
    <t>081336856363</t>
  </si>
  <si>
    <t>107</t>
  </si>
  <si>
    <t>BONDAN GILANG RAMADHAN, S.H.</t>
  </si>
  <si>
    <t>3573012505860014</t>
  </si>
  <si>
    <t>PT MITRA INOVASI JAYANTARA</t>
  </si>
  <si>
    <t>KOMPLEK RUKO GRAND BINTARO, BLOK B KAV 13
JL. BINTARO PERMAI RAYA NO.1 RT 012 / RW 09,
KEL. BINTARO, KEC. PESANGGRAHAN JAKARTA SELATAN, 12330 INDONESIA</t>
  </si>
  <si>
    <t>bondangilangramadhan@gmail.com</t>
  </si>
  <si>
    <t>SHASA SUTA WIDHARU, S.H.</t>
  </si>
  <si>
    <t>3507225709870002</t>
  </si>
  <si>
    <t>081314463399</t>
  </si>
  <si>
    <t>widharusuta@gmail.com</t>
  </si>
  <si>
    <t>3521096204190002</t>
  </si>
  <si>
    <t>CEISYA GEENA RASTI DINATA</t>
  </si>
  <si>
    <t>CEISYA</t>
  </si>
  <si>
    <t>GARDEN RESIDENCE, BLOK AMARILYS-2, JAWA TIMUR 65152</t>
  </si>
  <si>
    <t>4,1 KM</t>
  </si>
  <si>
    <t>08989379366</t>
  </si>
  <si>
    <t>JANUARIKO MUJISAR DINATA</t>
  </si>
  <si>
    <t>3521091601970001</t>
  </si>
  <si>
    <t>081257575017</t>
  </si>
  <si>
    <t>LUXOR STUDIO, CENDANA HOME MASSAGE</t>
  </si>
  <si>
    <t>JL. SIMP.BOROBUDUR II NO.C-10, TUNJUNGSEKAR, KEC. LOWOKWARU, KOTA MALANG, JAWA TIMUR 65142  - CENTRO VILLAGE, JL. KENDALSARI NO.10, TIMUR I, TULUSREJO, KEC. LOWOKWARU, KOTA MALANG, JAWA TIMUR 65141</t>
  </si>
  <si>
    <t>januarikodinata@gmail.com</t>
  </si>
  <si>
    <t>ENDAH INDRASTIN S.A.P.</t>
  </si>
  <si>
    <t>352105011950006</t>
  </si>
  <si>
    <t>LEMBAGA PEMASYARAKATAN PEREMPUAN KELAS IIA MALANG</t>
  </si>
  <si>
    <t>JL. KEBONSARI, KEBONSARI, KEC. SUKUN, KOTA MALANG, JAWA TIMUR 65149</t>
  </si>
  <si>
    <t>(0341) 801505</t>
  </si>
  <si>
    <t>6.600.000</t>
  </si>
  <si>
    <t>endahindrastein@gmail.com</t>
  </si>
  <si>
    <t>JL.BAIDURI PANDAN I/2 TLOGOMAS-MALANG</t>
  </si>
  <si>
    <t>3573050101180001</t>
  </si>
  <si>
    <t>DAFFA MUHAMMAD ALFAREZI</t>
  </si>
  <si>
    <t>DAFFA</t>
  </si>
  <si>
    <t>AUTISM SPECTRUM DISORDER (ASD)</t>
  </si>
  <si>
    <t>PERUM BUKIT HIJAU BLOK F NO 115 A</t>
  </si>
  <si>
    <t>2,8 KM</t>
  </si>
  <si>
    <t>ERWIN SETYA TIMUR,SE.</t>
  </si>
  <si>
    <t>081230370014</t>
  </si>
  <si>
    <t>KJPRI UB</t>
  </si>
  <si>
    <t>JL.MT.HARYONO NO.169 MALANG</t>
  </si>
  <si>
    <t>0341-552995</t>
  </si>
  <si>
    <t>Rp. 2.300.000,-</t>
  </si>
  <si>
    <t>erigurunsyah@gmail.com</t>
  </si>
  <si>
    <t>ILMI NAFIA'AH, SE.</t>
  </si>
  <si>
    <t>3573056712860002</t>
  </si>
  <si>
    <t>TENAGA KEPENDIDIKAN UB</t>
  </si>
  <si>
    <t>REKTORAT UB</t>
  </si>
  <si>
    <t>JL. VETERAN NO 10-11 MALANG</t>
  </si>
  <si>
    <t>0341-551611</t>
  </si>
  <si>
    <t>Rp. 3.500.000,-</t>
  </si>
  <si>
    <t>ilminafiah12@gmail.com</t>
  </si>
  <si>
    <t>TK ANAK SALEHGITA NANDA</t>
  </si>
  <si>
    <t>SUDIMORO</t>
  </si>
  <si>
    <t>3525092606180002</t>
  </si>
  <si>
    <t>DAMAR SAYYID ABDILLAH</t>
  </si>
  <si>
    <t>SAYYID</t>
  </si>
  <si>
    <t>GRIYA SHANTA J519B</t>
  </si>
  <si>
    <t>03414376967</t>
  </si>
  <si>
    <t>088901985763</t>
  </si>
  <si>
    <t>23</t>
  </si>
  <si>
    <t>MOH ROFIUDIN, S.PD</t>
  </si>
  <si>
    <t>3525070311770003</t>
  </si>
  <si>
    <t>081234383791</t>
  </si>
  <si>
    <t>QUMI LABEL</t>
  </si>
  <si>
    <t>GRIYA SHANTA BLOK A112 MOJOLANGU RT 02 RW 12 LOWOKWARU KOTA MALANG</t>
  </si>
  <si>
    <t>082232960957</t>
  </si>
  <si>
    <t>&gt; 5 juta</t>
  </si>
  <si>
    <t>ricky.segara@gmail.com</t>
  </si>
  <si>
    <t>QUMI NAHRIL ULA</t>
  </si>
  <si>
    <t>3525096511860003</t>
  </si>
  <si>
    <t>081332965589</t>
  </si>
  <si>
    <t>RUMAH DAN DAPUR</t>
  </si>
  <si>
    <t>0341 4376967</t>
  </si>
  <si>
    <t>&gt;3Juta</t>
  </si>
  <si>
    <t>quminahrilula@gmail.com</t>
  </si>
  <si>
    <t>TK RUMAH CERDAS MALANG</t>
  </si>
  <si>
    <t>JL. SUDIMORO UTARA NO.1, MOJOLANGU, LOWOKWARU, KOTA MALANG</t>
  </si>
  <si>
    <t>3522166111180001</t>
  </si>
  <si>
    <t>DELIANA TAMA AURELIA CELINA</t>
  </si>
  <si>
    <t>ADEL</t>
  </si>
  <si>
    <t>KALILA RESIDENCE BLOK D-3</t>
  </si>
  <si>
    <t>081282766845</t>
  </si>
  <si>
    <t>082131477873</t>
  </si>
  <si>
    <t>RACHMAD TAUFICHURRAHMAN, S.E.</t>
  </si>
  <si>
    <t>3522162709880003</t>
  </si>
  <si>
    <t>KANTOR PELAYANAN PAJAK PRATAMA JEMBER</t>
  </si>
  <si>
    <t>JL. KARIMATA NO.54A, SUMBERSARI, KEC. SUMBERSARI, KAB. JEMBER</t>
  </si>
  <si>
    <t>0331-324907</t>
  </si>
  <si>
    <t>19.500.000</t>
  </si>
  <si>
    <t>TAUFICHURRAHMAN@GMAIL.COM</t>
  </si>
  <si>
    <t>DEMAYA NOOR HASANAH, S.E.</t>
  </si>
  <si>
    <t>3311046509880002</t>
  </si>
  <si>
    <t>SUKOHARJO</t>
  </si>
  <si>
    <t>BALAI DIKLAT KEUANGAN MALANG</t>
  </si>
  <si>
    <t>JL. AHMAD YANI UTARA NO.200, POLOWIJEN, KEC. BLIMBING, KOTA MALANG</t>
  </si>
  <si>
    <t>0341-491527</t>
  </si>
  <si>
    <t>14.000.000</t>
  </si>
  <si>
    <t>DEMAYANH@GMAIL.COM</t>
  </si>
  <si>
    <t>PAUD SITI HAJAR</t>
  </si>
  <si>
    <t>JL. SAXOPHONE NO. 25 TUNGGULWULUNG, KEC. LOWOKWARU, KOTA MALANG</t>
  </si>
  <si>
    <t>3520062112180001</t>
  </si>
  <si>
    <t>DENTA DZAKIANDRA HERNAWAN</t>
  </si>
  <si>
    <t>JL. PULAUMAS IA NO 14/23</t>
  </si>
  <si>
    <t>2.4 KM</t>
  </si>
  <si>
    <t>081235566652</t>
  </si>
  <si>
    <t>19,5 KG</t>
  </si>
  <si>
    <t>130 CM</t>
  </si>
  <si>
    <t>BAYU HARIS HERNAWAN, S.H.</t>
  </si>
  <si>
    <t>3520061609830001</t>
  </si>
  <si>
    <t>MAGETAN</t>
  </si>
  <si>
    <t>081235566651</t>
  </si>
  <si>
    <t>POLSEK WAGIR, JL. PARANGARGO NO 9, PARANGARGP, KEC. WAGIR, KAB MALANG 65158</t>
  </si>
  <si>
    <t>0341 804663</t>
  </si>
  <si>
    <t>Rp. 7.000.000,-</t>
  </si>
  <si>
    <t>bayu.haris2004@gmail.com</t>
  </si>
  <si>
    <t>FITRI SETIA PUSPARINI, S.M.</t>
  </si>
  <si>
    <t>3517116302840002</t>
  </si>
  <si>
    <t xml:space="preserve">KEMENTERIAN PERTANIAN </t>
  </si>
  <si>
    <t>BALAI PENGUJIAN STANDAR INSTRUMEN TANAMAN PEMANIS DAN SERAT</t>
  </si>
  <si>
    <t>0341 491447</t>
  </si>
  <si>
    <t>Rp. 8.000.000,-</t>
  </si>
  <si>
    <t>puspa.kementan@gmail.com</t>
  </si>
  <si>
    <t>TK OMAH BOCAH ANNAFI'</t>
  </si>
  <si>
    <t>PERUM GRIYA SHANTA L-301 KOTA MALANG</t>
  </si>
  <si>
    <t>3503115505190001</t>
  </si>
  <si>
    <t>DIAJENG JENNAIRA RUMI</t>
  </si>
  <si>
    <t>JALAN CANDI PANGGUNG BARAT GANG II NO.3B</t>
  </si>
  <si>
    <t>1,2</t>
  </si>
  <si>
    <t>082143101120</t>
  </si>
  <si>
    <t>17,8</t>
  </si>
  <si>
    <t>NUR HARIRI, S.Pd., GR.</t>
  </si>
  <si>
    <t>3510230404920002</t>
  </si>
  <si>
    <t>082232153786</t>
  </si>
  <si>
    <t>SEKOLAH INDONESIA LUAR NEGERI-SEKOLAH INDONESIA KOTA KINABALU</t>
  </si>
  <si>
    <t>JALAN KKIP SELATAN NO.2 SEPANGGAR SABAH MALAYSIA</t>
  </si>
  <si>
    <t>nurhariri930@gmail.com</t>
  </si>
  <si>
    <t>DHINI WORO RAHAYUNINGRUM, S.Pd., Gr.</t>
  </si>
  <si>
    <t>3503116707920001</t>
  </si>
  <si>
    <t>SMA NEGERI 9 MALANG</t>
  </si>
  <si>
    <t>JALAN PUNCAK BOROBUDUR NO 1</t>
  </si>
  <si>
    <t>(0341) 471855</t>
  </si>
  <si>
    <t>dhini.woro@gmail.com</t>
  </si>
  <si>
    <t>JL. CANDI PANGGUNG INDAH NO. 1-3, MALANG</t>
  </si>
  <si>
    <t>3507220104180001</t>
  </si>
  <si>
    <t>EBONY ARKATAMA HINDARSYAH</t>
  </si>
  <si>
    <t>EBO</t>
  </si>
  <si>
    <t>ASD LEVEL 1</t>
  </si>
  <si>
    <t>PERUM. PUNCAK PERMATA SENGKALING B1</t>
  </si>
  <si>
    <t>0341462625</t>
  </si>
  <si>
    <t>082231428303</t>
  </si>
  <si>
    <t>DADANG HINDARSYAH, S.Pi</t>
  </si>
  <si>
    <t>3573021705850003</t>
  </si>
  <si>
    <t>081233662826</t>
  </si>
  <si>
    <t>PT. DAEAH E&amp;C INDONESIA</t>
  </si>
  <si>
    <t>JL. PROF. DR. IR. SOETAMI KM.07 DS. NAMENG, KEC. RANGKASBITUNG, KAB. LEBAK, BANTEN 42321</t>
  </si>
  <si>
    <t>0252-5554353</t>
  </si>
  <si>
    <t>didhink@gmail.com</t>
  </si>
  <si>
    <t>EARLY SURYA AGUSTINA, S.Si</t>
  </si>
  <si>
    <t>3507226108870003</t>
  </si>
  <si>
    <t>Earlysuryagustina@gmail.com</t>
  </si>
  <si>
    <t>TK ANAK SALEHOMAH BOCAH ANNAFI</t>
  </si>
  <si>
    <t>SOEKARNO HATTA</t>
  </si>
  <si>
    <t>3574046109180002</t>
  </si>
  <si>
    <t>EILYNN RANIAH ADN</t>
  </si>
  <si>
    <t>EILYNN</t>
  </si>
  <si>
    <t>PERUMAHAN BUKIT CEMARA TUJUH CC 14</t>
  </si>
  <si>
    <t>013</t>
  </si>
  <si>
    <t>081249914271</t>
  </si>
  <si>
    <t>PERTAMA</t>
  </si>
  <si>
    <t>100,4</t>
  </si>
  <si>
    <t>13,8</t>
  </si>
  <si>
    <t>DR. FIRMAN ARIEF</t>
  </si>
  <si>
    <t>3518082108930002</t>
  </si>
  <si>
    <t>082140860095</t>
  </si>
  <si>
    <t>RUMAH SAKIT SAIFUL ANWAR</t>
  </si>
  <si>
    <t>JALAN JA SUPRAPTO NO 2</t>
  </si>
  <si>
    <t>10 JUTA</t>
  </si>
  <si>
    <t>lamtoro91@gmail.com</t>
  </si>
  <si>
    <t>PUSPITA AYU SAVITRI S.T</t>
  </si>
  <si>
    <t>3571036611920001</t>
  </si>
  <si>
    <t>BUKIT CEMARA TUJUH CC 14</t>
  </si>
  <si>
    <t>puspitayusavitri1@gmail.com</t>
  </si>
  <si>
    <t>3573051710180003</t>
  </si>
  <si>
    <t>EZIO FATHAN ALFARIZI</t>
  </si>
  <si>
    <t>EZIO</t>
  </si>
  <si>
    <t>PERUM TAMAN INDAH SUKARNO HATTA NO 78</t>
  </si>
  <si>
    <t>1,8</t>
  </si>
  <si>
    <t>085755552112</t>
  </si>
  <si>
    <t>Pertama</t>
  </si>
  <si>
    <t>16,3</t>
  </si>
  <si>
    <t>FERDIAN HENDRASTO SE MSM</t>
  </si>
  <si>
    <t>3209200612870007</t>
  </si>
  <si>
    <t>08179060050</t>
  </si>
  <si>
    <t>UNIVERSITAS GAJAYANA</t>
  </si>
  <si>
    <t>ferdianhendrasto@gmail.com</t>
  </si>
  <si>
    <t>ZAHRA LISTIA ARDIYASA SKeb Bd</t>
  </si>
  <si>
    <t>3310056403950005</t>
  </si>
  <si>
    <t>zardiyasa@gmail.com</t>
  </si>
  <si>
    <t>TK INSAN PERMATA</t>
  </si>
  <si>
    <t>JALAN AKORDION UTARA, RT/RW 12/1, DESA/KELURAHAN TUNGGULWULUNG, KECAMATAN LOWOKWARU, KOTA MALANG, JAWA TIMUR. KODE POS 65143</t>
  </si>
  <si>
    <t>3573035106180005</t>
  </si>
  <si>
    <t>FARADILA DINDA AZALIA</t>
  </si>
  <si>
    <t>DINDA</t>
  </si>
  <si>
    <t>PERUM. ISTANA CAKALANG KAV. 27</t>
  </si>
  <si>
    <t>4,1</t>
  </si>
  <si>
    <t>085147119359</t>
  </si>
  <si>
    <t>16,8</t>
  </si>
  <si>
    <t>IMAM KHAIRI., ST, MT</t>
  </si>
  <si>
    <t>3528040308870003</t>
  </si>
  <si>
    <t>08125515551</t>
  </si>
  <si>
    <t xml:space="preserve">OWNER CV (IT DEVELOPER) &amp; PT (IT DEVELOPER) SERTA LAUNDRY </t>
  </si>
  <si>
    <t>PERUM. ISTANA CAKALANG KAV 27 KOTA MALANG (PUNYA USAHA SENDIRI)</t>
  </si>
  <si>
    <t>khairiimam@gmail.com</t>
  </si>
  <si>
    <t>YUSI NUR HIDAYATI</t>
  </si>
  <si>
    <t>3507095807900001</t>
  </si>
  <si>
    <t>yusnurhidayati@gmail.com</t>
  </si>
  <si>
    <t>3579034604190002</t>
  </si>
  <si>
    <t>FATHIYA RINTIK AZ ZAHRA</t>
  </si>
  <si>
    <t>RINTIK</t>
  </si>
  <si>
    <t>JL. MARTOREJO NO.76</t>
  </si>
  <si>
    <t>PLN ENJINIRING</t>
  </si>
  <si>
    <t>PROYEK PLTA CISOKAN BANDUNG BARAT</t>
  </si>
  <si>
    <t>9.500.000</t>
  </si>
  <si>
    <t>BUDI SETYONO</t>
  </si>
  <si>
    <t>KB TK SITI HAJAR</t>
  </si>
  <si>
    <t>JL. SAXOPHONE NO.25, TUNGGULWULUNG, KEC. LOWOKWARU, KOTA MALANG, JAWA TIMUR 65143</t>
  </si>
  <si>
    <t>3507234701190001</t>
  </si>
  <si>
    <t>FATIMA DYRA AZZAHRA</t>
  </si>
  <si>
    <t>PERUMAHAN KUBU PRATAMA REGENCY KAV 22</t>
  </si>
  <si>
    <t>017</t>
  </si>
  <si>
    <t>081234505692</t>
  </si>
  <si>
    <t>36,7</t>
  </si>
  <si>
    <t>130</t>
  </si>
  <si>
    <t>YUSUF SENDY JATMIKO,ST</t>
  </si>
  <si>
    <t>3509200707850007</t>
  </si>
  <si>
    <t>081234505693</t>
  </si>
  <si>
    <t>KERJA PABRIK</t>
  </si>
  <si>
    <t>PT.CARGILL</t>
  </si>
  <si>
    <t>JL.KRATON INDUSTRI RAYA 2-2A PIER  DS. PEJANGKUNGAN , KEC REMBANG. KAB.PASURUAN</t>
  </si>
  <si>
    <t>Rp 8000.000</t>
  </si>
  <si>
    <t>Yusufsendyjatmiko@gmail.com</t>
  </si>
  <si>
    <t>MIRA ORISA,ST.,MT</t>
  </si>
  <si>
    <t>3509205002870008</t>
  </si>
  <si>
    <t>KAMPAR</t>
  </si>
  <si>
    <t>ITN MALANG</t>
  </si>
  <si>
    <t>JL.RAYA KARANGLO KM.2 MALANG</t>
  </si>
  <si>
    <t>0341-417636</t>
  </si>
  <si>
    <t>cmeme895@gmail.com</t>
  </si>
  <si>
    <t>JL CANDI PANGGUNG MALANG</t>
  </si>
  <si>
    <t>3575035912180001</t>
  </si>
  <si>
    <t>FEISYA PUTRI MAHESWARI</t>
  </si>
  <si>
    <t>FEISYA</t>
  </si>
  <si>
    <t>PERUMAHAN ADYNA RESIDENCE E.15</t>
  </si>
  <si>
    <t>2,4 KM</t>
  </si>
  <si>
    <t>081217951912</t>
  </si>
  <si>
    <t>08113448673</t>
  </si>
  <si>
    <t>13</t>
  </si>
  <si>
    <t>ACHMAD SLAMET HARIYANTO</t>
  </si>
  <si>
    <t>3575032810740002</t>
  </si>
  <si>
    <t>PT. SADHANA</t>
  </si>
  <si>
    <t>JL. RAYA SURABAYA MALANG KM59 PURWOSARI, KAB PASURUAN JAWA TIMUR</t>
  </si>
  <si>
    <t>0343 613800</t>
  </si>
  <si>
    <t>achmad.hariyanto61@yahoo.com</t>
  </si>
  <si>
    <t>WIWIN PALIPURINGTYAS</t>
  </si>
  <si>
    <t>3575036403790004</t>
  </si>
  <si>
    <t>IBU RUMAHTANGGA</t>
  </si>
  <si>
    <t>3573043009180001</t>
  </si>
  <si>
    <t>FERZHA RAZQA RAFFASYA</t>
  </si>
  <si>
    <t>FERZHA</t>
  </si>
  <si>
    <t xml:space="preserve">JL SUBALI VI 13F NO 04 </t>
  </si>
  <si>
    <t>018</t>
  </si>
  <si>
    <t>MANGLIAWAN</t>
  </si>
  <si>
    <t>PAKIS</t>
  </si>
  <si>
    <t>081252553888</t>
  </si>
  <si>
    <t>FERDIYAN HADIYANTO THARIQ S.Sos</t>
  </si>
  <si>
    <t>3507220808820001</t>
  </si>
  <si>
    <t>PANGKALPINANG</t>
  </si>
  <si>
    <t>081235355151</t>
  </si>
  <si>
    <t>DJATI PROPERTI</t>
  </si>
  <si>
    <t>PANDANLANDUNG MALANG</t>
  </si>
  <si>
    <t>Rp.5.000.000</t>
  </si>
  <si>
    <t>cola.coca944@gmail.com</t>
  </si>
  <si>
    <t>FEBRYNA MASNUN PRATIWI</t>
  </si>
  <si>
    <t>3573045002930005</t>
  </si>
  <si>
    <t>ADONG PROPERTY</t>
  </si>
  <si>
    <t>JL. PANJI SUROSO MALANG</t>
  </si>
  <si>
    <t>Rp. 5.000.000</t>
  </si>
  <si>
    <t>febry.fefe@gmail.com</t>
  </si>
  <si>
    <t>JLN.CANDI PANGGUNG</t>
  </si>
  <si>
    <t>3573054605190003</t>
  </si>
  <si>
    <t>FRANANDA RAMADHANI HERMAWAN</t>
  </si>
  <si>
    <t>FRANANDA</t>
  </si>
  <si>
    <t>PERUM.PERMATA SAXOFONE 2 BLOK F8</t>
  </si>
  <si>
    <t>XI</t>
  </si>
  <si>
    <t>081332499630</t>
  </si>
  <si>
    <t>80 CM</t>
  </si>
  <si>
    <t>CUCUN RIO HERMAWAN S.T</t>
  </si>
  <si>
    <t>6471030203770006</t>
  </si>
  <si>
    <t>08115420913</t>
  </si>
  <si>
    <t xml:space="preserve">LUAR JAWA </t>
  </si>
  <si>
    <t>JLN.TUPAI NO 71A.LABUANG BAJI,KEC.MAMAJANG,KOTA MAKASAR,SULAWESI SELATAN 90132</t>
  </si>
  <si>
    <t>kurleb Rp.25.000.000</t>
  </si>
  <si>
    <t>riogbc@gmail.com</t>
  </si>
  <si>
    <t>MELLY ARFIANA AM.D</t>
  </si>
  <si>
    <t>3508056702830003</t>
  </si>
  <si>
    <t>PERUM.PERMATA SAXOFONE 2 BLOK F8 RT 03/RW XI..KELURAHAN JATIMULYO/KEC.LOWOKWARU MALANG</t>
  </si>
  <si>
    <t>kurleb 10-12 jt/bln</t>
  </si>
  <si>
    <t>missmelly83@yahoo.co.id</t>
  </si>
  <si>
    <t>MELLY ARFIANA</t>
  </si>
  <si>
    <t xml:space="preserve">PERUM.PERMATA SAXOFONE 2 BLOK F8 </t>
  </si>
  <si>
    <t>TK ANAK SALEHPERMATA IMAN 1</t>
  </si>
  <si>
    <t>3507222712180001</t>
  </si>
  <si>
    <t>GANAPATIH ATHARRAZKA KUSUMAJAYA</t>
  </si>
  <si>
    <t>ATHAR</t>
  </si>
  <si>
    <t>NEW VILLA BUKIT SENGKALING C.06 NO 5</t>
  </si>
  <si>
    <t>085649998409</t>
  </si>
  <si>
    <t>ADI KUSUMAJAYA S.Sn.</t>
  </si>
  <si>
    <t>3507220104830002</t>
  </si>
  <si>
    <t>08563574714</t>
  </si>
  <si>
    <t>CV. INSTA KAYA SEJAHTERA</t>
  </si>
  <si>
    <t>NEW VILLA BUKIT SENGKALING C.06 NO5</t>
  </si>
  <si>
    <t>adi.kusumajaya@gmail.com</t>
  </si>
  <si>
    <t>SUNDARI KARTIKASARI S.E.</t>
  </si>
  <si>
    <t>3579014607850003</t>
  </si>
  <si>
    <t>NEW VILLA BUKIT SENGKALAING C.06 NO 5</t>
  </si>
  <si>
    <t>sundari.kartika.sari@gmail.com</t>
  </si>
  <si>
    <t>RUHANINGSIH HASTUTI</t>
  </si>
  <si>
    <t>JL. KEMUNING IV/3 SENGKALING INDAH II</t>
  </si>
  <si>
    <t>JL CANDI PANGGUNG INDAH</t>
  </si>
  <si>
    <t>ZIEL</t>
  </si>
  <si>
    <t>JL CANDI PANGGUNG PERMAI 15</t>
  </si>
  <si>
    <t>08990482226</t>
  </si>
  <si>
    <t>RIHANDIKO HARI ROMADHONA S.Kom</t>
  </si>
  <si>
    <t>3573050404920003</t>
  </si>
  <si>
    <t>081330186773</t>
  </si>
  <si>
    <t>PT BBS</t>
  </si>
  <si>
    <t>JL PURI DEWATA KAV 2</t>
  </si>
  <si>
    <t>aku.ricko@gmail.com</t>
  </si>
  <si>
    <t>HALIMAH RAHMAN S.SI.,M.Ling</t>
  </si>
  <si>
    <t>3573045811910001</t>
  </si>
  <si>
    <t>PURI DEWATA KAV 2</t>
  </si>
  <si>
    <t>3 juta</t>
  </si>
  <si>
    <t>aku.iyma@gmail.com</t>
  </si>
  <si>
    <t>TK ALMUTTAQIN</t>
  </si>
  <si>
    <t>JLN.CANDI TROWULAN NO.64A KEL.MOJOLANGU KEC. LOWOKWARU MALANG</t>
  </si>
  <si>
    <t>3573056409180002</t>
  </si>
  <si>
    <t>GHEZIA ZARA ALHAMDA</t>
  </si>
  <si>
    <t>GHEA</t>
  </si>
  <si>
    <t>ISTANA BOROBUDUR AGUNG B8</t>
  </si>
  <si>
    <t>10KL</t>
  </si>
  <si>
    <t>082233553688</t>
  </si>
  <si>
    <t>Tiga</t>
  </si>
  <si>
    <t>TIGA</t>
  </si>
  <si>
    <t>106CM</t>
  </si>
  <si>
    <t>DR.MOHAMMAD HAMIDI MASYKUR SH.MKn</t>
  </si>
  <si>
    <t>3573051904800001</t>
  </si>
  <si>
    <t xml:space="preserve">SUMENEP </t>
  </si>
  <si>
    <t>081252568899</t>
  </si>
  <si>
    <t>FAKULTAS HUKUM UB
JL. MT. HARYONO NO.169, KETAWANGGEDE, KEC. LOWOKWARU, KOTA MALANG, JAWA TIMUR 65145
3,1 KM</t>
  </si>
  <si>
    <t>0341 538938</t>
  </si>
  <si>
    <t>Gaji 3.962.700</t>
  </si>
  <si>
    <t>hamidi@ub.ac.id</t>
  </si>
  <si>
    <t>DALILATUL KHOIRIYAH.SH</t>
  </si>
  <si>
    <t>3573056903840001</t>
  </si>
  <si>
    <t>Khoiriyahdelila@gmail.com</t>
  </si>
  <si>
    <t>DR.MOHAMMAD HAMIDI MASYKUR.SH.MKN</t>
  </si>
  <si>
    <t>KB-RA MUSLIMAT NU 16</t>
  </si>
  <si>
    <t>JL. CANDI PANGGUNG NO. 56</t>
  </si>
  <si>
    <t>3573051104180005</t>
  </si>
  <si>
    <t>HAFIZH MUZAMMIL AL AMIN</t>
  </si>
  <si>
    <t>HAFIZH</t>
  </si>
  <si>
    <t>JL. CANDI PANGGUNG BARAT NO. 17</t>
  </si>
  <si>
    <t>1,2 KM</t>
  </si>
  <si>
    <t>085852549480</t>
  </si>
  <si>
    <t>081334572725</t>
  </si>
  <si>
    <t>1 (pertama)</t>
  </si>
  <si>
    <t>16,2 KG</t>
  </si>
  <si>
    <t>109 CM</t>
  </si>
  <si>
    <t>YAFI FANANI AMIN</t>
  </si>
  <si>
    <t>3573050404900002</t>
  </si>
  <si>
    <t>CARTERAN PICKUP MALANG KOTA (LINTAS KOTA)</t>
  </si>
  <si>
    <t>JL. CANDI PANGGUNG BARAT NO.17</t>
  </si>
  <si>
    <t>6-7 Juta</t>
  </si>
  <si>
    <t>Carteranpickupmalangkota@gmail.com</t>
  </si>
  <si>
    <t>KHARINA LISTYA, S.PD</t>
  </si>
  <si>
    <t>3573054912910001</t>
  </si>
  <si>
    <t>WARUNG KITA</t>
  </si>
  <si>
    <t>JL. CANDI PANGGUNG BARAT NO. 04</t>
  </si>
  <si>
    <t>1-2 juta</t>
  </si>
  <si>
    <t>Kharina.listya@gmail.com</t>
  </si>
  <si>
    <t>SITI WINARSIH</t>
  </si>
  <si>
    <t>085791675899</t>
  </si>
  <si>
    <t>SMP/MTs SEDERAJAT</t>
  </si>
  <si>
    <t>JL.PISANG KIPAS NO 8 MALANG</t>
  </si>
  <si>
    <t>3573056305180001</t>
  </si>
  <si>
    <t>HANANIA FARAH NABILA</t>
  </si>
  <si>
    <t>PERUMAHAN SAXSOFONE LAND NO 12A</t>
  </si>
  <si>
    <t>081334609394</t>
  </si>
  <si>
    <t>28 KG</t>
  </si>
  <si>
    <t>141 CM</t>
  </si>
  <si>
    <t>DIDIK MIHARJA,AMD</t>
  </si>
  <si>
    <t>3507222201840001</t>
  </si>
  <si>
    <t>081317304024</t>
  </si>
  <si>
    <t>PT.PAMA PERSADA NUSANTARA</t>
  </si>
  <si>
    <t>PT .PAMA PERSADA NUSANTARA 
JOB SITE BERAU COAL
DESA GURIMBANG BERAU 
KALIMANTAN TIMUR</t>
  </si>
  <si>
    <t>(0554) 23400</t>
  </si>
  <si>
    <t>Rp 18.000.000</t>
  </si>
  <si>
    <t>didik.miharja@gmail.com</t>
  </si>
  <si>
    <t>WULAN NOFIANA ISTIANINGATI,S.E</t>
  </si>
  <si>
    <t>3573045011850005</t>
  </si>
  <si>
    <t>nofianawulan@gmail.com</t>
  </si>
  <si>
    <t>TK OMAH BOCAH ANNNAFI</t>
  </si>
  <si>
    <t>JL GRIYASANTA</t>
  </si>
  <si>
    <t>3573055902190005</t>
  </si>
  <si>
    <t>HANINDHIYA NAFILAH AZ ZAHRA</t>
  </si>
  <si>
    <t>HANIN</t>
  </si>
  <si>
    <t>PERUM TAMAN TASIKMADUINDAH KAV.26</t>
  </si>
  <si>
    <t>081233412800</t>
  </si>
  <si>
    <t>WIRAWAN BAHARI,S.T, M.T</t>
  </si>
  <si>
    <t>3573050409610011</t>
  </si>
  <si>
    <t>081233412700</t>
  </si>
  <si>
    <t>DINAS PU KOTA MALANG</t>
  </si>
  <si>
    <t>JL. BINGKIL NO.1</t>
  </si>
  <si>
    <t>ft3archstudio@gmail.com</t>
  </si>
  <si>
    <t>FITRIA OKTARINA KURNIAWATI,S.T</t>
  </si>
  <si>
    <t>3573054810830002</t>
  </si>
  <si>
    <t>JL. VETERAN KOTA MALANG</t>
  </si>
  <si>
    <t>fitriaokta@ub.ac.id</t>
  </si>
  <si>
    <t>3573016703190004</t>
  </si>
  <si>
    <t>HAZRINA ANANDYA AZZAHRA</t>
  </si>
  <si>
    <t>HAZRINA</t>
  </si>
  <si>
    <t xml:space="preserve">JL TITAN 1 AA 10 </t>
  </si>
  <si>
    <t xml:space="preserve">PURWANTORO </t>
  </si>
  <si>
    <t xml:space="preserve">BLIMBING </t>
  </si>
  <si>
    <t>7</t>
  </si>
  <si>
    <t>085655879234</t>
  </si>
  <si>
    <t>15</t>
  </si>
  <si>
    <t>101</t>
  </si>
  <si>
    <t>APT HAJAR SUGIHANTORO.,MPH</t>
  </si>
  <si>
    <t>3573011612850001</t>
  </si>
  <si>
    <t>UIN MALANG</t>
  </si>
  <si>
    <t>JL GAJAYANA 50 MALANG</t>
  </si>
  <si>
    <t>+- 5-10jt</t>
  </si>
  <si>
    <t>hajarsugihantoro@gmail.com</t>
  </si>
  <si>
    <t>NI'MATUL ADAWIYAH.,AMd.Farm</t>
  </si>
  <si>
    <t>6271016611870004</t>
  </si>
  <si>
    <t>PALANGKARAYA</t>
  </si>
  <si>
    <t>APOTEK PANDANWANGI</t>
  </si>
  <si>
    <t>JL SIMP SULFAT UTARA BLIMBING MALANG</t>
  </si>
  <si>
    <t>+-1-2 Jt</t>
  </si>
  <si>
    <t>adawiyahnimatul@gmail.com</t>
  </si>
  <si>
    <t>TK BINA UMAT</t>
  </si>
  <si>
    <t>JL. KUTILANG NO. 99 NGIJO, KARANGPLOSO</t>
  </si>
  <si>
    <t>3507235702190001</t>
  </si>
  <si>
    <t>HUMAIRA LATIFA WIBAWA</t>
  </si>
  <si>
    <t>HUMAIRA</t>
  </si>
  <si>
    <t>PERUM GRIYA PERMATA ALAM BLOK FF NO.19</t>
  </si>
  <si>
    <t>5.5 KM</t>
  </si>
  <si>
    <t>082144522372</t>
  </si>
  <si>
    <t>DESTRY HERWINDO WIBOWO, S.ST.</t>
  </si>
  <si>
    <t>081234609813</t>
  </si>
  <si>
    <t>NOVI DWI PRIATI</t>
  </si>
  <si>
    <t>3507214311860001</t>
  </si>
  <si>
    <t>priatinovidwi@gmail.com</t>
  </si>
  <si>
    <t>3573055203190002</t>
  </si>
  <si>
    <t>IRISH AQILA INDRABAYU</t>
  </si>
  <si>
    <t>IRISH</t>
  </si>
  <si>
    <t>PERUM PERMATA JINGGA WEST E 21, MALANG, JAWA TIMUR</t>
  </si>
  <si>
    <t>081333199039</t>
  </si>
  <si>
    <t>15,5</t>
  </si>
  <si>
    <t>DR.NYOMAN INDRA BAYU, Sp. M</t>
  </si>
  <si>
    <t>3175090711840005</t>
  </si>
  <si>
    <t>081319225799</t>
  </si>
  <si>
    <t>KLINIK MATA EDC</t>
  </si>
  <si>
    <t>JL. MAYOR SUJADI NO.101, JEPUN, KEC. TULUNGAGUNG, KABUPATEN TULUNGAGUNG, JAWA TIMUR 66218</t>
  </si>
  <si>
    <t>50.000.000</t>
  </si>
  <si>
    <t>theolivekost@gmail.com</t>
  </si>
  <si>
    <t>OLIVIA ANGGRAENY, S. Gz., M. Biomed</t>
  </si>
  <si>
    <t>3573024506870001</t>
  </si>
  <si>
    <t>JALAN VETERAN MALANG</t>
  </si>
  <si>
    <t>via5687@gmail.com</t>
  </si>
  <si>
    <t xml:space="preserve">TK DHARMA WANITA PERSATUAN 8 </t>
  </si>
  <si>
    <t>JL. ARIS JOYOMUSTOKO, KRAJAN, TEGALSARI, KEC. KEPANJEN, KABUPATEN MALANG, JAWA TIMUR 65163</t>
  </si>
  <si>
    <t>6471010605180005</t>
  </si>
  <si>
    <t>IRZAIM ABBAD ZAKI</t>
  </si>
  <si>
    <t>IRZAIM</t>
  </si>
  <si>
    <t>PERUM GARDEN RESIDENCE BLOK  AMARYLIS 35.</t>
  </si>
  <si>
    <t>082133314445</t>
  </si>
  <si>
    <t>ROMA BACHTIAR PERDANA PC</t>
  </si>
  <si>
    <t>6471011403930001</t>
  </si>
  <si>
    <t>NESITOR PT
KOMP INDUSTRI KARIANGAU JL AMD KM 5.5 NO 67 RT 68 BALIKPAPAN 76134</t>
  </si>
  <si>
    <t>(0542) - 860777, 860888</t>
  </si>
  <si>
    <t>12omma@gmail.com</t>
  </si>
  <si>
    <t>KHUSNUL KHOTIMA</t>
  </si>
  <si>
    <t>7206115208950001</t>
  </si>
  <si>
    <t>TOLAI</t>
  </si>
  <si>
    <t>085175556677</t>
  </si>
  <si>
    <t>ima.l.roma@gmail.com</t>
  </si>
  <si>
    <t xml:space="preserve">PUJIATINI </t>
  </si>
  <si>
    <t>082264105384</t>
  </si>
  <si>
    <t>JL. ARIS JOYO MUSTOKO, TEGALSARI RT:02 RW:02, KEC. KEPANJEN, KABUPATEN MALANG, JAWA TIMUR 65163</t>
  </si>
  <si>
    <t xml:space="preserve">TEGALSARI </t>
  </si>
  <si>
    <t xml:space="preserve">KEPANJEN </t>
  </si>
  <si>
    <t>TK IT AL USWAH</t>
  </si>
  <si>
    <t>JL. JAYANEGARA NO.123, PAGETAN, CANDIRENGGO, KEC. SINGOSARI, KABUPATEN MALANG, JAWA TIMUR 65153</t>
  </si>
  <si>
    <t>3573052111180002</t>
  </si>
  <si>
    <t>KALAENDRA HASTANTA MAHAZURA</t>
  </si>
  <si>
    <t>KALA</t>
  </si>
  <si>
    <t xml:space="preserve">JALAN GAJAYANA V/608 </t>
  </si>
  <si>
    <t>082132369761/085649800394</t>
  </si>
  <si>
    <t>INDONESIA,JAWA</t>
  </si>
  <si>
    <t>ASEP SETIAWAN, ST.</t>
  </si>
  <si>
    <t>3573052209870001</t>
  </si>
  <si>
    <t>085649800394</t>
  </si>
  <si>
    <t>CV. ASTA BANGUN KARYA</t>
  </si>
  <si>
    <t>JL. TLOGO INDAH NO. 14 C TLOGOMAS KOTA MALANG 65144</t>
  </si>
  <si>
    <t>03415080596</t>
  </si>
  <si>
    <t>asp_krenz@yahoo.com</t>
  </si>
  <si>
    <t>MASITA DWI RANI, S,Kom.</t>
  </si>
  <si>
    <t>3507246903870001</t>
  </si>
  <si>
    <t>082132369761</t>
  </si>
  <si>
    <t>PNS TNI AD</t>
  </si>
  <si>
    <t>KOREM 083/BALADHIKA JAYA</t>
  </si>
  <si>
    <t>JL. BROMO NO 17 KEL. KAUMAN KEC. KLOJEN KOTA MALANG</t>
  </si>
  <si>
    <t>0341366114</t>
  </si>
  <si>
    <t>masitadwirani@gmail.com</t>
  </si>
  <si>
    <t>TK ABC PANDAAN</t>
  </si>
  <si>
    <t>JLN TAMAN DAYU PANDAAN</t>
  </si>
  <si>
    <t>3374061711180004</t>
  </si>
  <si>
    <t>KALANDRA RASHAD MUSTOFA</t>
  </si>
  <si>
    <t>SEMARANG</t>
  </si>
  <si>
    <t>JL MUWARDI TIMUR VI NO 7</t>
  </si>
  <si>
    <t>KALICARI</t>
  </si>
  <si>
    <t>PEDURUNGAN</t>
  </si>
  <si>
    <t>KOTA SEMARANG</t>
  </si>
  <si>
    <t>RUMAH DI MALANG KE SEKOLAH KISARAN 4 KM</t>
  </si>
  <si>
    <t>081226464020</t>
  </si>
  <si>
    <t>NUR ADI MUSTOFA, A.Md</t>
  </si>
  <si>
    <t>3321011612920002</t>
  </si>
  <si>
    <t>PT. PLN (PERSERO)</t>
  </si>
  <si>
    <t>JL. PANGLIMA SUDIRMAN NO 69 KOTA PASURUAN</t>
  </si>
  <si>
    <t>nuradimustofa@gmail.com</t>
  </si>
  <si>
    <t>FARIDA AYU HUWAIDA, A. Md</t>
  </si>
  <si>
    <t>3374115710930001</t>
  </si>
  <si>
    <t>085726715131</t>
  </si>
  <si>
    <t>Rp 0</t>
  </si>
  <si>
    <t>faridaayuhuwaida@gmail.com</t>
  </si>
  <si>
    <t>PERUM GRIYASANTA L 301, MOJOLANGU, KEC LOWOKWARU, KOTA MALANG</t>
  </si>
  <si>
    <t>3517025204190001</t>
  </si>
  <si>
    <t>KEYZIA ZHAFIRA PRAMUDITA</t>
  </si>
  <si>
    <t>KEYZIA</t>
  </si>
  <si>
    <t>PERMATA REGENCY 1 BLOK 11 NO 11 DESA NGIJO KEC KARANGPLOSO KAB MALANG</t>
  </si>
  <si>
    <t>082231381025</t>
  </si>
  <si>
    <t>16,5 KG</t>
  </si>
  <si>
    <t>DRH.FISMA EKA PRAMUDITA S.KH</t>
  </si>
  <si>
    <t>3572031502910003</t>
  </si>
  <si>
    <t>082231381024</t>
  </si>
  <si>
    <t>SANBE FARMA</t>
  </si>
  <si>
    <t>JALAN RAYA KENDALPAYAK RT 13 / RW 7 DESA KENDALPAYAK, KEC PAKISAJI KAB MALANG</t>
  </si>
  <si>
    <t>(022) 4207725</t>
  </si>
  <si>
    <t>Rp 3.600.000</t>
  </si>
  <si>
    <t>drh.fismaekapramudita@gmail.com</t>
  </si>
  <si>
    <t>TENTY LAILINA S.KH</t>
  </si>
  <si>
    <t>3517026110920001</t>
  </si>
  <si>
    <t>tentylailina@gmail.com</t>
  </si>
  <si>
    <t>JALAN AKORDION BARAT NO. 2</t>
  </si>
  <si>
    <t>3573052710180005</t>
  </si>
  <si>
    <t>KHAIZURAN RYUZAKI ALZAR</t>
  </si>
  <si>
    <t>RYU</t>
  </si>
  <si>
    <t>PERUMAHAN PERMATA LAND B17</t>
  </si>
  <si>
    <t>4 ATAU 2 KM</t>
  </si>
  <si>
    <t>085641742667</t>
  </si>
  <si>
    <t>AHMAD FIRDAUS NIZARUDIN, S. Hut.</t>
  </si>
  <si>
    <t>3573051610890007</t>
  </si>
  <si>
    <t>082245459771</t>
  </si>
  <si>
    <t>BANK WOORI SAUDARA</t>
  </si>
  <si>
    <t>JL. KAWI NO. 22, KEL.BANUMULYO
KEC. KEPANJEN, KABUPATEN MALANG,
JAWA TIMUR</t>
  </si>
  <si>
    <t>+62341 - 379840</t>
  </si>
  <si>
    <t>nizarudin29@gmail.com</t>
  </si>
  <si>
    <t>LUSVITA ANGGRAINI, S.Kom</t>
  </si>
  <si>
    <t>3572014203870004</t>
  </si>
  <si>
    <t>KARYAWAN TETAP</t>
  </si>
  <si>
    <t>JL. VETERAN</t>
  </si>
  <si>
    <t>lusvita.a@gmail.com</t>
  </si>
  <si>
    <t xml:space="preserve">JL. CANDI PANGGUNG INDAH </t>
  </si>
  <si>
    <t>3576025103190003</t>
  </si>
  <si>
    <t>KHANZA SYIFA AZAHRA</t>
  </si>
  <si>
    <t>KHANZA</t>
  </si>
  <si>
    <t>PERUMAHAN ISTANA KEPUH REGENCY BLOK C NO. 27-28</t>
  </si>
  <si>
    <t>082233833810</t>
  </si>
  <si>
    <t>SYAMSUL HARIYADI</t>
  </si>
  <si>
    <t>3576021506910002</t>
  </si>
  <si>
    <t>0895392239200</t>
  </si>
  <si>
    <t>JL. PANDERMAN RAYA NO. 33, WATES, MOJOKERTO</t>
  </si>
  <si>
    <t>Animalphobiashop@gmail.com</t>
  </si>
  <si>
    <t>NOVITA ANGGRAINI, S.ST., M.T.</t>
  </si>
  <si>
    <t>3576024403920002</t>
  </si>
  <si>
    <t>JL. SOEKARNO HATTA NO. 9 MALANG</t>
  </si>
  <si>
    <t>0341-404424</t>
  </si>
  <si>
    <t>Anggraini.novita18@gmail.com</t>
  </si>
  <si>
    <t>ANDRI DWI WARDIANSYAH, S.E.</t>
  </si>
  <si>
    <t>+62 812-1787-674</t>
  </si>
  <si>
    <t>JL. PANDERMAN RAYA NO. 33, WATES MOJOKERTO</t>
  </si>
  <si>
    <t>KOTA MOJOKERTO</t>
  </si>
  <si>
    <t>TK KHARISMA TIRTASANI</t>
  </si>
  <si>
    <t>TIRTASANI</t>
  </si>
  <si>
    <t>3507232204190001</t>
  </si>
  <si>
    <t>KIEMAS ARJUN MANGKUHASAN</t>
  </si>
  <si>
    <t>KIEMAS</t>
  </si>
  <si>
    <t>TIRTASANI ROYAL RESORT BLOK TIRTATIARA A1NO6</t>
  </si>
  <si>
    <t>082132132577</t>
  </si>
  <si>
    <t>31</t>
  </si>
  <si>
    <t>JAWA INDO</t>
  </si>
  <si>
    <t xml:space="preserve">SUGENG PRIJONO </t>
  </si>
  <si>
    <t>3573030810720005</t>
  </si>
  <si>
    <t>SURAYANA</t>
  </si>
  <si>
    <t>08123301901</t>
  </si>
  <si>
    <t>WIRASWATA</t>
  </si>
  <si>
    <t xml:space="preserve">TIRTASANI ROYAL RESORT BLOK TIRTATIARA A1NO6 MALANG </t>
  </si>
  <si>
    <t>sugengpriyono2357@gmail.com</t>
  </si>
  <si>
    <t>DIAN SURYANINGTYAS</t>
  </si>
  <si>
    <t>35072240208820001</t>
  </si>
  <si>
    <t>KOSONG</t>
  </si>
  <si>
    <t>Kosong</t>
  </si>
  <si>
    <t>diansurya0282@gmail.com</t>
  </si>
  <si>
    <t>TK KHARISMA</t>
  </si>
  <si>
    <t xml:space="preserve">TIRTASANI </t>
  </si>
  <si>
    <t>3507237008190002</t>
  </si>
  <si>
    <t>KIMORA ALISYA JASMINE</t>
  </si>
  <si>
    <t>KIMORA</t>
  </si>
  <si>
    <t xml:space="preserve">JL KERTANEGARA 56 </t>
  </si>
  <si>
    <t xml:space="preserve">5.5 KM </t>
  </si>
  <si>
    <t>082257200225</t>
  </si>
  <si>
    <t>28</t>
  </si>
  <si>
    <t>HERY ISMANTO, S.E</t>
  </si>
  <si>
    <t>3507231902880005</t>
  </si>
  <si>
    <t>082141348998</t>
  </si>
  <si>
    <t>TOKO ABADI BAN</t>
  </si>
  <si>
    <t>JL KERTANEGARA 56 KARANGPLOSO</t>
  </si>
  <si>
    <t>herynaura84@gmail.com</t>
  </si>
  <si>
    <t>NURALILATUL MAULUDIA , S.M</t>
  </si>
  <si>
    <t>3507236010900002</t>
  </si>
  <si>
    <t>ilanaura84@gmail.com</t>
  </si>
  <si>
    <t xml:space="preserve">TK FIRDAUS DAWUHAN TEGALGONDO </t>
  </si>
  <si>
    <t xml:space="preserve">JL. DAWUHAN TEGALGONDO </t>
  </si>
  <si>
    <t>3507236209180001</t>
  </si>
  <si>
    <t xml:space="preserve">PERUM IKIP TEGALGONDO ASRI BLOK 2F/2 TEGALGONDO KARANGPLOSO </t>
  </si>
  <si>
    <t xml:space="preserve">TEGALGONDO </t>
  </si>
  <si>
    <t>08123399049</t>
  </si>
  <si>
    <t>16KG</t>
  </si>
  <si>
    <t>DR.H.MUHAMMAD RODHI FAIZ, ST.MT</t>
  </si>
  <si>
    <t>3507231809720002</t>
  </si>
  <si>
    <t xml:space="preserve">TULUNGAGUNG </t>
  </si>
  <si>
    <t>0812359065870</t>
  </si>
  <si>
    <t xml:space="preserve">UNIVERSITAS NEGERI MALANG </t>
  </si>
  <si>
    <t>JL. SEMARANG</t>
  </si>
  <si>
    <t>mohrodhifz@gmail.com</t>
  </si>
  <si>
    <t>TRIKUMALA HAYATI, ST</t>
  </si>
  <si>
    <t>3507236408780002</t>
  </si>
  <si>
    <t>trikumalahayati@gmail.com</t>
  </si>
  <si>
    <t>TK ANAK SHALEH</t>
  </si>
  <si>
    <t>3573010906180001</t>
  </si>
  <si>
    <t>PERUM ROYAL RATU RESIDENCE B5 JALAN TELUK PELABUHAN RATU ARJOSARI</t>
  </si>
  <si>
    <t>08113529316</t>
  </si>
  <si>
    <t>ANGGARATI SETYO PRABOWO, STP</t>
  </si>
  <si>
    <t>08113515697</t>
  </si>
  <si>
    <t>PT SORINI AGRO</t>
  </si>
  <si>
    <t xml:space="preserve">PT SORINI AGRO JL SURABAYA MALANG KM 43 GEMPOL PASURUAN </t>
  </si>
  <si>
    <t>0343631776</t>
  </si>
  <si>
    <t>Angga.setyo@yahoo.com</t>
  </si>
  <si>
    <t>CAHAYANI AYUNINGTYAS STP</t>
  </si>
  <si>
    <t>3573054604870002</t>
  </si>
  <si>
    <t>ayuu4212@gmail.com</t>
  </si>
  <si>
    <t>3571010201190006</t>
  </si>
  <si>
    <t>MAHER HAMIZAN XAVIER RAZIQ</t>
  </si>
  <si>
    <t>MAHER</t>
  </si>
  <si>
    <t>3KG</t>
  </si>
  <si>
    <t>dr IWAL REZA AHDI SPPD, FINASIM</t>
  </si>
  <si>
    <t>JL GAJAYANA NO 50</t>
  </si>
  <si>
    <t>Iwalreza86@gmail.com</t>
  </si>
  <si>
    <t>REZKIA RATNA WULANDARI AMD KEB SST MMKes</t>
  </si>
  <si>
    <t>PNS/BIDAN</t>
  </si>
  <si>
    <t>Rezkiaratna71@gmail.com</t>
  </si>
  <si>
    <t>TK AL HIDAYAH TELASIH</t>
  </si>
  <si>
    <t>JL. PANGESTU RAYA NO.35, TELASIH, KEPUHARJO, KEC. KARANG PLOSO, KABUPATEN MALANG, JAWA TIMUR 65152</t>
  </si>
  <si>
    <t>3502170206180001</t>
  </si>
  <si>
    <t>MAHERA ANSHERLO ADJIWISAKA</t>
  </si>
  <si>
    <t>SHERLO</t>
  </si>
  <si>
    <t>PERUMAHAN ISTANA KEPUH REGENCY NO. 164-165, JL. PANGESTU RAYA</t>
  </si>
  <si>
    <t xml:space="preserve">1,6 </t>
  </si>
  <si>
    <t>19,6</t>
  </si>
  <si>
    <t>LUCKY ARYA EBTANTO</t>
  </si>
  <si>
    <t>3502170805910003</t>
  </si>
  <si>
    <t>081231897473</t>
  </si>
  <si>
    <t>DIREKTORAT JENDERAL BEA DAN CUKAI KEMENTERIAN KEUANGAN</t>
  </si>
  <si>
    <t>KPPBC TMC MALANG, JL. SURABAYA NO. 02, SUMBERSARI, LOWOKWARU, KOTA MALANG</t>
  </si>
  <si>
    <t>luckyaryaebtanto@gmail.com</t>
  </si>
  <si>
    <t>NUNGKIS LISTIAN ANGGRAENI</t>
  </si>
  <si>
    <t>3507036104940003</t>
  </si>
  <si>
    <t>082244508590</t>
  </si>
  <si>
    <t>nungkisanggraeni217@gmail.com</t>
  </si>
  <si>
    <t xml:space="preserve">JALAN IKAN KAKAP NO 90 TUNJUNGSEKAR </t>
  </si>
  <si>
    <t>3573055701190005</t>
  </si>
  <si>
    <t>MAKAYLA SHAZFA SHAREEN</t>
  </si>
  <si>
    <t xml:space="preserve">SHAREEN </t>
  </si>
  <si>
    <t>JALAN SUDIMORO NO 24</t>
  </si>
  <si>
    <t xml:space="preserve">3,7 KM </t>
  </si>
  <si>
    <t>082299299459</t>
  </si>
  <si>
    <t xml:space="preserve">BAHASA INDONESIA, BAHASA BANJAR </t>
  </si>
  <si>
    <t>FIKRUL MA’ARIF ,S.Kom</t>
  </si>
  <si>
    <t>6303052707890007</t>
  </si>
  <si>
    <t xml:space="preserve">MARTAPURA </t>
  </si>
  <si>
    <t>081217297999</t>
  </si>
  <si>
    <t>WIRAUSHAA</t>
  </si>
  <si>
    <t xml:space="preserve">ANTZCREATOR </t>
  </si>
  <si>
    <t xml:space="preserve">JL SUDIMORO NO 24 </t>
  </si>
  <si>
    <t xml:space="preserve">50-150 jt </t>
  </si>
  <si>
    <t xml:space="preserve">DEFI ARININGSIH </t>
  </si>
  <si>
    <t>6371016702850010</t>
  </si>
  <si>
    <t xml:space="preserve">DI RUMAH SAJA </t>
  </si>
  <si>
    <t xml:space="preserve">DIRUMAH SAJA </t>
  </si>
  <si>
    <t>keysha.alzhafirah@gmail.com</t>
  </si>
  <si>
    <t>3507182404190001</t>
  </si>
  <si>
    <t>MALIK ABDUR ROHIMAN</t>
  </si>
  <si>
    <t>MALIK</t>
  </si>
  <si>
    <t>KOMPLEK AMARTA BLOK F-16 LANUD ABD SALEH</t>
  </si>
  <si>
    <t>SAPTORENGGO</t>
  </si>
  <si>
    <t>RUMAH DINAS</t>
  </si>
  <si>
    <t>081283883032</t>
  </si>
  <si>
    <t>90</t>
  </si>
  <si>
    <t>ANDANG ROHIMAN, S.Sos</t>
  </si>
  <si>
    <t>3507182506840003</t>
  </si>
  <si>
    <t>TASIKMALAYA</t>
  </si>
  <si>
    <t>081233483332</t>
  </si>
  <si>
    <t>TNI AU</t>
  </si>
  <si>
    <t>LAMBANGJA LANUD ABD SALEH</t>
  </si>
  <si>
    <t>LANUD ABD SALEH</t>
  </si>
  <si>
    <t>MARDYANI INDAH UTAMI</t>
  </si>
  <si>
    <t>3507184608860002</t>
  </si>
  <si>
    <t>SABANA FRIED CHICKEN ABD SALEH</t>
  </si>
  <si>
    <t>JL. KOMUD ABD SALEH NO.27 BORO UPEK UPEK</t>
  </si>
  <si>
    <t>TK BAITUL IZZA</t>
  </si>
  <si>
    <t>SELISUN, NUNUKAN</t>
  </si>
  <si>
    <t>6503026607190001</t>
  </si>
  <si>
    <t>MARVELIA AMEERA HAFIDZAH WULUR</t>
  </si>
  <si>
    <t>MARVELIA</t>
  </si>
  <si>
    <t>NUNUKAN</t>
  </si>
  <si>
    <t>JL.PATIMURA</t>
  </si>
  <si>
    <t>SELISUN</t>
  </si>
  <si>
    <t>NUNUKAN SELATAN</t>
  </si>
  <si>
    <t>BELUM ADA</t>
  </si>
  <si>
    <t>081335323806</t>
  </si>
  <si>
    <t>ROBBY RAJU WULUR</t>
  </si>
  <si>
    <t>6405021807900002</t>
  </si>
  <si>
    <t>+61 421 409 411</t>
  </si>
  <si>
    <t>INSTANSI SWASTA</t>
  </si>
  <si>
    <t>PUNCHBOWL, NSW</t>
  </si>
  <si>
    <t>&gt;30jt</t>
  </si>
  <si>
    <t>Robbywulur@gmail.com</t>
  </si>
  <si>
    <t>SUNARTIE NUR AULIA</t>
  </si>
  <si>
    <t>6405096308890001</t>
  </si>
  <si>
    <t>Antyeaulia@gmail.com</t>
  </si>
  <si>
    <t>3573052011180001</t>
  </si>
  <si>
    <t>MAULANA KHALIF PUTRA ARIFIN</t>
  </si>
  <si>
    <t>KHALIF</t>
  </si>
  <si>
    <t>PERUM ARUMBA UTAMA RESIDENCE NO G/6</t>
  </si>
  <si>
    <t>08123316550</t>
  </si>
  <si>
    <t>14</t>
  </si>
  <si>
    <t>80</t>
  </si>
  <si>
    <t>ASHAT ARIFIN</t>
  </si>
  <si>
    <t>3523141011800006</t>
  </si>
  <si>
    <t>TUBQN</t>
  </si>
  <si>
    <t>ISLAS</t>
  </si>
  <si>
    <t>081216742444</t>
  </si>
  <si>
    <t xml:space="preserve">CV UBI JALAR INDONESIA </t>
  </si>
  <si>
    <t>PERUM ARUMBA UTAMA RESIDENCE G/6</t>
  </si>
  <si>
    <t>petaniubijalar@gmail.com</t>
  </si>
  <si>
    <t>ENI PUJI HASTUTI , SE</t>
  </si>
  <si>
    <t>3309076211820002</t>
  </si>
  <si>
    <t xml:space="preserve">BOYOLALI </t>
  </si>
  <si>
    <t>FRENZ ACC HANDPHONE</t>
  </si>
  <si>
    <t>TERUSAN CANDI MENDUT NO 42 MALANG</t>
  </si>
  <si>
    <t>iput_frenz@yahoo.com</t>
  </si>
  <si>
    <t>JL. SIMPANG AKORDEON NO.2, TUNGGULWULUNG, KEC. LOWOKWARU, KOTA MALANG, JAWA TIMUR 65147</t>
  </si>
  <si>
    <t>9203011008180001</t>
  </si>
  <si>
    <t>MIKARAI ATTAKI PRIBADI</t>
  </si>
  <si>
    <t>MIKARAI</t>
  </si>
  <si>
    <t>PERUM GRAND ARUMBA BLOK E 19</t>
  </si>
  <si>
    <t>Milik Saudara</t>
  </si>
  <si>
    <t>081217320004</t>
  </si>
  <si>
    <t>082248173577</t>
  </si>
  <si>
    <t>25,6</t>
  </si>
  <si>
    <t>124</t>
  </si>
  <si>
    <t>BUYUNG AMARTYA PRIBADI, SE</t>
  </si>
  <si>
    <t>3521092204860001</t>
  </si>
  <si>
    <t>buyunk.mp@gmail.con</t>
  </si>
  <si>
    <t>DR VEMMY LIAN SAPUTI</t>
  </si>
  <si>
    <t>3523125711880001</t>
  </si>
  <si>
    <t>MAHASISWA PROGRAM PENDIDIKAN DOKTER SPESIALIS</t>
  </si>
  <si>
    <t>JL. JAKSA AGUNG SUPRAPTO NO. 2, KLOJEN, KOTA MALANG</t>
  </si>
  <si>
    <t>vemmylian@gmail.com</t>
  </si>
  <si>
    <t>TK AR RAHMAH PEPELEGI</t>
  </si>
  <si>
    <t>GANG GEMPOL NO 1 PEPELEGI</t>
  </si>
  <si>
    <t>3515185010180002</t>
  </si>
  <si>
    <t>MIMOSA SHAHIA INSHI</t>
  </si>
  <si>
    <t>MIMOSA</t>
  </si>
  <si>
    <t>GRAND ARUMBA E22</t>
  </si>
  <si>
    <t>0,26</t>
  </si>
  <si>
    <t>0895335410332</t>
  </si>
  <si>
    <t>08113271112</t>
  </si>
  <si>
    <t>ROMADHONY BAZAR</t>
  </si>
  <si>
    <t>3573051303920007</t>
  </si>
  <si>
    <t>SURAKARTA</t>
  </si>
  <si>
    <t>0811504741</t>
  </si>
  <si>
    <t>BUSSINESS CONSULTANT</t>
  </si>
  <si>
    <t>PT. BINA PERTIWI</t>
  </si>
  <si>
    <t>JL. RUNGKUT INDUSTRI III NO.46, RUNGKUT MENANGGAL KEC. RUNGKUT. SURABAYA, JAWA TIMUR</t>
  </si>
  <si>
    <t>(031)8437882</t>
  </si>
  <si>
    <t>&gt;8.000.000</t>
  </si>
  <si>
    <t>Dbazar13@gmail.com</t>
  </si>
  <si>
    <t>SHIRLY REZKY IMMAYA</t>
  </si>
  <si>
    <t>3515184202920010</t>
  </si>
  <si>
    <t xml:space="preserve">Shirlyrezk@gmail.com </t>
  </si>
  <si>
    <t>MAULIDA DHAMAYANTI</t>
  </si>
  <si>
    <t>+62 822-1756-7175</t>
  </si>
  <si>
    <t>WISMA PERMAI REGENCY BLOK DD 17</t>
  </si>
  <si>
    <t>WARU</t>
  </si>
  <si>
    <t>KAB SIDOARJO</t>
  </si>
  <si>
    <t>L. IKAN KAKAP NO.90, TUNJUNGSEKAR, KEC. LOWOKWARU, KOTA MALANG, JAWA TIMUR 65142</t>
  </si>
  <si>
    <t>3509191110180002</t>
  </si>
  <si>
    <t>MUADZ XAVIER ATHALLAH</t>
  </si>
  <si>
    <t>XAVIER</t>
  </si>
  <si>
    <t>JALAN IKAN MUJAIR I NO 10</t>
  </si>
  <si>
    <t>TUNJUNG SEKAR</t>
  </si>
  <si>
    <t>081336743820</t>
  </si>
  <si>
    <t>38</t>
  </si>
  <si>
    <t>YOGA BANGKIT ANGGARA UDA, S.KOM, MCP</t>
  </si>
  <si>
    <t>3509190207850006</t>
  </si>
  <si>
    <t>PT KOSMETIKA GLOBAL INDONESIA</t>
  </si>
  <si>
    <t>JL. RUNGKUT INDUSTRI III NO.9, KUTISARI, KEC. TENGGILIS MEJOYO, SURABAYA, JAWA TIMUR 6029</t>
  </si>
  <si>
    <t>(031) 99860099</t>
  </si>
  <si>
    <t>YOGA.BANGKIT@OUTLOOK.COM</t>
  </si>
  <si>
    <t>RISTIYOWATI, S.E</t>
  </si>
  <si>
    <t>3509194110860007</t>
  </si>
  <si>
    <t>082337364499</t>
  </si>
  <si>
    <t>PERMISI PAKET NUSANTARA</t>
  </si>
  <si>
    <t>RISTY.ANG@GMAIL.COM</t>
  </si>
  <si>
    <t>TK PJ GLOBAL SCHOOL</t>
  </si>
  <si>
    <t>JL. ANGGREK VIII NO 1-2 PERMATA JINGGA</t>
  </si>
  <si>
    <t>3573052212180003</t>
  </si>
  <si>
    <t>MUHAMMAD ADZKA ARZAKI</t>
  </si>
  <si>
    <t>ADZKA</t>
  </si>
  <si>
    <t>PERMATA JINGGA BLOK ANGGREK IV NO 10</t>
  </si>
  <si>
    <t>081217099198</t>
  </si>
  <si>
    <t>M. ZAINUL ARIEF, SH.M.Kn.</t>
  </si>
  <si>
    <t>3573052207770014</t>
  </si>
  <si>
    <t>KENDARI</t>
  </si>
  <si>
    <t>081217148788</t>
  </si>
  <si>
    <t>NOTARIS</t>
  </si>
  <si>
    <t>KANTOR NOTARIS M. ZAINUL ARIEF, SH.M.KN.</t>
  </si>
  <si>
    <t>JL. RAYA BUGIS 77A</t>
  </si>
  <si>
    <t>0341-3051122</t>
  </si>
  <si>
    <t>Rp. 15.000.000,-</t>
  </si>
  <si>
    <t>mzainarief@gmail.com</t>
  </si>
  <si>
    <t>ZAQIYATY NURLAILI,S.Pd.</t>
  </si>
  <si>
    <t>3573056801820020</t>
  </si>
  <si>
    <t>SMP KARTIKA IV-8</t>
  </si>
  <si>
    <t>JL. AHMAD YANI NO 95 KEL.PURWODADI KEC.BLIMBING KOTA MALANG</t>
  </si>
  <si>
    <t>0341-491216</t>
  </si>
  <si>
    <t>Rp.3.500.000</t>
  </si>
  <si>
    <t>zaqiyatynurlaili@gmail.com</t>
  </si>
  <si>
    <t>PAUD GRIYA ANANDA</t>
  </si>
  <si>
    <t>PERUMAHAN TEGALGONDO</t>
  </si>
  <si>
    <t>3507230304180002</t>
  </si>
  <si>
    <t>MUHAMMAD AL FATIH SYIHAB</t>
  </si>
  <si>
    <t>AL FATIH</t>
  </si>
  <si>
    <t>PERUMAHAN GREEN HILLS RESIDENCE
JL RAYA BUKIT KAMBOJA NO 26</t>
  </si>
  <si>
    <t>081333465667</t>
  </si>
  <si>
    <t>081331799745</t>
  </si>
  <si>
    <t>30</t>
  </si>
  <si>
    <t>135</t>
  </si>
  <si>
    <t>M SYIHABUDDIN S.Pt</t>
  </si>
  <si>
    <t>3520041806790005</t>
  </si>
  <si>
    <t>PT KARLOS AGRONIAGA</t>
  </si>
  <si>
    <t>Rp 20.000.000 - Rp 30.000.000</t>
  </si>
  <si>
    <t>didincjfj@yahoo.com</t>
  </si>
  <si>
    <t>YUNITA EKO RAHMAWATI</t>
  </si>
  <si>
    <t>3520044806820001</t>
  </si>
  <si>
    <t>ita_syihab@yahoo.co.id</t>
  </si>
  <si>
    <t>TK MUSLIMAT NU 24</t>
  </si>
  <si>
    <t>DSN. BAMBAN DS. ASRIKATON KEC. PAKIS KAB. MALANG</t>
  </si>
  <si>
    <t>3572030106180002</t>
  </si>
  <si>
    <t>MUHAMMAD ALBY RASYA PRAWIRA</t>
  </si>
  <si>
    <t>ALBY</t>
  </si>
  <si>
    <t>DSN. BAMBAN GANG 3 (JL. LOMBOK)</t>
  </si>
  <si>
    <t>ASRIKATON</t>
  </si>
  <si>
    <t>Milik keluarga</t>
  </si>
  <si>
    <t>12</t>
  </si>
  <si>
    <t>082231410115</t>
  </si>
  <si>
    <t>126</t>
  </si>
  <si>
    <t>AGUS NA'IM</t>
  </si>
  <si>
    <t>3523172907910001</t>
  </si>
  <si>
    <t>082232395519</t>
  </si>
  <si>
    <t>TNI</t>
  </si>
  <si>
    <t>YONIF 511/DY</t>
  </si>
  <si>
    <t>JL MALUKU 14 KEL. KARANGTENGAH KEC. SANANWETAN KOTA BLITAR</t>
  </si>
  <si>
    <t>Rp 7.000.000</t>
  </si>
  <si>
    <t>agusnaim91@gmail.com</t>
  </si>
  <si>
    <t>LIA NUR ATIQOH BELA DINA, M.Pd.I</t>
  </si>
  <si>
    <t>3523175609910002</t>
  </si>
  <si>
    <t xml:space="preserve">TUBAN </t>
  </si>
  <si>
    <t>JL. MT HARYONO 193 KEL. DINOYO KEC. LOWOKWARU KOTA MALANG</t>
  </si>
  <si>
    <t>Rp 6.000.000</t>
  </si>
  <si>
    <t>lia.nur@unisma.ac.id</t>
  </si>
  <si>
    <t>JL. CANDI PANGGUNG INDAH 1-3, MALANG</t>
  </si>
  <si>
    <t>3578070705190001</t>
  </si>
  <si>
    <t>MUHAMMAD ALI FATIH RAMADHAN</t>
  </si>
  <si>
    <t>GRIYA PERMATA ALAM OD 19</t>
  </si>
  <si>
    <t>081232561400</t>
  </si>
  <si>
    <t>082229922508</t>
  </si>
  <si>
    <t>BHS INDONESIA DAN BHS JAWA</t>
  </si>
  <si>
    <t>M FACHRIZAL ALFI, ST</t>
  </si>
  <si>
    <t>3578071710900001</t>
  </si>
  <si>
    <t>fahrizal.alfi@gmail.com</t>
  </si>
  <si>
    <t>YUNITTA PARENDRA SUKMA, S.Sn</t>
  </si>
  <si>
    <t>3503134902900001</t>
  </si>
  <si>
    <t>081357000595</t>
  </si>
  <si>
    <t>BRI</t>
  </si>
  <si>
    <t xml:space="preserve">JL. RAYA KROMENGAN </t>
  </si>
  <si>
    <t>082229922509</t>
  </si>
  <si>
    <t>tata.parendra@gmail.com</t>
  </si>
  <si>
    <t>JL.SAXOFONE NO.25</t>
  </si>
  <si>
    <t>3573053101180006</t>
  </si>
  <si>
    <t>MUHAMMAD ARKAN NUR WAHID</t>
  </si>
  <si>
    <t>ARKAN</t>
  </si>
  <si>
    <t>ARUMBA UTAMA RESIDENCE D9</t>
  </si>
  <si>
    <t>081233315151</t>
  </si>
  <si>
    <t>081213332107</t>
  </si>
  <si>
    <t>18KG</t>
  </si>
  <si>
    <t>110CM</t>
  </si>
  <si>
    <t>ARIS WIDODO</t>
  </si>
  <si>
    <t>3507012302940002</t>
  </si>
  <si>
    <t>081217888516</t>
  </si>
  <si>
    <t>ALAM WISATA TRANS</t>
  </si>
  <si>
    <t>ARUMBA UTAMA D9</t>
  </si>
  <si>
    <t>ariezdo@gmail.com</t>
  </si>
  <si>
    <t>ISMIATUN NURCHASANAH</t>
  </si>
  <si>
    <t>5312152155601900003</t>
  </si>
  <si>
    <t>WAIKABUBAK</t>
  </si>
  <si>
    <t>izmye@ariez11@gmail.com</t>
  </si>
  <si>
    <t>AL HADI KIDS CAMPUS</t>
  </si>
  <si>
    <t>JALAN TELUK GRAJAKAN NO 1B, PLAOSAN TIMUR,PANDANWANGI BLIMBING</t>
  </si>
  <si>
    <t>3573053012180004</t>
  </si>
  <si>
    <t>MUHAMMAD ARSYA FAHREZI</t>
  </si>
  <si>
    <t>ARSYA</t>
  </si>
  <si>
    <t>PERUM KENANGA JAYA , JL KENANGA RAYA NO A18 MALANG</t>
  </si>
  <si>
    <t>6,9KM</t>
  </si>
  <si>
    <t>087776572124, 0856</t>
  </si>
  <si>
    <t>19KG</t>
  </si>
  <si>
    <t>MUHAMMAD YAHYA, SE</t>
  </si>
  <si>
    <t>3573052805830007</t>
  </si>
  <si>
    <t>085655510600</t>
  </si>
  <si>
    <t>1.000.000 - 10.000.000</t>
  </si>
  <si>
    <t>yahya.mad@gmail.com</t>
  </si>
  <si>
    <t>DRG.VIDA AGUSTIN AMELIAWATI, MM</t>
  </si>
  <si>
    <t>3573046008830011</t>
  </si>
  <si>
    <t>087776572124</t>
  </si>
  <si>
    <t>TEMPAT PRAKTEK DOKTER GIGI MANDIRI</t>
  </si>
  <si>
    <t>JL KEPODANG NO 8, KELURAHAN SUKUN, KECAMATAN SUKUN, KOTA MALANG</t>
  </si>
  <si>
    <t>0341-367696</t>
  </si>
  <si>
    <t>4.000.000- 20.000.000</t>
  </si>
  <si>
    <t>vidavalya@gmail.com</t>
  </si>
  <si>
    <t>JL. CANDI PANGGUNG INDAH 1 - 3 MALANG</t>
  </si>
  <si>
    <t>3573052508180001</t>
  </si>
  <si>
    <t>MUHAMMAD AZKA PUTRA ARLEO</t>
  </si>
  <si>
    <t>JL. CANDI PANGGUNG 70</t>
  </si>
  <si>
    <t>0341 471640</t>
  </si>
  <si>
    <t>082322685931</t>
  </si>
  <si>
    <t>AYUB GALANT SAPUTRO</t>
  </si>
  <si>
    <t>3573050404800003</t>
  </si>
  <si>
    <t>081335260569</t>
  </si>
  <si>
    <t>ASTRA CREDIT COMPANIES</t>
  </si>
  <si>
    <t>JL. JEMURSARI SELATAN II NO. 32</t>
  </si>
  <si>
    <t>13.000.000</t>
  </si>
  <si>
    <t>ayubgalant@gmail.com</t>
  </si>
  <si>
    <t>LAILY RAHMA</t>
  </si>
  <si>
    <t>3573054808810001</t>
  </si>
  <si>
    <t>BBGP PROVINSI JAWA TIMUR</t>
  </si>
  <si>
    <t>JL. RAYA ARHANUD KOTA BATU</t>
  </si>
  <si>
    <t>arlea.family@gmail.com</t>
  </si>
  <si>
    <t>RA AL-QURAN DARUSSALAM</t>
  </si>
  <si>
    <t>JL. RAYA KEPUHARJO 52 KARANGPLOSO MALANG</t>
  </si>
  <si>
    <t>MUHAMMAD HANIF RAFFASYA</t>
  </si>
  <si>
    <t>HANIF</t>
  </si>
  <si>
    <t>KUBU PRATAMA REGENCY KAV 44</t>
  </si>
  <si>
    <t>082335441781</t>
  </si>
  <si>
    <t>36</t>
  </si>
  <si>
    <t>AGUS EDI ISTANTO, S.Kom</t>
  </si>
  <si>
    <t>3507240108760009</t>
  </si>
  <si>
    <t>081217174968</t>
  </si>
  <si>
    <t>BALAI PENGUJIAN MODERNISASI PERTANIAN JAWA TIMUR</t>
  </si>
  <si>
    <t>JL. RAYA KARANGPLOSO KM. 4 MALANG</t>
  </si>
  <si>
    <t>0341-494052</t>
  </si>
  <si>
    <t>7,5  juta</t>
  </si>
  <si>
    <t>agusedi2@gmail.com</t>
  </si>
  <si>
    <t>LAILATUL ISNAINI, S.TP. M.TP</t>
  </si>
  <si>
    <t>3508106605840003</t>
  </si>
  <si>
    <t>ASN KEMENTAN</t>
  </si>
  <si>
    <t>tulisna26@gmail.com</t>
  </si>
  <si>
    <t>PERUM TIRTASANI</t>
  </si>
  <si>
    <t>3507231404180001</t>
  </si>
  <si>
    <t>MUHAMMAD HUSAIN BASALAMAH</t>
  </si>
  <si>
    <t>HUSAIN</t>
  </si>
  <si>
    <t>JL KAUMAN GG GRIYA PERMATA RT 003 RW 001 GIRIMOYO KARANGPLOSO MALANG</t>
  </si>
  <si>
    <t>0341464799</t>
  </si>
  <si>
    <t>085791527992</t>
  </si>
  <si>
    <t>116CM</t>
  </si>
  <si>
    <t>ANSHARI HADI</t>
  </si>
  <si>
    <t>3175092506900006</t>
  </si>
  <si>
    <t>081310620913</t>
  </si>
  <si>
    <t>PENYULINGAN MINYAK ATSIRI</t>
  </si>
  <si>
    <t>JALAN MANGGA NO 27 DESA POHSANGIT KIDUL KECAMATAN KADEMANGAN KOTA PROBOLINGGO</t>
  </si>
  <si>
    <t>0823-3004-9531</t>
  </si>
  <si>
    <t>15 juta</t>
  </si>
  <si>
    <t>Anshoribasalamah@gmail.com</t>
  </si>
  <si>
    <t>ZAKIYATUL ARFIANI CHASANAH S.Pd</t>
  </si>
  <si>
    <t>3507234907920001</t>
  </si>
  <si>
    <t>zakiyatul.arfiani@gmail.com</t>
  </si>
  <si>
    <t>0813-1062-0913</t>
  </si>
  <si>
    <t xml:space="preserve">TK IMPIANKU 2 </t>
  </si>
  <si>
    <t>JL. ATLETIK RT 05 RW 03 KEL. TASIKMADU, KEC. LOWOKWARU KOTA MALANG</t>
  </si>
  <si>
    <t>3573050812180001</t>
  </si>
  <si>
    <t>IQBAL</t>
  </si>
  <si>
    <t>JL. BASKET NO. 22</t>
  </si>
  <si>
    <t xml:space="preserve">TASIKMADU </t>
  </si>
  <si>
    <t>087859610912</t>
  </si>
  <si>
    <t xml:space="preserve">BAHASA JAWA DAN INDONESIA </t>
  </si>
  <si>
    <t>YUDHA HARDIYANSYAH</t>
  </si>
  <si>
    <t>3573050209910001</t>
  </si>
  <si>
    <t>087745282393</t>
  </si>
  <si>
    <t>PEDAGANG</t>
  </si>
  <si>
    <t>SITI NUR KHASANAH, S.Pd.</t>
  </si>
  <si>
    <t>3573056201930004</t>
  </si>
  <si>
    <t xml:space="preserve">SMP NEGERI 8 MALANG </t>
  </si>
  <si>
    <t>JL. ARJUNO NO. 19, KAUMAN, KEC. KLOJEN</t>
  </si>
  <si>
    <t>0341-325506</t>
  </si>
  <si>
    <t>sitikhasanah21@guru.smp.belajar.id</t>
  </si>
  <si>
    <t>JL.BATU PERMATA NO 9 TLOGOMAS MALANG</t>
  </si>
  <si>
    <t>3507222612180001</t>
  </si>
  <si>
    <t>MUHAMMAD SIROJUL AZMI AFANDI</t>
  </si>
  <si>
    <t>PERUMAHAN OMA CAMPUS BLOK A10 NO 5</t>
  </si>
  <si>
    <t>081333533309</t>
  </si>
  <si>
    <t>081333533306</t>
  </si>
  <si>
    <t>FAISOL AFANDI ST</t>
  </si>
  <si>
    <t>3524240609830002</t>
  </si>
  <si>
    <t>PROPERTY</t>
  </si>
  <si>
    <t>PERUMAHAN PERMATA PANDERMAN VILLAGE KAV 31 JL RAYA PANDERMAN HILL SISIR KOTA BATU</t>
  </si>
  <si>
    <t>Faisholafandi09@gmail.com</t>
  </si>
  <si>
    <t>EMY FIDDAYANI</t>
  </si>
  <si>
    <t>3524245704880001</t>
  </si>
  <si>
    <t>PERUMAHAN OMA CAMPUS BLOK A10 NO 5 LANDUNGSARI KEC DAU MALANG</t>
  </si>
  <si>
    <t>Emyfiddayani@gmail.com</t>
  </si>
  <si>
    <t xml:space="preserve">JL. CANDI PANGGUNG INDAH NO 1-3 MALANG </t>
  </si>
  <si>
    <t>3513101307180004</t>
  </si>
  <si>
    <t xml:space="preserve">SYARIF </t>
  </si>
  <si>
    <t xml:space="preserve">ARUMBA UTAMA RESIDENCE C1 </t>
  </si>
  <si>
    <t>081233196644</t>
  </si>
  <si>
    <t>PROF. DR. AHMAD TAUFIQ, S.Pd., M.Si.</t>
  </si>
  <si>
    <t>3513101808820003</t>
  </si>
  <si>
    <t xml:space="preserve">PROBOLINGGO </t>
  </si>
  <si>
    <t>PROFESOR</t>
  </si>
  <si>
    <t>0341552125</t>
  </si>
  <si>
    <t xml:space="preserve"> Rp. 30.000.000,-</t>
  </si>
  <si>
    <t>ahmad.taufiq.fmipa@um.ac.id</t>
  </si>
  <si>
    <t xml:space="preserve">DEWI KURNIA ILAHI </t>
  </si>
  <si>
    <t>3513104305910001</t>
  </si>
  <si>
    <t>dewiku359@gmail.com</t>
  </si>
  <si>
    <t>BA BAITUL MAKMUR</t>
  </si>
  <si>
    <t>VILLA SENGKALING JL. TAMAN SENGKALING I/1</t>
  </si>
  <si>
    <t>3507231011180001</t>
  </si>
  <si>
    <t>NURDAFFA ARHABU RIZQI</t>
  </si>
  <si>
    <t>PERUM TERRA REGENCY BLOK C6</t>
  </si>
  <si>
    <t>3,6</t>
  </si>
  <si>
    <t>085655296033</t>
  </si>
  <si>
    <t>109</t>
  </si>
  <si>
    <t>ANDHIKA NEGRITA PUTRA GILANG</t>
  </si>
  <si>
    <t>3507220303870001</t>
  </si>
  <si>
    <t>081333417005</t>
  </si>
  <si>
    <t>PERUMAHAN TERRA REGENCY C6</t>
  </si>
  <si>
    <t>FEBRIA WULAN HARLIAS PUTRI</t>
  </si>
  <si>
    <t>3573016702870006</t>
  </si>
  <si>
    <t>PT PEGADAIAN</t>
  </si>
  <si>
    <t>JL. BOROBUDUR NO. 10 KELURAHAN MOJOLANGU KECAMATAN LOWOKWARU MALANG</t>
  </si>
  <si>
    <t>4.900.000</t>
  </si>
  <si>
    <t>PAQUD EL SALIM</t>
  </si>
  <si>
    <t>JL PIRANHA ATAS</t>
  </si>
  <si>
    <t>3573055912180001</t>
  </si>
  <si>
    <t>PRAMUDITA NURSYIFA AISHA</t>
  </si>
  <si>
    <t>SYIFA</t>
  </si>
  <si>
    <t>PERUMAHAN GRIYA TASIKMADU NO 1</t>
  </si>
  <si>
    <t>081232891483</t>
  </si>
  <si>
    <t>100CM</t>
  </si>
  <si>
    <t xml:space="preserve">HENGKI SUNARYANTO </t>
  </si>
  <si>
    <t>3573053003830008</t>
  </si>
  <si>
    <t xml:space="preserve">PT. CAKRAWALA MEGA INDAH </t>
  </si>
  <si>
    <t>JL RAJAWALI</t>
  </si>
  <si>
    <t>hengkisunaryanto@gmail.com</t>
  </si>
  <si>
    <t xml:space="preserve">ANISA DWIYANTI </t>
  </si>
  <si>
    <t>3573055807820014</t>
  </si>
  <si>
    <t>085855080696</t>
  </si>
  <si>
    <t>anisadwiyanty@yahoo.com</t>
  </si>
  <si>
    <t>3573034505180002</t>
  </si>
  <si>
    <t>QALESYA RAYHANA ADICAHYA</t>
  </si>
  <si>
    <t>ALESYA</t>
  </si>
  <si>
    <t>JL. CANDI KIDAL 16 BLIMBING</t>
  </si>
  <si>
    <t>082230487867</t>
  </si>
  <si>
    <t>25KG</t>
  </si>
  <si>
    <t>130CM</t>
  </si>
  <si>
    <t>RACHMATULLAH ADICAHYA NUGRAHA S.T., M.AB.</t>
  </si>
  <si>
    <t>3573032811890004</t>
  </si>
  <si>
    <t>081133311001</t>
  </si>
  <si>
    <t>PT ALHAMDULILLAH BERKAH SOLUSI</t>
  </si>
  <si>
    <t>JL. RAYA SUKOLILO JABUNG, KAB. MALANG</t>
  </si>
  <si>
    <t>r.yayak@gmail.com</t>
  </si>
  <si>
    <t>NURFITRIANI S.PD</t>
  </si>
  <si>
    <t>3211174904930006</t>
  </si>
  <si>
    <t>SUMEDANG</t>
  </si>
  <si>
    <t>nurfitani57@gmail.com</t>
  </si>
  <si>
    <t>3573055209180005</t>
  </si>
  <si>
    <t>QIANA ISVARA NABILA</t>
  </si>
  <si>
    <t>QIANA</t>
  </si>
  <si>
    <t>GRAND ARUMBA A-7</t>
  </si>
  <si>
    <t>082139199027</t>
  </si>
  <si>
    <t>105,7</t>
  </si>
  <si>
    <t>BRAMSATYA BIMASAKTI, S.TP</t>
  </si>
  <si>
    <t>3571021308880001</t>
  </si>
  <si>
    <t>082141888813</t>
  </si>
  <si>
    <t>SOLUZYMEDIA PACKAGING</t>
  </si>
  <si>
    <t>JL. BRIGJEND SLAMET RIADI NO.45 5 MALANG</t>
  </si>
  <si>
    <t>FISCHALINE LADY JANADA, S.TP</t>
  </si>
  <si>
    <t>3507246701900001</t>
  </si>
  <si>
    <t>lady27aqua@gmail.com</t>
  </si>
  <si>
    <t>RA BINA UMAT</t>
  </si>
  <si>
    <t>NGIJO - KARANGPLOSO</t>
  </si>
  <si>
    <t>3579031311180002</t>
  </si>
  <si>
    <t>RAFFA</t>
  </si>
  <si>
    <t>DSN JEDING</t>
  </si>
  <si>
    <t>082122776683</t>
  </si>
  <si>
    <t>RACHMAD AGUNG PRASETYO.S.P</t>
  </si>
  <si>
    <t>3507231310940004</t>
  </si>
  <si>
    <t>081333500694</t>
  </si>
  <si>
    <t>DIA WULANSARI</t>
  </si>
  <si>
    <t>3579035111930001</t>
  </si>
  <si>
    <t>POLSEK DAU - POLRES MALANG</t>
  </si>
  <si>
    <t>JL RAYA MULYOAGUNG 238 KEC DAU KAB MALANG</t>
  </si>
  <si>
    <t>prasetyodia@gmail.com</t>
  </si>
  <si>
    <t>BA RESTU 1 MALANG</t>
  </si>
  <si>
    <t>JL BANDUNG 7D MALANG</t>
  </si>
  <si>
    <t>3573022808180001</t>
  </si>
  <si>
    <t>RAFFAZKA ATHARIZ HAMIZAN ANDROMEDA</t>
  </si>
  <si>
    <t>JL BROMO I NO 145 MALANG</t>
  </si>
  <si>
    <t>009</t>
  </si>
  <si>
    <t>ORO ORO DOWO</t>
  </si>
  <si>
    <t>085649922768</t>
  </si>
  <si>
    <t>24,9</t>
  </si>
  <si>
    <t>INDONESIA , JAWA</t>
  </si>
  <si>
    <t>R. ADIMAS A.M. ANDROMEDA</t>
  </si>
  <si>
    <t>3573051305900001</t>
  </si>
  <si>
    <t>BANDUNG</t>
  </si>
  <si>
    <t>08993697333</t>
  </si>
  <si>
    <t>CV SINAR BAJA ELECTRIC</t>
  </si>
  <si>
    <t>JL MARGOMULYO 5 SURABAYA</t>
  </si>
  <si>
    <t>0317480011</t>
  </si>
  <si>
    <t>adimas.andromeda@gmail.com</t>
  </si>
  <si>
    <t>DINA ISLAMI MUFIDAH</t>
  </si>
  <si>
    <t>3507256706890001</t>
  </si>
  <si>
    <t>dinaislamy@gmail.com</t>
  </si>
  <si>
    <t>JL.IKAN KAKAP NO.90 TUNJUNGSEKAR KEC.LOWOKWARU MALANG</t>
  </si>
  <si>
    <t>3573055911180005</t>
  </si>
  <si>
    <t>RAISYA MAULIDA ZAHRA</t>
  </si>
  <si>
    <t>CACA</t>
  </si>
  <si>
    <t>JL.GOLF PERUMAHAN ROYAL CAMPUS A19</t>
  </si>
  <si>
    <t>3,8KM</t>
  </si>
  <si>
    <t>082330700060</t>
  </si>
  <si>
    <t>081559970600</t>
  </si>
  <si>
    <t>VERI ANDRIYAWAN</t>
  </si>
  <si>
    <t>3529190411900001</t>
  </si>
  <si>
    <t>PT.RODA SAKTI SURYA MEGAH</t>
  </si>
  <si>
    <t>JL.BASUKI RAHMAT 40-42 KLOJEN MALANG</t>
  </si>
  <si>
    <t>verry.rama@gmail.com</t>
  </si>
  <si>
    <t>RINI WAHYU ASTUTIK</t>
  </si>
  <si>
    <t>3524234703910001</t>
  </si>
  <si>
    <t>riniwahyuastutik@gmail.com</t>
  </si>
  <si>
    <t>TIRTASANI ROYAL RESORT</t>
  </si>
  <si>
    <t>3579021504180001</t>
  </si>
  <si>
    <t>RASHDANSYAH RAYYAN AZHAMI</t>
  </si>
  <si>
    <t>RASHDAN</t>
  </si>
  <si>
    <t xml:space="preserve">TIRTASANI ROYAL RESORT CLUSTER ROYAL VILLAGE NO. RV 9-06 </t>
  </si>
  <si>
    <t>08114612990</t>
  </si>
  <si>
    <t>REZHA FERDIANSYAH KURNIAWAN, S.ST.</t>
  </si>
  <si>
    <t>3579022810900001</t>
  </si>
  <si>
    <t xml:space="preserve">PT PERTAMINA </t>
  </si>
  <si>
    <t>GEDUNG GRAHA ELNUSA JL. TB SIMATUPANG KAV. 1B JAKARTA SELATAN</t>
  </si>
  <si>
    <t>kurniawanrezha@gmail.com</t>
  </si>
  <si>
    <t>AMALIA BUDI UTAMI, S.ST.</t>
  </si>
  <si>
    <t>3573034208900003</t>
  </si>
  <si>
    <t>082143552571</t>
  </si>
  <si>
    <t>TIRTASANI ROYAL RESORT CLUSTER ROYAL VILLAGE NO. RV 9-06</t>
  </si>
  <si>
    <t>3575021107180003</t>
  </si>
  <si>
    <t>RASYA FRINIZAR NAUFAL AFKAR</t>
  </si>
  <si>
    <t>RASYA</t>
  </si>
  <si>
    <t>PERUMAHAN TIRTASANI ROYAL RESORT CLUSTER ROYAL VILLAGE RV 8-7 NGENEP KARANGPLOSO</t>
  </si>
  <si>
    <t>4,6 KM</t>
  </si>
  <si>
    <t>082131848231</t>
  </si>
  <si>
    <t>ZHEFRIEL PARDIKAJAYANTO, ST</t>
  </si>
  <si>
    <t>3575022304870001</t>
  </si>
  <si>
    <t>082131848230</t>
  </si>
  <si>
    <t>PT PERTAMINA</t>
  </si>
  <si>
    <t>7 juta</t>
  </si>
  <si>
    <t>YULIS RISTIARNI SUMINAR, ST</t>
  </si>
  <si>
    <t>3575036507870002</t>
  </si>
  <si>
    <t>KB TK NOOR FADJAR</t>
  </si>
  <si>
    <t>JALAN PISANG KIPAS NO 8A KOTA MALANG</t>
  </si>
  <si>
    <t>3524085306180001</t>
  </si>
  <si>
    <t>RAYNA CALYSTA PUTRIANSA</t>
  </si>
  <si>
    <t>AINA</t>
  </si>
  <si>
    <t>JALAN PISANG KIPAS NO 29</t>
  </si>
  <si>
    <t>1,7 KM</t>
  </si>
  <si>
    <t>081259072862</t>
  </si>
  <si>
    <t>SUPERMANSAH, SP</t>
  </si>
  <si>
    <t>3524081903880001</t>
  </si>
  <si>
    <t>081233652857</t>
  </si>
  <si>
    <t>PERUM BULOG</t>
  </si>
  <si>
    <t>JALAN RAYA PANGLEGUR, PANGLEGUR, KECAMATAN PAMEKASAN KABUPATEN PAMEKASAN</t>
  </si>
  <si>
    <t>17.000.000</t>
  </si>
  <si>
    <t>suppermansah@gmail.com</t>
  </si>
  <si>
    <t>FANNY ARINTA KUMALASARI, SP</t>
  </si>
  <si>
    <t>3573056207890001</t>
  </si>
  <si>
    <t>fannyarinta22@gmail.com</t>
  </si>
  <si>
    <t>PERUM. VILLA BUKIT TIDAR BLOK A4 NO.209A</t>
  </si>
  <si>
    <t>3573050408180001</t>
  </si>
  <si>
    <t>REDDY ARSAKHA JOHAR</t>
  </si>
  <si>
    <t>SAKHA</t>
  </si>
  <si>
    <t>4,7</t>
  </si>
  <si>
    <t>085755901054</t>
  </si>
  <si>
    <t>119</t>
  </si>
  <si>
    <t>DEDDY JOHAR MULYAWAN, ST.</t>
  </si>
  <si>
    <t>3573050106900001</t>
  </si>
  <si>
    <t>081234447778</t>
  </si>
  <si>
    <t>PT. EKA AKAR JATI</t>
  </si>
  <si>
    <t>JL. RAYA DAWUHAN, TEGALGONDO</t>
  </si>
  <si>
    <t>deddyjohar74@gmail.com</t>
  </si>
  <si>
    <t>RESTI PIUTANTI, ST.</t>
  </si>
  <si>
    <t>3573055308910001</t>
  </si>
  <si>
    <t>restipiutanti@gmail.com</t>
  </si>
  <si>
    <t>JL IKAN KAKAP TUNJUNGSEKAR</t>
  </si>
  <si>
    <t>3573056008180002</t>
  </si>
  <si>
    <t>SABINA KHANZA AUGUSTANIA PUTRI</t>
  </si>
  <si>
    <t>SABINA</t>
  </si>
  <si>
    <t xml:space="preserve">PERUM DE'SAPPHIRE RESIDENCE C 20 JL IKAN GURAMI </t>
  </si>
  <si>
    <t>1,5</t>
  </si>
  <si>
    <t>082132805296</t>
  </si>
  <si>
    <t>CHITAN ACHMAD TRI WAHYUL KHARIM S.T</t>
  </si>
  <si>
    <t>3507091606910001</t>
  </si>
  <si>
    <t>081233987125</t>
  </si>
  <si>
    <t>PT PLN PERSERO</t>
  </si>
  <si>
    <t>JL M.T HARYONO MALANG</t>
  </si>
  <si>
    <t>cachmad@gmail.com</t>
  </si>
  <si>
    <t>LITA MELANIA</t>
  </si>
  <si>
    <t>3579035707940001</t>
  </si>
  <si>
    <t>talitamelalania@gmail.com</t>
  </si>
  <si>
    <t xml:space="preserve">JL. CANDI PANGGUNG </t>
  </si>
  <si>
    <t>3573045202190002</t>
  </si>
  <si>
    <t>SAFIA</t>
  </si>
  <si>
    <t xml:space="preserve">PERUM CITY SIDE RESIDENCE BLOK S-25 </t>
  </si>
  <si>
    <t>KENDALPAYAK</t>
  </si>
  <si>
    <t>PAKISAJI</t>
  </si>
  <si>
    <t xml:space="preserve">KABUPATEN MALANG </t>
  </si>
  <si>
    <t>16KM</t>
  </si>
  <si>
    <t>081357576773</t>
  </si>
  <si>
    <t>MOKHAMMAD DANNY PERMATA UTOMO, S. Pd, Gr.</t>
  </si>
  <si>
    <t>3573042005910009</t>
  </si>
  <si>
    <t>GURU SWASTA</t>
  </si>
  <si>
    <t>JL. ARUMBA NO.31</t>
  </si>
  <si>
    <t>dannypermata@gmail.com</t>
  </si>
  <si>
    <t xml:space="preserve">ENGGAR NURDIANA </t>
  </si>
  <si>
    <t>3573046202940001</t>
  </si>
  <si>
    <t>0878-3122-2664</t>
  </si>
  <si>
    <t xml:space="preserve">KARYAWAN </t>
  </si>
  <si>
    <t>RUMAH SAKIT SAIFUL ANWAR MALANG</t>
  </si>
  <si>
    <t xml:space="preserve">JL. LETJEN SUTOYO </t>
  </si>
  <si>
    <t xml:space="preserve">JL IKAN KAKAP NO 90 MALANG </t>
  </si>
  <si>
    <t>3579015708190004</t>
  </si>
  <si>
    <t>SALWA QIDZAMA HUMAIRA</t>
  </si>
  <si>
    <t>MAIRA</t>
  </si>
  <si>
    <t xml:space="preserve">PERUMAHAN PATRALAND PLACE BLOK C2 NO 6 </t>
  </si>
  <si>
    <t xml:space="preserve">2.1 KM </t>
  </si>
  <si>
    <t>081334887027</t>
  </si>
  <si>
    <t>105 CM</t>
  </si>
  <si>
    <t>ARIK MUSTOFA</t>
  </si>
  <si>
    <t>3579011508850002</t>
  </si>
  <si>
    <t>085234381441</t>
  </si>
  <si>
    <t>ASN DINAS TANAMAN PANGAN DAN HORTIKULTURA</t>
  </si>
  <si>
    <t>DINAS TANAMAN PANGAN DAN HORTIKULTURA KAB MALANG</t>
  </si>
  <si>
    <t xml:space="preserve">JL SUMEDANG - KEPANJEN - MALANG </t>
  </si>
  <si>
    <t xml:space="preserve">4.000.000/bln </t>
  </si>
  <si>
    <t>arik.mustofa85@gmail.com</t>
  </si>
  <si>
    <t>DEWI CIPTO NINGRUM</t>
  </si>
  <si>
    <t>3524147103860001</t>
  </si>
  <si>
    <t>BANKERS</t>
  </si>
  <si>
    <t xml:space="preserve">BANK BTN KC MALANG </t>
  </si>
  <si>
    <t xml:space="preserve">JL ADE IRMA SURYANI 2-4 MALANG </t>
  </si>
  <si>
    <t>11.000.000</t>
  </si>
  <si>
    <t>dc.ningrum29@gmail.com</t>
  </si>
  <si>
    <t>AISYIAH BUSTANUL ATHFAL 39 AL-UMMAH BANJARMASIN</t>
  </si>
  <si>
    <t>JALAN ARJUNA VI NO. 4 RT. 22 RW. 03 BUMI PEMURUS PERMAI BANJARMASIN</t>
  </si>
  <si>
    <t>6371044405180001</t>
  </si>
  <si>
    <t>SHANUM HAYYIN ALTHAFUNNISA</t>
  </si>
  <si>
    <t>SHANUM</t>
  </si>
  <si>
    <t xml:space="preserve">PERUM PERMATA TUNGGUL WULUNG NO. C-12A </t>
  </si>
  <si>
    <t>081327305920</t>
  </si>
  <si>
    <t>MOCHAMAD NOVELSYAH, SE, Ak, M.Ak, CPA</t>
  </si>
  <si>
    <t>3326142505850001</t>
  </si>
  <si>
    <t>BATANG</t>
  </si>
  <si>
    <t>AKUNTAN</t>
  </si>
  <si>
    <t>KANTOR AKUNTAN PUBLIK</t>
  </si>
  <si>
    <t>JALAN SAMUDERA I NO. 33A PEMURUS DALAM, BANJARMASIN SELATAN, KOTA BANJARMASIN</t>
  </si>
  <si>
    <t>MNOVELSYAH@GMAIL.COM</t>
  </si>
  <si>
    <t>SOPHIA FIRDAUSI, SE</t>
  </si>
  <si>
    <t>6371046501880004</t>
  </si>
  <si>
    <t>081357248289</t>
  </si>
  <si>
    <t>PERUM PERMATA TUNGGUL WULUNG NO. C-12A</t>
  </si>
  <si>
    <t>SOPHIAFIRDAUSI@GMAIL.COM</t>
  </si>
  <si>
    <t>YAYASAN HJ. QOMARIYYAH TK FIRDAUS</t>
  </si>
  <si>
    <t>JL. DAWUHAN, RT15/RW05, NO. 224, TEGALGONDO, KARANGPLOSO, KAB. MALANG</t>
  </si>
  <si>
    <t>3515145803230001</t>
  </si>
  <si>
    <t>SHANUM RIZKI AZZAHRA</t>
  </si>
  <si>
    <t>JL. ROGOBOYO, RT06/RW02, DUSUN BUNDER, AMPELDENTO, KARANGPLOSO, KAB. MALANG</t>
  </si>
  <si>
    <t>AMPELDENTO</t>
  </si>
  <si>
    <t>081289055162</t>
  </si>
  <si>
    <t>LETDA SUS PRIYO SUMBODO S.Tr</t>
  </si>
  <si>
    <t>3515141002880003</t>
  </si>
  <si>
    <t>082113563157</t>
  </si>
  <si>
    <t>PANGKALAN TNI AU LANUD ABURACHMAN SALEH MALANG</t>
  </si>
  <si>
    <t>JL. KOMODOR UDARA ABDUL RAHMAN SALEH,
KRAJAN, BUNUT WETAN, KEC. PAKIS, KABUPATEN MALANG,
JAWA TIMUR 65154</t>
  </si>
  <si>
    <t>081313747450</t>
  </si>
  <si>
    <t>5.450.000</t>
  </si>
  <si>
    <t>Priyosumbodo32@gmail.com</t>
  </si>
  <si>
    <t>PETY YULIANA SARI, S.Tr</t>
  </si>
  <si>
    <t>1801046907920008</t>
  </si>
  <si>
    <t>BRANTI</t>
  </si>
  <si>
    <t>BMKG (STASIUN KLIMATOLOGI MALANG, JAWA TIMUR)</t>
  </si>
  <si>
    <t>JL. ZENTANA, NO. 33, AMPELDENTO, KARANGPLOSO, MALANG, 65152</t>
  </si>
  <si>
    <t>0341-464827</t>
  </si>
  <si>
    <t>pettyyuliana@gmail.com, pety.sari@bmkg.go.id</t>
  </si>
  <si>
    <t>JALAN IKAN KAKAP NO 90 KOTA MALANG</t>
  </si>
  <si>
    <t>3573055906190003</t>
  </si>
  <si>
    <t>SHIRIN NUSAYBAH</t>
  </si>
  <si>
    <t>SHIRIN</t>
  </si>
  <si>
    <t>PERUM PATRALAND PLACE BLOK A1/23</t>
  </si>
  <si>
    <t>081220000020</t>
  </si>
  <si>
    <t>RADEWA RIZKI MIRMA WIJAYA, S.E.</t>
  </si>
  <si>
    <t>3525101108920001</t>
  </si>
  <si>
    <t>PEGAWAI NEGERI SIPIL</t>
  </si>
  <si>
    <t>KPP PRATAMA MALANG SELATAN JL. MERDEKA UTARA NO. 3 KOTA MALANG</t>
  </si>
  <si>
    <t>0341361121</t>
  </si>
  <si>
    <t>22.000.000</t>
  </si>
  <si>
    <t>radewarizki@gmail.com</t>
  </si>
  <si>
    <t>ERISHA NURUL UMA</t>
  </si>
  <si>
    <t>3216064111930028</t>
  </si>
  <si>
    <t>BEKASI</t>
  </si>
  <si>
    <t>081249690303</t>
  </si>
  <si>
    <t>PERUM PATRALAND PLACE BLOK A1/23 KOTA MALANG</t>
  </si>
  <si>
    <t>erisha.nurul@gmail.com</t>
  </si>
  <si>
    <t>JL. KUTILANG NO 99, MALANG</t>
  </si>
  <si>
    <t>3507234101190003</t>
  </si>
  <si>
    <t>SYAFIA ISHMA TSAQIFAH</t>
  </si>
  <si>
    <t>SYAFIA</t>
  </si>
  <si>
    <t>DUSUN NGIJO</t>
  </si>
  <si>
    <t>082132266443</t>
  </si>
  <si>
    <t>63</t>
  </si>
  <si>
    <t>DR. AHMAD DHIAUL KHULUQ, S.TP., MP</t>
  </si>
  <si>
    <t>3573042007830007</t>
  </si>
  <si>
    <t>081330900483</t>
  </si>
  <si>
    <t>BSIP TAS</t>
  </si>
  <si>
    <t>JL. RAYA KARANGPLOSO KM 4, MALANG</t>
  </si>
  <si>
    <t>adkhuluq@gmail.com</t>
  </si>
  <si>
    <t>RULY HAMIDA, S.Si., M.Sc</t>
  </si>
  <si>
    <t>3578025809840005</t>
  </si>
  <si>
    <t>JL. RAYA KARANGPLOSO KM. 4, MALANG</t>
  </si>
  <si>
    <t>rulyhamida@gmail.com</t>
  </si>
  <si>
    <t>JL. BATU PERMATA NO.9, TLOGOMAS, KEC. LOWOKWARU, KOTA MALANG, JAWA TIMUR 65144, INDONESIA</t>
  </si>
  <si>
    <t>3578010412170002</t>
  </si>
  <si>
    <t>SYAFIQ ELENO YUSUF</t>
  </si>
  <si>
    <t>SYAFIQ</t>
  </si>
  <si>
    <t>PERUMAHAN BUKIT CEMARA TUJUH F24, JL. RAYA TLOGOMAS, MALANG</t>
  </si>
  <si>
    <t>081370370444</t>
  </si>
  <si>
    <t>082111744644</t>
  </si>
  <si>
    <t>26</t>
  </si>
  <si>
    <t>INDONESIA, INGGRIS</t>
  </si>
  <si>
    <t>DIMAS YUSUF PRIYO UTOMO, ST</t>
  </si>
  <si>
    <t>3578012605880002</t>
  </si>
  <si>
    <t>MERMAID SUBSEA SERVICES (THAILAND) LTD.</t>
  </si>
  <si>
    <t>ORAKARN BUILDING 12A FL, CHIDLOM, LUMPINEE, PATHUMWAN, BANGKOK, THAILAND</t>
  </si>
  <si>
    <t>+6638318300</t>
  </si>
  <si>
    <t>50 JUTA</t>
  </si>
  <si>
    <t>dimas.yusuf@hotmail.com</t>
  </si>
  <si>
    <t>OKKY INTANRIANE, ST.</t>
  </si>
  <si>
    <t>3271065510890020</t>
  </si>
  <si>
    <t>RUMAH TANGGA KELUARGA</t>
  </si>
  <si>
    <t>okky.intan@gmail.com</t>
  </si>
  <si>
    <t>JL. CANDI PANGGUNG INDAH</t>
  </si>
  <si>
    <t>3517061204180001</t>
  </si>
  <si>
    <t>TENGKU ARLANA ARSENIO ALQAWII</t>
  </si>
  <si>
    <t>NIO</t>
  </si>
  <si>
    <t xml:space="preserve">PERUM.PERMATA LAND B/26 JL.AKORDION UTARA TUNGGULWULUNG </t>
  </si>
  <si>
    <t>082230573660</t>
  </si>
  <si>
    <t>29</t>
  </si>
  <si>
    <t>121</t>
  </si>
  <si>
    <t>HADU SURYANTO, S.P.</t>
  </si>
  <si>
    <t>3517062311810005</t>
  </si>
  <si>
    <t>082336932746</t>
  </si>
  <si>
    <t>DINAS PERTANIAN KAB. JOMBANG</t>
  </si>
  <si>
    <t>JL. SOEKARNO HATTA KAB JOMBANG</t>
  </si>
  <si>
    <t>hadusuryanto@gmai.com</t>
  </si>
  <si>
    <t>LAILI MIRZA ANIDA UDIN, S.P.</t>
  </si>
  <si>
    <t>3517066201860002</t>
  </si>
  <si>
    <t xml:space="preserve">PPNPN KEMENTERIAN PERTANIAN </t>
  </si>
  <si>
    <t>BALAI BESAR PERBENIHAN DAN PROTEKSI TANAMAN PERKEBUNAN SURABAYA</t>
  </si>
  <si>
    <t>JL. RAYA MOJOAGUNG 52 GAMBIRAN KAB. JOMBANG</t>
  </si>
  <si>
    <t>0321 - 496430</t>
  </si>
  <si>
    <t>lailimirza@gmail.com</t>
  </si>
  <si>
    <t>MUHARTININGSIH</t>
  </si>
  <si>
    <t>081259075538</t>
  </si>
  <si>
    <t xml:space="preserve">PERUM.PERMATA LAND B,26 JL.AKORDION UTARA TUNGGULWULUNG </t>
  </si>
  <si>
    <t>JL SAXOFON NO 25</t>
  </si>
  <si>
    <t>3573056610180003</t>
  </si>
  <si>
    <t>WINA RAHMATUL DHUHA</t>
  </si>
  <si>
    <t>WINA</t>
  </si>
  <si>
    <t>CLUSTER ARUMBA INDAH BLOK A NO 4</t>
  </si>
  <si>
    <t xml:space="preserve">300M </t>
  </si>
  <si>
    <t>082133345761</t>
  </si>
  <si>
    <t>NIRIL ANWAR</t>
  </si>
  <si>
    <t>3573052707820022</t>
  </si>
  <si>
    <t>081334415455</t>
  </si>
  <si>
    <t>THE RIL SECOND</t>
  </si>
  <si>
    <t>JL SAXOFON NO 69</t>
  </si>
  <si>
    <t xml:space="preserve">WIDHA FIRDAUS </t>
  </si>
  <si>
    <t>3573056801880001</t>
  </si>
  <si>
    <t>sakhiquaneisha@gmail.com</t>
  </si>
  <si>
    <t>KB-TK AL-MADANI</t>
  </si>
  <si>
    <t>JL. ABDULRACHMAN SALEH, PERUM PONDOK WISATA</t>
  </si>
  <si>
    <t>3507187108180003</t>
  </si>
  <si>
    <t>YUMNA SABIRA LUVENA</t>
  </si>
  <si>
    <t>YUMNA / UNA</t>
  </si>
  <si>
    <t>KOMPLEK AMARTA I-8, LANUD ABDULRACHMAN SALEH</t>
  </si>
  <si>
    <t>085315646000</t>
  </si>
  <si>
    <t>081390362200</t>
  </si>
  <si>
    <t>DWI ARI CAHYONO, S. S.T.Han.</t>
  </si>
  <si>
    <t>3504012402880001</t>
  </si>
  <si>
    <t xml:space="preserve">TNI AU / PENERBANG </t>
  </si>
  <si>
    <t>SKADRON UDARA 21 WING 2 LANUD ABDULRACHAM SALEH</t>
  </si>
  <si>
    <t>SKADRON UDARA 21 WING 2 LANUD ABDULRACHMAN SALEH</t>
  </si>
  <si>
    <t>dwi.aric8333@gmail.cok</t>
  </si>
  <si>
    <t>PUTRI FATMA LESTARI. S.T.</t>
  </si>
  <si>
    <t>3273026112900010</t>
  </si>
  <si>
    <t>BENGKALIS</t>
  </si>
  <si>
    <t>KABIDUS YASARINI ABDULRACHMAN SALEH</t>
  </si>
  <si>
    <t>YASARINI ABDULRACHMAN SALEH</t>
  </si>
  <si>
    <t>LANUD ABDULRACHMAN SALEH</t>
  </si>
  <si>
    <t>pflestarii@gmail.com</t>
  </si>
  <si>
    <t>JL CANDI PANGGUNG NO 1-3</t>
  </si>
  <si>
    <t>3573055005190002</t>
  </si>
  <si>
    <t>ZARIN KALILA ZAHRA</t>
  </si>
  <si>
    <t>ZARIN</t>
  </si>
  <si>
    <t>081952111585/085755865584</t>
  </si>
  <si>
    <t>90 CM</t>
  </si>
  <si>
    <t>INDONESIA-JAWA</t>
  </si>
  <si>
    <t>GOJEK</t>
  </si>
  <si>
    <t>Rone@tentorcakep.gmail.com</t>
  </si>
  <si>
    <t>UCIK SRIWAHYUNI, S.Pd., S.Pd</t>
  </si>
  <si>
    <t>JL.ARUMBA NO 31</t>
  </si>
  <si>
    <t>uciksriwahyuni37@gmail.com</t>
  </si>
  <si>
    <t>JL.CANDI PANGGUNG 1-3</t>
  </si>
  <si>
    <t>3579032712180001</t>
  </si>
  <si>
    <t xml:space="preserve">ZAVIER </t>
  </si>
  <si>
    <t>JL.MAKAM 02</t>
  </si>
  <si>
    <t>BEJI</t>
  </si>
  <si>
    <t xml:space="preserve">JUNREJO </t>
  </si>
  <si>
    <t xml:space="preserve">BATU </t>
  </si>
  <si>
    <t>11 KM+</t>
  </si>
  <si>
    <t>083834622077</t>
  </si>
  <si>
    <t>15 KG</t>
  </si>
  <si>
    <t>102 CM</t>
  </si>
  <si>
    <t>DEDY IRWANDA, SE</t>
  </si>
  <si>
    <t>3573050512860004</t>
  </si>
  <si>
    <t>JL.ARUMBA 31 MALANG</t>
  </si>
  <si>
    <t>dedyzavier27@gmail.com</t>
  </si>
  <si>
    <t>NURMA DWI MUFARIKAH</t>
  </si>
  <si>
    <t>3579036001870006</t>
  </si>
  <si>
    <t>MALANG-BATU</t>
  </si>
  <si>
    <t>087750673260</t>
  </si>
  <si>
    <t>Nurmamufarika@gmail.com</t>
  </si>
  <si>
    <t>3507237108180001</t>
  </si>
  <si>
    <t xml:space="preserve">ZIVANA </t>
  </si>
  <si>
    <t xml:space="preserve">PERUM GRIYA PERMATA ALAM BLOK LE NO 14 </t>
  </si>
  <si>
    <t>3.5 KM</t>
  </si>
  <si>
    <t>087875410111</t>
  </si>
  <si>
    <t>106</t>
  </si>
  <si>
    <t xml:space="preserve">DONY ARIYANTO </t>
  </si>
  <si>
    <t>3507232608790003</t>
  </si>
  <si>
    <t>085335410111</t>
  </si>
  <si>
    <t>PT. GATRA PERDANA PUTRA (HYUNDAI MALANG)</t>
  </si>
  <si>
    <t>JL. LETJEND. SUTOYO 11 MALANG</t>
  </si>
  <si>
    <t>± 2.000.000</t>
  </si>
  <si>
    <t>aikadian80@gmail.com</t>
  </si>
  <si>
    <t>DR. IKA DIAN ANGGRAINI, M. M. Kes.</t>
  </si>
  <si>
    <t>527105630380004</t>
  </si>
  <si>
    <t>KLINIK ZEE MY SKINCARE MALANG</t>
  </si>
  <si>
    <t xml:space="preserve">JALAN GRIYA PERMATA ALAM RUKO NOMOR 7 NGIJO KARANGPLOSO MALANG </t>
  </si>
  <si>
    <t>087728410111</t>
  </si>
  <si>
    <t>HAKIM PENGADILAN TINGGI</t>
  </si>
  <si>
    <t>IBURUMAHRANGGA</t>
  </si>
  <si>
    <t>PENSIUNAN SWASTA</t>
  </si>
  <si>
    <t>PENSIUNAN GURU</t>
  </si>
  <si>
    <t>ABQORI KENZIE RAMADHAN</t>
  </si>
  <si>
    <t>ABQORI / QORI</t>
  </si>
  <si>
    <t>8 Th, 1 Bln</t>
  </si>
  <si>
    <t>WNI</t>
  </si>
  <si>
    <t>TBC PARU</t>
  </si>
  <si>
    <t>HASANUDDIN</t>
  </si>
  <si>
    <t>KEMENTERIAN PERTANIAN (BRMP TAS)</t>
  </si>
  <si>
    <t>JL. RAYA KARANGPLOSO KM 4</t>
  </si>
  <si>
    <t>0341-491447</t>
  </si>
  <si>
    <t>hasan_abuy@yahoo.co.id</t>
  </si>
  <si>
    <t>FAJAR LESTARY</t>
  </si>
  <si>
    <t xml:space="preserve">KEMENTERIAN KEUANGAN (BEA CUKAI) </t>
  </si>
  <si>
    <t>JL. BARITO HILIR No.. 75, TELAGA BARU, BANJARMASIN BARAT, BANJARMASIN</t>
  </si>
  <si>
    <t>fajarlesta@yahoo.co.id</t>
  </si>
  <si>
    <t>IMAS SUMARNI</t>
  </si>
  <si>
    <t>PNS / KEPALA SEKOLAH</t>
  </si>
  <si>
    <t>JL. BOJONG LEBAK, KEMANG, KAB. BOGOR</t>
  </si>
  <si>
    <t>KAB. BOGOR</t>
  </si>
  <si>
    <t>SEKOLAH DASAR</t>
  </si>
  <si>
    <t>SD ISLAM AL AZHAR 29</t>
  </si>
  <si>
    <t>JL. RM. HADISOEBENO SOSROWARDOYO MIJEN-SEMARANG</t>
  </si>
  <si>
    <t>ANINDYA KAYANA SALSABILA</t>
  </si>
  <si>
    <t>PERUM CITRA HARMONI BLOK I 2/118</t>
  </si>
  <si>
    <t xml:space="preserve">TROSOBO </t>
  </si>
  <si>
    <t xml:space="preserve">TAMAN </t>
  </si>
  <si>
    <t>ARDIAN ANUGRAH P. A</t>
  </si>
  <si>
    <t xml:space="preserve">TELUK BETUNG </t>
  </si>
  <si>
    <t>SARJANA</t>
  </si>
  <si>
    <t>PT. BALI MAYA PERMAI JIMBARAN BALI</t>
  </si>
  <si>
    <t xml:space="preserve">JL. PENGAMBANGAN TEGAL BADENG JIMBARAN BALI </t>
  </si>
  <si>
    <t xml:space="preserve">SARI SUWANDARI </t>
  </si>
  <si>
    <t xml:space="preserve">JEMBER </t>
  </si>
  <si>
    <t xml:space="preserve">SARJANA </t>
  </si>
  <si>
    <t xml:space="preserve">PT. PESTA PORA ABADI </t>
  </si>
  <si>
    <t>SUKUN KOTA MALANG</t>
  </si>
  <si>
    <t>SEKOLAH DASAR SUPRIYADI SEMARANG</t>
  </si>
  <si>
    <t>JL. SUPRIYADI NO. 11 SEMARANG</t>
  </si>
  <si>
    <t>ASY SYAM HANNAN AZWAR</t>
  </si>
  <si>
    <t>HANNAN</t>
  </si>
  <si>
    <t>JL. TELUK CENDRAWASIH 142 C</t>
  </si>
  <si>
    <t>ADITYA RAMON AZWAR</t>
  </si>
  <si>
    <t>PT BAGONG DEKAKA MAKMUR</t>
  </si>
  <si>
    <t>JL. RAYA JABON 73 MOJOKERTO</t>
  </si>
  <si>
    <t xml:space="preserve">ANNISA PROKLAMADEWI ZUNAIDA </t>
  </si>
  <si>
    <t>BANK BRI SEMARANG</t>
  </si>
  <si>
    <t xml:space="preserve">SD ISLAMIC INTERNATIONAL SCHOOL PSM MAGETAN </t>
  </si>
  <si>
    <t xml:space="preserve">JL. MONGINSIDI NO 52 MAGETAN </t>
  </si>
  <si>
    <t>BRAVA LOUVAIN VIANO MUHAMMAD</t>
  </si>
  <si>
    <t>LOUVAIN</t>
  </si>
  <si>
    <t xml:space="preserve">JL. ANJASMORO NO 4 </t>
  </si>
  <si>
    <t>BANGUNSARI</t>
  </si>
  <si>
    <t>OKY FARDIYANO</t>
  </si>
  <si>
    <t>KEMENKEU/PAJAK/KPP MADYA MALANG</t>
  </si>
  <si>
    <t xml:space="preserve">KOMPLEK ARAYA BUSINESS CENTER </t>
  </si>
  <si>
    <t>REISFIA AFANTY</t>
  </si>
  <si>
    <t>SLTA</t>
  </si>
  <si>
    <t xml:space="preserve">MOHAMMAD RAYYAN </t>
  </si>
  <si>
    <t>RINTO WIJAYA</t>
  </si>
  <si>
    <t>CURUP</t>
  </si>
  <si>
    <t>TNI AD</t>
  </si>
  <si>
    <t>MABES TNI AD</t>
  </si>
  <si>
    <t>KAKEK</t>
  </si>
  <si>
    <t>SD NEGERI TASIKMADU 2</t>
  </si>
  <si>
    <t>JL. ATLETIK 123-124 TASIKMADU LOWOKWARU KOTA MALANG</t>
  </si>
  <si>
    <t>NADINE ARDHANARESWARI</t>
  </si>
  <si>
    <t>NADINE</t>
  </si>
  <si>
    <t>JL. BOWLING 46A TASIKMADU</t>
  </si>
  <si>
    <t>MOCH. FACHRUR ROZY</t>
  </si>
  <si>
    <t>SMU</t>
  </si>
  <si>
    <t>rozzy5758@gmail.com</t>
  </si>
  <si>
    <t>ANITA SULISTIYA NINGRUM</t>
  </si>
  <si>
    <t>RICHELLE FREDELIN AQUINA WIJAYA</t>
  </si>
  <si>
    <t>0153316675</t>
  </si>
  <si>
    <t>LAWANG</t>
  </si>
  <si>
    <t>082147913061</t>
  </si>
  <si>
    <t>089912017220</t>
  </si>
  <si>
    <t>082233954728</t>
  </si>
  <si>
    <t>082277711122</t>
  </si>
  <si>
    <t>081357301983</t>
  </si>
  <si>
    <t>08816359362</t>
  </si>
  <si>
    <t>3509214904830010</t>
  </si>
  <si>
    <t>V</t>
  </si>
  <si>
    <t>3521-LU-22082016-0023</t>
  </si>
  <si>
    <t>17 Juli 2023</t>
  </si>
  <si>
    <t>JL. SAXOPHONE NO 25 TUNGGULWULUNG</t>
  </si>
  <si>
    <t>3521092605160003</t>
  </si>
  <si>
    <t>3521092407160002</t>
  </si>
  <si>
    <t>ARSENIO SUKMA FAEYZA</t>
  </si>
  <si>
    <t>3A</t>
  </si>
  <si>
    <t>PERUM PATRA GARDEN BLOK KRISAN NO.26</t>
  </si>
  <si>
    <t>KAB MALANG</t>
  </si>
  <si>
    <t>1,5 km</t>
  </si>
  <si>
    <t>082232659581</t>
  </si>
  <si>
    <t>DANANG SUKMA AJI</t>
  </si>
  <si>
    <t>3521090308880003</t>
  </si>
  <si>
    <t>081217408221</t>
  </si>
  <si>
    <t>RIZKY WIDYAWATI</t>
  </si>
  <si>
    <t>3503136905900001</t>
  </si>
  <si>
    <t>3573-LT-22082016-0004</t>
  </si>
  <si>
    <t>JALAN AMPEL PRATAMA V BLOK E-2/09 PERUM PESANGGRAHAN PRATAMA, AMPELDENTO-KARANGPLOSO</t>
  </si>
  <si>
    <t>3573051602160018</t>
  </si>
  <si>
    <t>3573050206160006</t>
  </si>
  <si>
    <t>ADAM HAIDAR AR-RIZKY</t>
  </si>
  <si>
    <t>ADAM</t>
  </si>
  <si>
    <t>JALAN RAYA TLOGOMAS NOMOR 50</t>
  </si>
  <si>
    <t>4 km</t>
  </si>
  <si>
    <t>0341- 552958</t>
  </si>
  <si>
    <t>081299031600</t>
  </si>
  <si>
    <t>21 Kg</t>
  </si>
  <si>
    <t>150 cm</t>
  </si>
  <si>
    <t>MOCHAMAD RIZKA NURHIDAYAH</t>
  </si>
  <si>
    <t>3573052212910005</t>
  </si>
  <si>
    <t>081233646650</t>
  </si>
  <si>
    <t>DEPOT</t>
  </si>
  <si>
    <t>JALAN RAYA TLOGOMAS NOMOR 50, RT 02 RW 05, KELURAHAN TLOGOMAS, KECAMATAN LOWOKWARU, KOTA MALANG</t>
  </si>
  <si>
    <t>0341-552958</t>
  </si>
  <si>
    <t>constantine.hidayah50@gmail.com</t>
  </si>
  <si>
    <t>MEI LISA HARDI</t>
  </si>
  <si>
    <t>3522095805910003</t>
  </si>
  <si>
    <t>SEKOLAH MENENGAH ATAS NEGERI 5 MALANG</t>
  </si>
  <si>
    <t>JALAN TANIMBAR NOMOR 24 KELURAHAN KASIN KECAMATAN KLOJEN KOTA MALANG</t>
  </si>
  <si>
    <t>0341-364580</t>
  </si>
  <si>
    <t>lisamei743@gmail.com</t>
  </si>
  <si>
    <t>3515-LT-19072017-0069</t>
  </si>
  <si>
    <t>SPS CAHAYA PERMATA</t>
  </si>
  <si>
    <t>PERUMAHAN PUNCAK PERMATA SENGKALING BLOK D NO 8, SUMBERSEKAR KEC. DAU, KAB. MALANG</t>
  </si>
  <si>
    <t>3515182412140009</t>
  </si>
  <si>
    <t>3515186712160005</t>
  </si>
  <si>
    <t>ADREENA ZAYNALESHA DISTIRA</t>
  </si>
  <si>
    <t>ALESHA</t>
  </si>
  <si>
    <t>JL. MARTOREJO NO.17</t>
  </si>
  <si>
    <t>4.4km</t>
  </si>
  <si>
    <t>08113676001</t>
  </si>
  <si>
    <t>081333391184</t>
  </si>
  <si>
    <t>REDA ANGGRA DISTIRA</t>
  </si>
  <si>
    <t>3515180911880002</t>
  </si>
  <si>
    <t>082231038299</t>
  </si>
  <si>
    <t>BRITISH AMERICAN TOBACCO</t>
  </si>
  <si>
    <t>*</t>
  </si>
  <si>
    <t>reda.anggra.distira@gmail.com</t>
  </si>
  <si>
    <t>ONI ENGGAR PAMUNGKI</t>
  </si>
  <si>
    <t>3515184212900004</t>
  </si>
  <si>
    <t xml:space="preserve"> </t>
  </si>
  <si>
    <t>enggaronie@gmail.com</t>
  </si>
  <si>
    <t>REDA ANGGRA DISTIRA. ST</t>
  </si>
  <si>
    <t>Karyawan swasta</t>
  </si>
  <si>
    <t>Jl. Martorejo no.17</t>
  </si>
  <si>
    <t>Dadaprejo</t>
  </si>
  <si>
    <t>Junrejo</t>
  </si>
  <si>
    <t>Batu</t>
  </si>
  <si>
    <t>3573-LU-04072017-0041</t>
  </si>
  <si>
    <t>TK OMAH BOCAH ANNAFI</t>
  </si>
  <si>
    <t>PERUM GRIYASANTA L301, MOJOLANGU, KEC. LOWOKWARU, KOTA MALANG, JAWA TIMUR 65142</t>
  </si>
  <si>
    <t>0175015760</t>
  </si>
  <si>
    <t>3573011303130001</t>
  </si>
  <si>
    <t>3573011206170002</t>
  </si>
  <si>
    <t>AGHA ADZRIEL FAUZI</t>
  </si>
  <si>
    <t>AGHA</t>
  </si>
  <si>
    <t>JLN. CAKALANG NO. 161C</t>
  </si>
  <si>
    <t>3 km</t>
  </si>
  <si>
    <t>08113777137</t>
  </si>
  <si>
    <t>FAUZI ALFA ALFI</t>
  </si>
  <si>
    <t>3517062211830001</t>
  </si>
  <si>
    <t>08123453387</t>
  </si>
  <si>
    <t>PT. ZESTHUB INOVASI MANDIRI</t>
  </si>
  <si>
    <t>JLN. CANDI KALASAN II NO. 24 MALANG</t>
  </si>
  <si>
    <t>28 juta</t>
  </si>
  <si>
    <t>fauzi_alfa_alfi@yahoo.com</t>
  </si>
  <si>
    <t>FITRIA NUGRAHA AINI</t>
  </si>
  <si>
    <t>3573015306880006</t>
  </si>
  <si>
    <t>FAKULTAS KEDOKTERAN UNISMA</t>
  </si>
  <si>
    <t>JLN. MT HARYONO 193 MALANG</t>
  </si>
  <si>
    <t>ainifn88@gmail.com</t>
  </si>
  <si>
    <t>3514-LT-16022017-0035</t>
  </si>
  <si>
    <t>3507230607220008</t>
  </si>
  <si>
    <t>3514214908160001</t>
  </si>
  <si>
    <t>AIRIS NAFI’AH KHAIRUNNISA</t>
  </si>
  <si>
    <t>AIRIS</t>
  </si>
  <si>
    <t>PERUM KARANGPLOSO VIEW G-19</t>
  </si>
  <si>
    <t>10 km</t>
  </si>
  <si>
    <t>082234640906</t>
  </si>
  <si>
    <t>16 kg</t>
  </si>
  <si>
    <t>118 cm</t>
  </si>
  <si>
    <t>WARIS TRIYONO</t>
  </si>
  <si>
    <t>6472052010930006</t>
  </si>
  <si>
    <t>SAMARINDA</t>
  </si>
  <si>
    <t>082231869690</t>
  </si>
  <si>
    <t>APOTEK AIRIS</t>
  </si>
  <si>
    <t>JL. RAYA KARANGJUWET, DONOWARIH, KARANGPLOSO</t>
  </si>
  <si>
    <t>Waristriyono2193@gmail.com</t>
  </si>
  <si>
    <t>NURUL AINI RAHMAWATI</t>
  </si>
  <si>
    <t>3514216108950004</t>
  </si>
  <si>
    <t>JL. BANDUNG NO. 1, PENANGGUNGAN, KLOJEN, KOTA MALANG</t>
  </si>
  <si>
    <t>Ainirahmawati@umm.ac.id</t>
  </si>
  <si>
    <t>3175-LU-31052017-0054</t>
  </si>
  <si>
    <t>3175031605170019</t>
  </si>
  <si>
    <t>3175034505170002</t>
  </si>
  <si>
    <t>AICA</t>
  </si>
  <si>
    <t>PERUMAHAN PERMATA JINGGA, BLOK KELAPA NO 28</t>
  </si>
  <si>
    <t>03414374828</t>
  </si>
  <si>
    <t>082230446779</t>
  </si>
  <si>
    <t>19 kg</t>
  </si>
  <si>
    <t>115 cm</t>
  </si>
  <si>
    <t>SAAT USIA 7 BULAN, PERNAH JATUH DARI KETINGGIAN 60 CM, TENGKORAK KEPALA RETAK&lt;5 CM, PENDARAHAN DALAM DAN LUAR.</t>
  </si>
  <si>
    <t xml:space="preserve">R ARIEF RISZALDI </t>
  </si>
  <si>
    <t>3175030510780013</t>
  </si>
  <si>
    <t xml:space="preserve">SEMARANG </t>
  </si>
  <si>
    <t xml:space="preserve">USAHA SENDIRI </t>
  </si>
  <si>
    <t>PERUMAHAN PERMATA JINGGA, BLOK KELAPA NO 28, RT/RW 07/06, KELURAHAN TUNGGULWULUNG,  KECAMATAN LOWOKWARU</t>
  </si>
  <si>
    <t>Rp 5-10 juta/bln</t>
  </si>
  <si>
    <t>cipinangjaya21@gmail.com</t>
  </si>
  <si>
    <t xml:space="preserve">RISZA ROCHMAWATI KUSUMANINGRUM </t>
  </si>
  <si>
    <t>3520056906860003</t>
  </si>
  <si>
    <t>081315155067</t>
  </si>
  <si>
    <t xml:space="preserve">PERUMAHAN PERMATA JINGGA, BLOK KELAPA NO 28, RT/RW 07/06, KELURAHAN TUNGGULWULUNG,  KECAMATAN LOWOKWARU </t>
  </si>
  <si>
    <t>Risza.rwati@gmail.com</t>
  </si>
  <si>
    <t>MIA INDRIANA, SH</t>
  </si>
  <si>
    <t xml:space="preserve">Semarang </t>
  </si>
  <si>
    <t>08568982640</t>
  </si>
  <si>
    <t xml:space="preserve">Karyawan </t>
  </si>
  <si>
    <t>Jalan Cipinang Jaya CC nomor 46 (dekat BPS&amp;K)</t>
  </si>
  <si>
    <t xml:space="preserve">Cipinang Besar Selatan </t>
  </si>
  <si>
    <t xml:space="preserve">Jatinegara </t>
  </si>
  <si>
    <t xml:space="preserve">Jakarta Timur </t>
  </si>
  <si>
    <t>3507-LU-05072017-0017</t>
  </si>
  <si>
    <t>3573052506180008</t>
  </si>
  <si>
    <t>3507180107170002</t>
  </si>
  <si>
    <t>ALFATIH KIAN KANINDRA</t>
  </si>
  <si>
    <t>KIAN</t>
  </si>
  <si>
    <t>PERUM BUMI PALAPA C15 MALANG</t>
  </si>
  <si>
    <t>2 km</t>
  </si>
  <si>
    <t>082141419170</t>
  </si>
  <si>
    <t>97 cm</t>
  </si>
  <si>
    <t>JAWA-INDONESIA</t>
  </si>
  <si>
    <t>JAKA SUWORO</t>
  </si>
  <si>
    <t>3507180708930002</t>
  </si>
  <si>
    <t>081336114242</t>
  </si>
  <si>
    <t>POLRESTA MALANG KOTA</t>
  </si>
  <si>
    <t>JL JAKSA AGUNG SUPRAPTO</t>
  </si>
  <si>
    <t>Rp 3.000.000.-</t>
  </si>
  <si>
    <t>nindhipw@rocketmail.com</t>
  </si>
  <si>
    <t>NINDHI PUTRI WIGUNANTHI</t>
  </si>
  <si>
    <t>3573054407930004</t>
  </si>
  <si>
    <t>nindhiputriww@gmail.com</t>
  </si>
  <si>
    <t>03 JUNI 2025</t>
  </si>
  <si>
    <t>SD NEGERI 1 SAWAHAN NGANJUK</t>
  </si>
  <si>
    <t xml:space="preserve">DESA SAWAHAN KECAMATAN SAWAHAN KABUPATEN NGANJUK </t>
  </si>
  <si>
    <t>3174041063</t>
  </si>
  <si>
    <t>3506252712160002</t>
  </si>
  <si>
    <t>35066256807170001</t>
  </si>
  <si>
    <t>ANNEZIKRIA NIRMA LATIFA</t>
  </si>
  <si>
    <t>KEA</t>
  </si>
  <si>
    <t>28 JULI 2017</t>
  </si>
  <si>
    <t>TAMAN TECTONA RESIDENCE BLOK B-14</t>
  </si>
  <si>
    <t>085132940219</t>
  </si>
  <si>
    <t>ARIFIN LATIF</t>
  </si>
  <si>
    <t>3506253003890001</t>
  </si>
  <si>
    <t>30 MARET 1989</t>
  </si>
  <si>
    <t>08113025513</t>
  </si>
  <si>
    <t>PT. SYNGENTA INDONESIA</t>
  </si>
  <si>
    <t xml:space="preserve">JL. TB SIMATUPANG JAKSEL </t>
  </si>
  <si>
    <t>02130421000</t>
  </si>
  <si>
    <t>arifinlatif30@gmail.com</t>
  </si>
  <si>
    <t>RESTU RIZKYTA KUSUMA</t>
  </si>
  <si>
    <t>3518014405880002</t>
  </si>
  <si>
    <t>04 MEI 2017</t>
  </si>
  <si>
    <t>JL. VETERAN KETAWANGGEDE</t>
  </si>
  <si>
    <t>0341565845</t>
  </si>
  <si>
    <t>resturizkyta@ub.ac.id</t>
  </si>
  <si>
    <t>3573-LU-05102016-0020</t>
  </si>
  <si>
    <t>3573050310160011</t>
  </si>
  <si>
    <t>3573050709160002</t>
  </si>
  <si>
    <t>ARSYAKA FARDAN ZAKKI</t>
  </si>
  <si>
    <t>PURI BUNGA D-16</t>
  </si>
  <si>
    <t>1 km</t>
  </si>
  <si>
    <t>081233999112</t>
  </si>
  <si>
    <t>DEMAM, BATUK, PILEK, AMANDEL</t>
  </si>
  <si>
    <t>AHMAD AFIFUDDIN ZAKKI</t>
  </si>
  <si>
    <t>3523161211890007</t>
  </si>
  <si>
    <t>081233999113</t>
  </si>
  <si>
    <t>PERSONAL</t>
  </si>
  <si>
    <t>azakki99@gmail.com</t>
  </si>
  <si>
    <t>VIERDHA NAHDIATY ZURAIDHA</t>
  </si>
  <si>
    <t>3507225702900002</t>
  </si>
  <si>
    <t>Vierdhanahdiaty@gmail.com</t>
  </si>
  <si>
    <t>Ahmad Afifuddin Zakki, S.Kom</t>
  </si>
  <si>
    <t>Tuban</t>
  </si>
  <si>
    <t>Wiraswasta</t>
  </si>
  <si>
    <t>Puri bunga D-16</t>
  </si>
  <si>
    <t>Jatimulyo</t>
  </si>
  <si>
    <t>Lowokwaru</t>
  </si>
  <si>
    <t>Malang</t>
  </si>
  <si>
    <t>25 Juni 2024</t>
  </si>
  <si>
    <t>SD YPVDP</t>
  </si>
  <si>
    <t xml:space="preserve">JL. ARIF RAHMAN HAKIM NO. 1, BONTANG </t>
  </si>
  <si>
    <t>6474020911070058</t>
  </si>
  <si>
    <t>6474024411160003</t>
  </si>
  <si>
    <t xml:space="preserve">AURORA </t>
  </si>
  <si>
    <t xml:space="preserve">BONTANG </t>
  </si>
  <si>
    <t xml:space="preserve">PERUMAHAN GRAHA MULIA IMPERIAL EXCLUSIVE BLOK C-12 JL. KYAI YUSUF </t>
  </si>
  <si>
    <t xml:space="preserve">2.6 KM </t>
  </si>
  <si>
    <t xml:space="preserve">ASMA </t>
  </si>
  <si>
    <t xml:space="preserve">SAYUTHI </t>
  </si>
  <si>
    <t>6474020909680002</t>
  </si>
  <si>
    <t xml:space="preserve">JOMBANG </t>
  </si>
  <si>
    <t>081319819883</t>
  </si>
  <si>
    <t xml:space="preserve">SMA/STM </t>
  </si>
  <si>
    <t xml:space="preserve">KARYAWAN BUMN </t>
  </si>
  <si>
    <t xml:space="preserve">sayuthi180868@gmail.com </t>
  </si>
  <si>
    <t xml:space="preserve">SUMIARSI </t>
  </si>
  <si>
    <t>6474024902730006</t>
  </si>
  <si>
    <t>9 FEBRUARI 1973</t>
  </si>
  <si>
    <t>082158009858</t>
  </si>
  <si>
    <t xml:space="preserve">SMA </t>
  </si>
  <si>
    <t xml:space="preserve">BUNGA SYACHNADA KHULIQA </t>
  </si>
  <si>
    <t>06 FEBRUARI 2001</t>
  </si>
  <si>
    <t xml:space="preserve">KAKAK KANDUNG </t>
  </si>
  <si>
    <t>082282768126</t>
  </si>
  <si>
    <t>3507-LT-10102017-0081</t>
  </si>
  <si>
    <t>JL.KUTILANG NO.99.NGIJO</t>
  </si>
  <si>
    <t>3507230302150001</t>
  </si>
  <si>
    <t>3507231808160003</t>
  </si>
  <si>
    <t>DZULQARNAIN LATIF WIBOWO</t>
  </si>
  <si>
    <t>DZUL</t>
  </si>
  <si>
    <t>23 kg</t>
  </si>
  <si>
    <t>DESTRY HERWINDO WIBOWO</t>
  </si>
  <si>
    <t>PERTAMINA</t>
  </si>
  <si>
    <t>SULAWESI</t>
  </si>
  <si>
    <t>Destryherwindowibowo@yahoo.com</t>
  </si>
  <si>
    <t>Priatinovidwi@yahoo.com</t>
  </si>
  <si>
    <t>3507-LT-24092017-0178</t>
  </si>
  <si>
    <t>TK ZAMZAM</t>
  </si>
  <si>
    <t>JL CAKALANG 229 A POLOWIJEN MALANG</t>
  </si>
  <si>
    <t>3573031206140007</t>
  </si>
  <si>
    <t>EL NINGRAT PUTRA BUMI</t>
  </si>
  <si>
    <t>EL NINGRAT</t>
  </si>
  <si>
    <t>JL CAKALANG NO 178 POLOWIJEN</t>
  </si>
  <si>
    <t>081330066697</t>
  </si>
  <si>
    <t>08992126421</t>
  </si>
  <si>
    <t>INDONESIA / JAWA</t>
  </si>
  <si>
    <t>RIDYAN DWITJAHJA PUTRA ARIEF</t>
  </si>
  <si>
    <t>3573032208720008</t>
  </si>
  <si>
    <t>SOLO</t>
  </si>
  <si>
    <t>RADIO ELFARA</t>
  </si>
  <si>
    <t>JL TIDAR BARAT NO 1 MALANG</t>
  </si>
  <si>
    <t>0341577002</t>
  </si>
  <si>
    <t>dwivahyaridyan@gmail.com</t>
  </si>
  <si>
    <t>YULIA RAHMAWATI</t>
  </si>
  <si>
    <t>3573034107770297</t>
  </si>
  <si>
    <t>RIAS PENGANTIN</t>
  </si>
  <si>
    <t>RUKO SUMBERSARI</t>
  </si>
  <si>
    <t xml:space="preserve">RUKO SUMBERSARI 89 C MALANG </t>
  </si>
  <si>
    <t>30.000.000,00</t>
  </si>
  <si>
    <t>3573-LT-30042019-0023</t>
  </si>
  <si>
    <t>TK NUR MADINAH</t>
  </si>
  <si>
    <t>JL LETJEN SUTOYO IV/63, LOWOKWARU-KOTA MALANG</t>
  </si>
  <si>
    <t>0172410643</t>
  </si>
  <si>
    <t>3573051804190003</t>
  </si>
  <si>
    <t>3573051305170005</t>
  </si>
  <si>
    <t>EL ZAFRAN TJAHYA PRIYAMBODO</t>
  </si>
  <si>
    <t>EL ZAFRAN</t>
  </si>
  <si>
    <t xml:space="preserve">JL TERUSAN LOCARI NO 8E </t>
  </si>
  <si>
    <t>6 km</t>
  </si>
  <si>
    <t>082257231423</t>
  </si>
  <si>
    <t>082141140477</t>
  </si>
  <si>
    <t>PRAYOGO TRI PRIYAMBODO</t>
  </si>
  <si>
    <t>3513193101950001</t>
  </si>
  <si>
    <t>082141150477</t>
  </si>
  <si>
    <t>SYSTEMIQ LESTARI INDONESIA</t>
  </si>
  <si>
    <t>GRAN RUBINA BUSINESS PARK 16TH FLOOR, JL.H. R. RASUNA SAID, RT 02 RW 05 KUNINGAN, SETIABUDI, SOUTH JAKARTA CITY</t>
  </si>
  <si>
    <t>Prayogatripriyambodo@gmail.com</t>
  </si>
  <si>
    <t>DENA WULANDARI</t>
  </si>
  <si>
    <t>3573056802940002</t>
  </si>
  <si>
    <t>denawulan29@gmail.com</t>
  </si>
  <si>
    <t>3507-LT-05092017-0025</t>
  </si>
  <si>
    <t>15 Januari 2025</t>
  </si>
  <si>
    <t>SDIT BINA BANGSA</t>
  </si>
  <si>
    <t>JL. JEND. SUDIRMAN NO. 25B, KOMPLEK STADION MAULANA YUSUF CIRERI</t>
  </si>
  <si>
    <t>3507231606160002</t>
  </si>
  <si>
    <t>3507230410160002</t>
  </si>
  <si>
    <t>FADHLAN KENZIE HAMIZAN</t>
  </si>
  <si>
    <t>FADHLAN</t>
  </si>
  <si>
    <t>PERUM. MUTIARA, GIRIMOYO, KARANGPLOSO, KAB. MALANG</t>
  </si>
  <si>
    <t>082141148354</t>
  </si>
  <si>
    <t>EBBI SUGIANTO</t>
  </si>
  <si>
    <t>1903052902960002</t>
  </si>
  <si>
    <t>PAKU</t>
  </si>
  <si>
    <t>29 FEBRUARI 1996</t>
  </si>
  <si>
    <t>PT. FEDERAL INTERNATIONAL FINANCE</t>
  </si>
  <si>
    <t>ebbisugianto290296@gmail.com</t>
  </si>
  <si>
    <t>FILDA KHULWANA</t>
  </si>
  <si>
    <t>3507234212960002</t>
  </si>
  <si>
    <t>02 DESEMBER 1996</t>
  </si>
  <si>
    <t>081231362987</t>
  </si>
  <si>
    <t>KARYAWAN HONORER</t>
  </si>
  <si>
    <t>KEMENTERIAN AGAMA KABUPATEN MALANG</t>
  </si>
  <si>
    <t>khulwanafilda@gmail.com</t>
  </si>
  <si>
    <t>HIDAYAT ALI FIKRI</t>
  </si>
  <si>
    <t>01 JANUARI 1965</t>
  </si>
  <si>
    <t>085102141807</t>
  </si>
  <si>
    <t>PURNA PNS</t>
  </si>
  <si>
    <t>PERUM MUTIARA, GIRIMOYO, KARANGPLOSO, KAB. MALANG</t>
  </si>
  <si>
    <t>3573-LU-10052017-0005</t>
  </si>
  <si>
    <t>TK ALAM AR RAYYAN</t>
  </si>
  <si>
    <t>JALAN CENGGER AYAM DALAM NO 49 - MALANG</t>
  </si>
  <si>
    <t>0174804122</t>
  </si>
  <si>
    <t>3573051003150005</t>
  </si>
  <si>
    <t>3573050605170001</t>
  </si>
  <si>
    <t>FATHIAN AKHMAD RAFFASYA</t>
  </si>
  <si>
    <t>FATHIAN</t>
  </si>
  <si>
    <t>JL. SIMP.KH. YUSUF PERUM TAMAN KUSUMA I KAV 7</t>
  </si>
  <si>
    <t>08113773432</t>
  </si>
  <si>
    <t>111 cm</t>
  </si>
  <si>
    <t>IVAN CHANAVI</t>
  </si>
  <si>
    <t>6201020312830002</t>
  </si>
  <si>
    <t>PANGKALAN BUN</t>
  </si>
  <si>
    <t>0811509437</t>
  </si>
  <si>
    <t>PT. WIJAYA KARYA</t>
  </si>
  <si>
    <t>CAWANG, JAKTIM</t>
  </si>
  <si>
    <t>Tidak tentu</t>
  </si>
  <si>
    <t>Ivanchanavi@gmail.com</t>
  </si>
  <si>
    <t>RENI WIDYANINGSIH</t>
  </si>
  <si>
    <t>6201025206920003</t>
  </si>
  <si>
    <t>reni.widyaningsih@gmail.com</t>
  </si>
  <si>
    <t>3507-LU-08122016-0008</t>
  </si>
  <si>
    <t>TK ISLAM CAHAYA ANANDA</t>
  </si>
  <si>
    <t>JALAN SONOKELING F-17 PERUM MERPATI KEHUTANAN SIDOARJO</t>
  </si>
  <si>
    <t>3507252207160001</t>
  </si>
  <si>
    <t>3507255310160001</t>
  </si>
  <si>
    <t>FATHIYYA MYSHA ALEENA FARDANAH</t>
  </si>
  <si>
    <t>ALEENA</t>
  </si>
  <si>
    <t xml:space="preserve">JALAN KH YUSUF 10 </t>
  </si>
  <si>
    <t>081259908609</t>
  </si>
  <si>
    <t>22 kg</t>
  </si>
  <si>
    <t>113 cm</t>
  </si>
  <si>
    <t>DIAN CAHYONO</t>
  </si>
  <si>
    <t>3507031410900004</t>
  </si>
  <si>
    <t>083131283737</t>
  </si>
  <si>
    <t>PT BIMASAKTI MULTISINERGI</t>
  </si>
  <si>
    <t>GRHA BIMASAKTI
JL. DELTA RAYA UTARA 49-51
PERUMAHAN DELTA SARI BARU, DESA NGINGAS, KECAMATAN WARU
KAB. SIDOARJO</t>
  </si>
  <si>
    <t>(031) 8535799</t>
  </si>
  <si>
    <t>dc.life.hazard@gmail.com</t>
  </si>
  <si>
    <t>SITI ZULKHIJAH ROHMATEN</t>
  </si>
  <si>
    <t>3507254207900001</t>
  </si>
  <si>
    <t>siti.zulkhijah@gmail.com</t>
  </si>
  <si>
    <t>3507-LT-17092016-0138</t>
  </si>
  <si>
    <t xml:space="preserve">RA ALJAUHAR </t>
  </si>
  <si>
    <t xml:space="preserve">PERMATA REGENCY 1 NGIJO KARANGPLOSO </t>
  </si>
  <si>
    <t>3507232306150002</t>
  </si>
  <si>
    <t>3507234902160001</t>
  </si>
  <si>
    <t>HALWA</t>
  </si>
  <si>
    <t xml:space="preserve">PERMATA REGENCY 1 BLOK 29 NO 6 NGIJO KARANGPLOSO KABUPATEN MALANG </t>
  </si>
  <si>
    <t>5 km</t>
  </si>
  <si>
    <t>081230012200</t>
  </si>
  <si>
    <t>31 kg</t>
  </si>
  <si>
    <t>130 cm</t>
  </si>
  <si>
    <t xml:space="preserve">TEGUH WAHYUDI </t>
  </si>
  <si>
    <t>3507231209850001</t>
  </si>
  <si>
    <t>081333332224</t>
  </si>
  <si>
    <t xml:space="preserve">DOKTER </t>
  </si>
  <si>
    <t>RSUD KARSA HUSADA BATU</t>
  </si>
  <si>
    <t>30.000.000</t>
  </si>
  <si>
    <t>zara_capillary@yahoo.com</t>
  </si>
  <si>
    <t xml:space="preserve">NURYATI </t>
  </si>
  <si>
    <t>3318084710850022</t>
  </si>
  <si>
    <t xml:space="preserve">RSU DR ETTY ASHARTO BATU </t>
  </si>
  <si>
    <t>3174-LT-04012018-0083</t>
  </si>
  <si>
    <t xml:space="preserve">ANDALUSIA KIDS KINDERGARTEN MERJOSARI </t>
  </si>
  <si>
    <t>JL. JOYOAGUNG 57-58 MERJOSARI- MALANG</t>
  </si>
  <si>
    <t>3174092812170014</t>
  </si>
  <si>
    <t>3174094907170008</t>
  </si>
  <si>
    <t>KEANA CHANDARABUMI DARMAWAN</t>
  </si>
  <si>
    <t>VILLA BUKIT TIDAR BLOK A4 NO 515, MERJOSARI, LOWOKWARU, KOTA MALANG</t>
  </si>
  <si>
    <t>15,9 kg</t>
  </si>
  <si>
    <t>107 cm</t>
  </si>
  <si>
    <t>HARIS DARMAWAN PUTRA</t>
  </si>
  <si>
    <t>PT PP PROPERTI TBK</t>
  </si>
  <si>
    <t>BEGAWAN APARTMENT, JL. RAYA TLOGOMAS 1-3, TLOGOMAS, LOWOKWARU, KOTA MALANG</t>
  </si>
  <si>
    <t>13.300.000</t>
  </si>
  <si>
    <t>SUCIATY</t>
  </si>
  <si>
    <t>3505-LU-30092016-0013</t>
  </si>
  <si>
    <t>TK DHARMA WANITA 12</t>
  </si>
  <si>
    <t>WONOKOYO, KEC BEJI KAB PASURUAN</t>
  </si>
  <si>
    <t>3505171404160002</t>
  </si>
  <si>
    <t>3505170809160001</t>
  </si>
  <si>
    <t>KEVIN HAIDAR NARAINDRA</t>
  </si>
  <si>
    <t>KEVIN</t>
  </si>
  <si>
    <t>JL. GRIYA PERMATA ALAM NO.6, RT.01, PERUN GPA, NGIJO, KEC. KARANG PLOSO, KABUPATEN MALANG, JAWA TIMUR 65152</t>
  </si>
  <si>
    <t>6.5 km</t>
  </si>
  <si>
    <t>0881027672187</t>
  </si>
  <si>
    <t>16,5 kg</t>
  </si>
  <si>
    <t>DINDA JULIANTO</t>
  </si>
  <si>
    <t>3505141207900003</t>
  </si>
  <si>
    <t>082232858525</t>
  </si>
  <si>
    <t>PT INTI LAUTAN FAJAR ABADI (INTAN SEAFOOD)</t>
  </si>
  <si>
    <t>JL. WONOKOYO 1, WONOKOYO RT. 01 / RW. 06, BEJI, PENAMPON, WONOKOYO, KEC. BEJI, PASURUAN, JAWA TIMUR 67154</t>
  </si>
  <si>
    <t>Putriherinda@gmail.com</t>
  </si>
  <si>
    <t>HERINDA RIZKY DWI PUTRI</t>
  </si>
  <si>
    <t>3524064306920001</t>
  </si>
  <si>
    <t>PERUM GPA</t>
  </si>
  <si>
    <t>Ndarinda02@gmai.com</t>
  </si>
  <si>
    <t>9203-LT-21112016-0003</t>
  </si>
  <si>
    <t>JL. AKORDION BARAT NO 2 MALANG</t>
  </si>
  <si>
    <t>3523150511210003</t>
  </si>
  <si>
    <t>9203010809160001</t>
  </si>
  <si>
    <t>KIANOUSH ATANARA PRIBADI</t>
  </si>
  <si>
    <t>KIANO</t>
  </si>
  <si>
    <t>PERUM GRAND ARUMBA BLOK E NO. 19 , JL. ARUMBA</t>
  </si>
  <si>
    <t>0,24 km</t>
  </si>
  <si>
    <t>BUYUNG AMARTYA PRIBADI</t>
  </si>
  <si>
    <t>buyunk.mp@gmail.com</t>
  </si>
  <si>
    <t>VEMMY LIAN SAPUTRI</t>
  </si>
  <si>
    <t>DOKTER PNS (RESIDEN SPESIALIS JANTUNG FK UB)</t>
  </si>
  <si>
    <t>3373-LU-24052016-0002</t>
  </si>
  <si>
    <t>TK AL MADANI</t>
  </si>
  <si>
    <t>JL KOMUD ABD SALEH NO 58, UPEK-UPEK ASRIKATON, KEC PAKIS, KAB MALANG</t>
  </si>
  <si>
    <t>3373032407130011</t>
  </si>
  <si>
    <t>3373030105160001</t>
  </si>
  <si>
    <t>MUHAMMAD QAISHAR FIKRY</t>
  </si>
  <si>
    <t>FIKRY</t>
  </si>
  <si>
    <t>PERUMAHAN PAKIS KEMBAR INSIDE NO B8</t>
  </si>
  <si>
    <t>PAKIS KEMBAR</t>
  </si>
  <si>
    <t>12 km</t>
  </si>
  <si>
    <t>082133501773</t>
  </si>
  <si>
    <t>FIDNY GANUM SUNGKAR</t>
  </si>
  <si>
    <t>3373030106870001</t>
  </si>
  <si>
    <t>SALATIGA</t>
  </si>
  <si>
    <t>081328346160</t>
  </si>
  <si>
    <t>PT. PLN PERSERO</t>
  </si>
  <si>
    <t>JALAN DIPONEGORO NO 1</t>
  </si>
  <si>
    <t>fidny.sungkar@gmail.con</t>
  </si>
  <si>
    <t>VIKA FARAH AYU AMANIA</t>
  </si>
  <si>
    <t>3374136601870005</t>
  </si>
  <si>
    <t>PENULIS, IBU RUMAH TANGGA</t>
  </si>
  <si>
    <t>vikafarahayu@gmail.com</t>
  </si>
  <si>
    <t>Fitriany Hapsari</t>
  </si>
  <si>
    <t>Salatiga</t>
  </si>
  <si>
    <t>0813-9065-9990</t>
  </si>
  <si>
    <t>Wirausaha</t>
  </si>
  <si>
    <t xml:space="preserve">Jl Tlampok Gang Kokosan </t>
  </si>
  <si>
    <t>Druju Sidorejo Kidul</t>
  </si>
  <si>
    <t>Tingkir</t>
  </si>
  <si>
    <t>3517-LU-17072017-0008</t>
  </si>
  <si>
    <t>3573052707210017</t>
  </si>
  <si>
    <t>3517091405170002</t>
  </si>
  <si>
    <t>MUHAMMAD SAFAREZ RASHYA ARDIANTO</t>
  </si>
  <si>
    <t>SAFAREZ / FAREZ</t>
  </si>
  <si>
    <t>PERUM PERMATA JINGGA BLOK PINANG NO. 3</t>
  </si>
  <si>
    <t>2,7 km</t>
  </si>
  <si>
    <t>08113001897</t>
  </si>
  <si>
    <t>17,7 kg</t>
  </si>
  <si>
    <t>105 cm</t>
  </si>
  <si>
    <t>HENFRY EKO ARDIANTO</t>
  </si>
  <si>
    <t>3517090407870005</t>
  </si>
  <si>
    <t>ehenfry@gmail.com</t>
  </si>
  <si>
    <t>EKA WULANDARI</t>
  </si>
  <si>
    <t>3579015305850001</t>
  </si>
  <si>
    <t>08113691897</t>
  </si>
  <si>
    <t>ekaw54323@gmail.com</t>
  </si>
  <si>
    <t>3573-LU-24052017-0013</t>
  </si>
  <si>
    <t>3573052508080019</t>
  </si>
  <si>
    <t>3573052403170001</t>
  </si>
  <si>
    <t>MUHAMMAD ZAYAN ATHARIZ</t>
  </si>
  <si>
    <t>ZAYAN</t>
  </si>
  <si>
    <t>JL SAXOFONE PERUM BUMI PALAPA J5</t>
  </si>
  <si>
    <t>085234891139</t>
  </si>
  <si>
    <t>085103071275</t>
  </si>
  <si>
    <t>PRISMA ASMARA YUDHA</t>
  </si>
  <si>
    <t>3573051305840011</t>
  </si>
  <si>
    <t>JL EMBONG WUNGU 4 SURABAYA</t>
  </si>
  <si>
    <t>prisma.asmara@gmail.com</t>
  </si>
  <si>
    <t>AINUN RUSPIANI</t>
  </si>
  <si>
    <t>3573054603860012</t>
  </si>
  <si>
    <t>BULOG</t>
  </si>
  <si>
    <t>JL RETAWU MALANG</t>
  </si>
  <si>
    <t>phapurika@gmail.com</t>
  </si>
  <si>
    <t>SD PLUS AL KAUTSAR MALANG</t>
  </si>
  <si>
    <t>Jl. SIMPANG L.A. SUCIPTO, PANDANWANGI, BLIMBING, KOTA MALANG</t>
  </si>
  <si>
    <t>3173441006</t>
  </si>
  <si>
    <t>3172062201141005</t>
  </si>
  <si>
    <t>3172064502170004</t>
  </si>
  <si>
    <t>NAUFA AIDA SHAQUEENA AZKADINA MUBARAK</t>
  </si>
  <si>
    <t>NAUFA</t>
  </si>
  <si>
    <t>JL. SIMPANG K.H. YUSUF E12</t>
  </si>
  <si>
    <t>081290928897</t>
  </si>
  <si>
    <t>SYAHRUL MUBARAK YAMANG</t>
  </si>
  <si>
    <t>3573050506880007</t>
  </si>
  <si>
    <t>MAKASSAR</t>
  </si>
  <si>
    <t>081210615456</t>
  </si>
  <si>
    <t>PNS KEPALA BAGIAN TATA USAHA PIMPINAN &amp; PROTOKOL)</t>
  </si>
  <si>
    <t xml:space="preserve"> KEMENKUMHAM</t>
  </si>
  <si>
    <t>JL. H.R. RASUNA SAID, KARET, KUNINGAN, SETIA BUDI, Jakarta SELATAN</t>
  </si>
  <si>
    <t>021-6541213</t>
  </si>
  <si>
    <t>msyahrul56@gmail.com</t>
  </si>
  <si>
    <t>NELLY ANGGINA SIRAIT</t>
  </si>
  <si>
    <t>3172066011850002</t>
  </si>
  <si>
    <t>nellyanelly20@gmail.com</t>
  </si>
  <si>
    <t>SYAHRIANI RIZKI AMALIA YAMANG</t>
  </si>
  <si>
    <t>BIBI / TANTE</t>
  </si>
  <si>
    <t>087730595757</t>
  </si>
  <si>
    <t>JL. ARUMDALU NO.12 JATIMULYO LOWOKWARU KOTA MALANG</t>
  </si>
  <si>
    <t>3507-LT-22082017-0142</t>
  </si>
  <si>
    <t>JL. BAIDURI PANDAN NO. I/2 TLOGOMAS</t>
  </si>
  <si>
    <t>3507223012110009</t>
  </si>
  <si>
    <t>3507226904170001</t>
  </si>
  <si>
    <t>PUTRI KHAYLA SYLVANA FIRLI</t>
  </si>
  <si>
    <t>SISIL</t>
  </si>
  <si>
    <t>JL. TIRTO UROMO GANG 1 NO. 03</t>
  </si>
  <si>
    <t>081234826727</t>
  </si>
  <si>
    <t>FIRMAN ROHAMSYAH</t>
  </si>
  <si>
    <t>3507220803890004</t>
  </si>
  <si>
    <t>082230668777</t>
  </si>
  <si>
    <t>WIRASAWASTA</t>
  </si>
  <si>
    <t>JL. TIRTO UTOMO GANG 1 NO. 03</t>
  </si>
  <si>
    <t>3-4jt</t>
  </si>
  <si>
    <t>firmancimot87@gmail.com</t>
  </si>
  <si>
    <t>LIA SHOLIKHAH MUAIYAT</t>
  </si>
  <si>
    <t>3514125806870001</t>
  </si>
  <si>
    <t>JL. BENDUNGAN SUTAMI NO. 188A</t>
  </si>
  <si>
    <t>0341-551149</t>
  </si>
  <si>
    <t>3.000.000 - 4.000.000</t>
  </si>
  <si>
    <t>liafirli87@gmail.com</t>
  </si>
  <si>
    <t>3507-LT-24052018-0141</t>
  </si>
  <si>
    <t>0163751524</t>
  </si>
  <si>
    <t>3507060408160003</t>
  </si>
  <si>
    <t>3507061909160001</t>
  </si>
  <si>
    <t>RAFA ARSHAD PRIMADANI</t>
  </si>
  <si>
    <t>MULYOSARI, AMPELGADING</t>
  </si>
  <si>
    <t>MULYOASRI</t>
  </si>
  <si>
    <t>AMPELGADING</t>
  </si>
  <si>
    <t>7 km</t>
  </si>
  <si>
    <t>081217499644</t>
  </si>
  <si>
    <t>107,5 cm</t>
  </si>
  <si>
    <t>BAGUS PRIMADANI</t>
  </si>
  <si>
    <t>3503102404890005</t>
  </si>
  <si>
    <t>085645358365</t>
  </si>
  <si>
    <t>HOME INDUSTRY (AFAFA FRIED CHICKEN)</t>
  </si>
  <si>
    <t>JALAN MOJOPAHIT NO 30A</t>
  </si>
  <si>
    <t>DESI RATNASARI</t>
  </si>
  <si>
    <t>3507064912900001</t>
  </si>
  <si>
    <t>JL ARUMBA NO 31 MALANG</t>
  </si>
  <si>
    <t>desipgsdumm9@gmail.com</t>
  </si>
  <si>
    <t>3507-LT-02022017-0052</t>
  </si>
  <si>
    <t>3507043105160006</t>
  </si>
  <si>
    <t>3507041611160001</t>
  </si>
  <si>
    <t>RAFANDRA DZAKA PRANADIPTA</t>
  </si>
  <si>
    <t>PERUMAHAN GRIYA JEMANI BLOK E NO.7</t>
  </si>
  <si>
    <t>3,9 km</t>
  </si>
  <si>
    <t>081235946900</t>
  </si>
  <si>
    <t>121 cm</t>
  </si>
  <si>
    <t>DHANA TEGUH ARFIANTO</t>
  </si>
  <si>
    <t>3507042308890002</t>
  </si>
  <si>
    <t>081333900995</t>
  </si>
  <si>
    <t>JL. RAYA SENGKALING NO.255, SENGKALING, MULYOAGUNG, KEC. DAU, KABUPATEN MALANG, JAWA TIMUR 65151</t>
  </si>
  <si>
    <t>(0341) 462282</t>
  </si>
  <si>
    <t>dhanateguh18@gmail.com</t>
  </si>
  <si>
    <t>SUASTIKA YULIA RISKA</t>
  </si>
  <si>
    <t>3503115207900001</t>
  </si>
  <si>
    <t>INSTITUT TEKNOLOGI DAN BISNIS ASIA MALANG</t>
  </si>
  <si>
    <t>JL. SOEKARNO HATTA JL. REMBUKSARI NO.1 A, MOJOLANGU, KEC. LOWOKWARU, KOTA MALANG, JAWA TIMUR 65113</t>
  </si>
  <si>
    <t>(0341) 478877</t>
  </si>
  <si>
    <t>suastikayr@gmail.com</t>
  </si>
  <si>
    <t>PERMATA IMAN 3</t>
  </si>
  <si>
    <t>JL. KEBEN II A  NO. 1</t>
  </si>
  <si>
    <t>3573045109160004</t>
  </si>
  <si>
    <t>SASA</t>
  </si>
  <si>
    <t>JL. I. R. RAIS GANG IX NO. 309</t>
  </si>
  <si>
    <t>TANJUNGREJO</t>
  </si>
  <si>
    <t>081359802220</t>
  </si>
  <si>
    <t>ANDREAS SETIYONO</t>
  </si>
  <si>
    <t>3573010109790002</t>
  </si>
  <si>
    <t>08113770987</t>
  </si>
  <si>
    <t>JL.ARUMBA</t>
  </si>
  <si>
    <t>LINA PURWATININGSIB</t>
  </si>
  <si>
    <t>3573046203810004</t>
  </si>
  <si>
    <t>IBU TUMAH TANGGA</t>
  </si>
  <si>
    <t>9/1/0000</t>
  </si>
  <si>
    <t>3273-LT-18072017-0133</t>
  </si>
  <si>
    <t>JL. CENGGER AYAM DALAM NO. 49 MALANG</t>
  </si>
  <si>
    <t>3273091503130005</t>
  </si>
  <si>
    <t>3273094303170001</t>
  </si>
  <si>
    <t>RANYA AZKADINA SOELISTIANTO</t>
  </si>
  <si>
    <t>RANYA</t>
  </si>
  <si>
    <t>JL. CISADEA NO. 10 MALANG</t>
  </si>
  <si>
    <t>082126309797</t>
  </si>
  <si>
    <t>ACHMAD SOELISTIANTO</t>
  </si>
  <si>
    <t>3273091801840003</t>
  </si>
  <si>
    <t>082233723343</t>
  </si>
  <si>
    <t>ROSSY ARIANSYAH</t>
  </si>
  <si>
    <t>3573015503870001</t>
  </si>
  <si>
    <t>3573-LT-27082021-0012</t>
  </si>
  <si>
    <t>TKIT INSAN PERMATA</t>
  </si>
  <si>
    <t>JL. AKORDION UTARA NO 3, TUNGGULWULUNG-LOWOKWARU</t>
  </si>
  <si>
    <t>3573052403140003</t>
  </si>
  <si>
    <t>3573054202170003</t>
  </si>
  <si>
    <t>SHANUMINDIRA SABIYA FARRAHINAS</t>
  </si>
  <si>
    <t>JL. IKAN LODAN VI, NO 10</t>
  </si>
  <si>
    <t>082229247848</t>
  </si>
  <si>
    <t>082229253553</t>
  </si>
  <si>
    <t>ANDY KURNIAWAN</t>
  </si>
  <si>
    <t>3505202003860001</t>
  </si>
  <si>
    <t>UNIV BRAWIJAYA</t>
  </si>
  <si>
    <t>JL. MT HARYONO, 163 KOTA MALANG</t>
  </si>
  <si>
    <t>masandy86@gmail.com</t>
  </si>
  <si>
    <t>TIARA MARLIA RAHMAWATI</t>
  </si>
  <si>
    <t>3522156903860004</t>
  </si>
  <si>
    <t>tiaramarlia@gmail.com</t>
  </si>
  <si>
    <t>3573-LU-24022017-0016</t>
  </si>
  <si>
    <t>3573054501170002</t>
  </si>
  <si>
    <t>ADEEVA AALINARRAHMAN</t>
  </si>
  <si>
    <t>3B</t>
  </si>
  <si>
    <t>DEEVA</t>
  </si>
  <si>
    <t>PERUM ASRIKATON INDAH JL KEBUN JERUK 3 BLOK G4 NO 11</t>
  </si>
  <si>
    <t>089652865409</t>
  </si>
  <si>
    <t>ABDUL ROHMAN</t>
  </si>
  <si>
    <t>3516051710830008</t>
  </si>
  <si>
    <t>082131782900</t>
  </si>
  <si>
    <t>ADVOKAT</t>
  </si>
  <si>
    <t>ABDUL ROHMAN &amp; ASSOCIATES -LAW OFFICE</t>
  </si>
  <si>
    <t>RUKO KLAMPIS SURABAYA</t>
  </si>
  <si>
    <t>cakman.advokat@gmail.com</t>
  </si>
  <si>
    <t>LUTVI OKTAVIA</t>
  </si>
  <si>
    <t>3573014410900001</t>
  </si>
  <si>
    <t>viajelita1990@gmail.com</t>
  </si>
  <si>
    <t>3507-LT-17012017-0077</t>
  </si>
  <si>
    <t>0162019370</t>
  </si>
  <si>
    <t>3507180605140007</t>
  </si>
  <si>
    <t>3507186810160003</t>
  </si>
  <si>
    <t>ADELIA CEVIRA KUSUMAHADI</t>
  </si>
  <si>
    <t>DELA</t>
  </si>
  <si>
    <t>GREENWOOD GOLF 4 NO 52 A ARAYA</t>
  </si>
  <si>
    <t>TIRTOMOYO</t>
  </si>
  <si>
    <t>08885576668</t>
  </si>
  <si>
    <t>FARAITODHIE KUSUMA MARHAEDRA</t>
  </si>
  <si>
    <t>3573052309810006</t>
  </si>
  <si>
    <t>KANTOR NOTARIS</t>
  </si>
  <si>
    <t>RAYA KARANGJUWET, RT 37, RW 09, KELURAHAN DONOWARIH, KECAMATAN KARANGPLOSO, KAB. MALANG</t>
  </si>
  <si>
    <t>085108401101</t>
  </si>
  <si>
    <t>faraitodhie@gmail.com</t>
  </si>
  <si>
    <t>VIVI DAMAYANTI</t>
  </si>
  <si>
    <t>3573055803880005</t>
  </si>
  <si>
    <t>085755221144</t>
  </si>
  <si>
    <t>KLINIK NAYAKA HUSADA 01</t>
  </si>
  <si>
    <t>JL TENAGA NO 2B, KECAMATAN BLIMBING, KOTA MALANG</t>
  </si>
  <si>
    <t>03414381395</t>
  </si>
  <si>
    <t>Bertha Wartini</t>
  </si>
  <si>
    <t>Rantau</t>
  </si>
  <si>
    <t>081333011919</t>
  </si>
  <si>
    <t>Pensiunan</t>
  </si>
  <si>
    <t>Jl Ikan Arwana Blok S no 6</t>
  </si>
  <si>
    <t>Tunjungsekar</t>
  </si>
  <si>
    <t>3572-LU-17012017-0004</t>
  </si>
  <si>
    <t>0161073168</t>
  </si>
  <si>
    <t>3572012511110002</t>
  </si>
  <si>
    <t>3572015212160002</t>
  </si>
  <si>
    <t xml:space="preserve">AFIQA AJWA MAULIDYA </t>
  </si>
  <si>
    <t xml:space="preserve">AJWA </t>
  </si>
  <si>
    <t>VILLA PUNCAK TIDAR,JL PUNCAK RINJANI ,BLOK U NO 44 MALANG 65151</t>
  </si>
  <si>
    <t xml:space="preserve">KARANG WIDORO </t>
  </si>
  <si>
    <t>TINGGAL BERSAMA KELUARGA(KAKAK DARI AYAH)</t>
  </si>
  <si>
    <t xml:space="preserve">-/+ 12 km </t>
  </si>
  <si>
    <t>08214140888</t>
  </si>
  <si>
    <t>082337589777</t>
  </si>
  <si>
    <t>28 kg</t>
  </si>
  <si>
    <t xml:space="preserve">INDONESIA , JAWA DAN INGGRIS </t>
  </si>
  <si>
    <t>EFFENDI SUDIBYO</t>
  </si>
  <si>
    <t>3572012906820002</t>
  </si>
  <si>
    <t>0821252713888</t>
  </si>
  <si>
    <t>Rp. 3.000.000</t>
  </si>
  <si>
    <t>LAELA NUR ATIQOH</t>
  </si>
  <si>
    <t>081217778699</t>
  </si>
  <si>
    <t xml:space="preserve">BPR NUSAMBA BLITAR </t>
  </si>
  <si>
    <t>WIWIK SUATIN,. S.Psi., M.Si</t>
  </si>
  <si>
    <t xml:space="preserve">Blitar </t>
  </si>
  <si>
    <t xml:space="preserve">Wira usaha </t>
  </si>
  <si>
    <t xml:space="preserve">VILLA PUNCAK TIDAR, JL PUNCAK RINJANI BLOK U NO 44 MALANG </t>
  </si>
  <si>
    <t>034</t>
  </si>
  <si>
    <t xml:space="preserve">Karang widoro </t>
  </si>
  <si>
    <t xml:space="preserve">Dau </t>
  </si>
  <si>
    <t xml:space="preserve">Kabupaten Malang </t>
  </si>
  <si>
    <t>3275-LT-09062016-0102</t>
  </si>
  <si>
    <t>JL IKAN KAKAP NO 90 TUNJUNGSEKAR MALANG</t>
  </si>
  <si>
    <t>3275011006140018</t>
  </si>
  <si>
    <t>3275015501160008</t>
  </si>
  <si>
    <t>ALESHA ZAHRA RATIFA DUSKI</t>
  </si>
  <si>
    <t>PERUMAHAN GRAHA MULIA BLOK O NO 27</t>
  </si>
  <si>
    <t>08113020007</t>
  </si>
  <si>
    <t>21,25 kg</t>
  </si>
  <si>
    <t>RIZAL HUSEIN</t>
  </si>
  <si>
    <t>3275012104890013</t>
  </si>
  <si>
    <t>PEMALANG</t>
  </si>
  <si>
    <t>PT. TELKOMSEL</t>
  </si>
  <si>
    <t>GRAPARI TELKOMSEL MALANG. JL LETJEN S PARMAN NO 47</t>
  </si>
  <si>
    <t>15 - 20 Juta</t>
  </si>
  <si>
    <t>Jali.husein@gmail.com</t>
  </si>
  <si>
    <t>IMAY WAHYU SETYARINI</t>
  </si>
  <si>
    <t>3572015505940003</t>
  </si>
  <si>
    <t>081333666660</t>
  </si>
  <si>
    <t>Imaywahyu.s@gmail.com</t>
  </si>
  <si>
    <t>3573-LT-13092021-0017</t>
  </si>
  <si>
    <t>3573012011150019</t>
  </si>
  <si>
    <t>3573015801170004</t>
  </si>
  <si>
    <t>ALULA ARABELLA SUDIBYO</t>
  </si>
  <si>
    <t>ALULA, LULA</t>
  </si>
  <si>
    <t>PERUM. PANDANWANGI GREEN PARK BLOK A KAV. 84-86</t>
  </si>
  <si>
    <t>021</t>
  </si>
  <si>
    <t>8,1 km</t>
  </si>
  <si>
    <t>16,9 kg</t>
  </si>
  <si>
    <t>ACHMAD BANU SUDIBYO</t>
  </si>
  <si>
    <t>3573031304730003</t>
  </si>
  <si>
    <t>081252091712</t>
  </si>
  <si>
    <t>5-10 juta</t>
  </si>
  <si>
    <t>ad18y0@gmail.com</t>
  </si>
  <si>
    <t>AMELIA HENDARTI</t>
  </si>
  <si>
    <t>6472036211760004</t>
  </si>
  <si>
    <t>081347285047</t>
  </si>
  <si>
    <t>KARYAWAN BANK INDONESIA</t>
  </si>
  <si>
    <t>KANTOR PERWAKILAN BANK INDONESIA MALANG</t>
  </si>
  <si>
    <t>JL. MERDEKA UTARA NO.7, KIDULDALEM, KEC. KLOJEN, KOTA MALANG, JAWA TIMUR 65119</t>
  </si>
  <si>
    <t>(0341) 366054</t>
  </si>
  <si>
    <t>10-15 juta</t>
  </si>
  <si>
    <t>mlhndrt@gmail.com</t>
  </si>
  <si>
    <t>3507-LT-05092017-0055</t>
  </si>
  <si>
    <t>0176867342</t>
  </si>
  <si>
    <t>3507231408170010</t>
  </si>
  <si>
    <t>3507232606170001</t>
  </si>
  <si>
    <t>ARZION SEANO ZENECHKA</t>
  </si>
  <si>
    <t>ZION</t>
  </si>
  <si>
    <t>PERUM GRIYA PERMATA ALAM BLOK HD-3</t>
  </si>
  <si>
    <t>5,2 km</t>
  </si>
  <si>
    <t>0341461001</t>
  </si>
  <si>
    <t>081331956958</t>
  </si>
  <si>
    <t>36,4 kg</t>
  </si>
  <si>
    <t>SONY PRIYO SISWOYO</t>
  </si>
  <si>
    <t>3515183001920003</t>
  </si>
  <si>
    <t>085854147787</t>
  </si>
  <si>
    <t>KANTOR PELAYANAN PAJAK PRATAMA GRESIK</t>
  </si>
  <si>
    <t>JL DR WAHIDIN SUDIRO HUSODO NO 710 KEMBANGAN, KEC. KEBOMAS, KAB. GRESIK</t>
  </si>
  <si>
    <t>0313952693</t>
  </si>
  <si>
    <t>spsiswoyo@gmail.com</t>
  </si>
  <si>
    <t>DITA SEPTIA VERLANI</t>
  </si>
  <si>
    <t>3507236109920002</t>
  </si>
  <si>
    <t>KANTOR PELAYANAN PAJAK PRATAMA SINGOSARI</t>
  </si>
  <si>
    <t>JL RAYA RANDUAGUNG NO 12 SINGOSARI KAB MALANG</t>
  </si>
  <si>
    <t>0341429923</t>
  </si>
  <si>
    <t>ditaverlani@gmail.com</t>
  </si>
  <si>
    <t>MARIA ULFA</t>
  </si>
  <si>
    <t>08125993003</t>
  </si>
  <si>
    <t>3318-LU-31122016-0106</t>
  </si>
  <si>
    <t>0162890146</t>
  </si>
  <si>
    <t>3507232408170007</t>
  </si>
  <si>
    <t>3318185412160002</t>
  </si>
  <si>
    <t>AZZAHRA HANNAN SANJAYA</t>
  </si>
  <si>
    <t>AZZAHRA</t>
  </si>
  <si>
    <t>JALAN NOTOJOYO</t>
  </si>
  <si>
    <t>089522222287</t>
  </si>
  <si>
    <t>122 cm</t>
  </si>
  <si>
    <t>ABDUL KHALIM</t>
  </si>
  <si>
    <t>3507231207820002</t>
  </si>
  <si>
    <t>081334754000</t>
  </si>
  <si>
    <t>PT NOTOJOYO  MALANG</t>
  </si>
  <si>
    <t>JALAN SUNIMBAR NO 1A MALANG</t>
  </si>
  <si>
    <t>0341 5051222</t>
  </si>
  <si>
    <t>abdhalim82@gmail.com</t>
  </si>
  <si>
    <t>ENI LESTARI</t>
  </si>
  <si>
    <t>3318185806830005</t>
  </si>
  <si>
    <t>PT NOTOJOYO MALANG</t>
  </si>
  <si>
    <t>03415051222</t>
  </si>
  <si>
    <t>kurang lebih 10 juta</t>
  </si>
  <si>
    <t>enilestari77888@gmail.com</t>
  </si>
  <si>
    <t>3168400779</t>
  </si>
  <si>
    <t>3502172601060003</t>
  </si>
  <si>
    <t>3502172307160003</t>
  </si>
  <si>
    <t>23 JULI 2016</t>
  </si>
  <si>
    <t>3502171510750002</t>
  </si>
  <si>
    <t>15 OKTOBER 1975</t>
  </si>
  <si>
    <t>082277711100</t>
  </si>
  <si>
    <t>35002175007840005</t>
  </si>
  <si>
    <t>10 JULI 1984</t>
  </si>
  <si>
    <t>3579-LT-22072019-0002</t>
  </si>
  <si>
    <t>TK AL IZZAH 02</t>
  </si>
  <si>
    <t>JALAN PANGLIMA SUDIRMAN PERUM BATU PANORAMA NO A-16 PESANGGRAHAN, KEC. BATU, KOTA BATU</t>
  </si>
  <si>
    <t>3579021811140004</t>
  </si>
  <si>
    <t>3579020212160001</t>
  </si>
  <si>
    <t>BRYAN FATIH ARYASATYA</t>
  </si>
  <si>
    <t>BRYAN</t>
  </si>
  <si>
    <t xml:space="preserve">PERUM GRIYASHANTA </t>
  </si>
  <si>
    <t>082264318060</t>
  </si>
  <si>
    <t>AHMAD GHOZALI</t>
  </si>
  <si>
    <t>3579022501850002</t>
  </si>
  <si>
    <t>082336357909</t>
  </si>
  <si>
    <t>PERUM GRIYASHANTA BLOK A62</t>
  </si>
  <si>
    <t>ahghozali2585@gmail.com</t>
  </si>
  <si>
    <t>MILAYULIANI</t>
  </si>
  <si>
    <t>3575016607880002</t>
  </si>
  <si>
    <t>milayulia188@gmail.com</t>
  </si>
  <si>
    <t>Fatima</t>
  </si>
  <si>
    <t>Ibu rumah tangga</t>
  </si>
  <si>
    <t>Jl welirang no10</t>
  </si>
  <si>
    <t>Giripurno</t>
  </si>
  <si>
    <t>Bumiaji</t>
  </si>
  <si>
    <t>3578-LU-04072017-0138</t>
  </si>
  <si>
    <t>TIRTASANI ROYAL RESORT F2 NO 8 KARANGPLOSO MALANG</t>
  </si>
  <si>
    <t>3177849030</t>
  </si>
  <si>
    <t>3578312702170017</t>
  </si>
  <si>
    <t>3578314904170003</t>
  </si>
  <si>
    <t>ELVIRA AZHAR PUTRI AKHULA</t>
  </si>
  <si>
    <t>VIRA</t>
  </si>
  <si>
    <t xml:space="preserve">PERUMAHAN TIRTASANI ROYAL VILLAGE RV 8/8 </t>
  </si>
  <si>
    <t>3,5 km</t>
  </si>
  <si>
    <t>081216054828</t>
  </si>
  <si>
    <t>DRG. KHOIRON KHULUD</t>
  </si>
  <si>
    <t>3578311508850002</t>
  </si>
  <si>
    <t>RS LAVALETTE</t>
  </si>
  <si>
    <t>JL WR SUPRATMAN NO 10 - KLOJEN - MALANG</t>
  </si>
  <si>
    <t>cooludroni@gmail.com</t>
  </si>
  <si>
    <t>DR. ALDILA AYUDIA AMELIA</t>
  </si>
  <si>
    <t>081219660235</t>
  </si>
  <si>
    <t>WR SUPRATMAN 10-KLOJEN-MALANG</t>
  </si>
  <si>
    <t>dr.aldilaamelia18@gmail.com</t>
  </si>
  <si>
    <t>3510-LU-09062017-0087</t>
  </si>
  <si>
    <t>TK AISYIYAH BUSTANUL ATHFAL 2</t>
  </si>
  <si>
    <t>JL. KH. AHMAD DAHLAN JL. SEBENGKOK WARU NO.09, RT.26/RW.08KALIMANTAN UTARA</t>
  </si>
  <si>
    <t>3510160610150005</t>
  </si>
  <si>
    <t>3510163005170002</t>
  </si>
  <si>
    <t>ENDZO MALIQ PANGASTITING NALAR</t>
  </si>
  <si>
    <t>ENDZO</t>
  </si>
  <si>
    <t>JL. SIDOMAKMUR BARU BLOK E5, MULYOAGUNG, DAU, KAB. MALANG</t>
  </si>
  <si>
    <t>4.8 km</t>
  </si>
  <si>
    <t>085236094094</t>
  </si>
  <si>
    <t>DHIMAS AGUNG PANGASTITING NALAR</t>
  </si>
  <si>
    <t>3510150108920003</t>
  </si>
  <si>
    <t>BEA CUKAI</t>
  </si>
  <si>
    <t>JALAN YOS SUDARSO NO. 1, LINGKAS UJUNG, KALIMANTAN TIMUR 71126</t>
  </si>
  <si>
    <t>(0551) 21792</t>
  </si>
  <si>
    <t>dhimasagung97@gmail.com</t>
  </si>
  <si>
    <t>WULAN DYAH SAFITRI</t>
  </si>
  <si>
    <t>3510166105920006</t>
  </si>
  <si>
    <t>081336965521</t>
  </si>
  <si>
    <t>wulandyahs@icloud.com</t>
  </si>
  <si>
    <t>3573-LU-08032017-0019</t>
  </si>
  <si>
    <t>3573013110160023</t>
  </si>
  <si>
    <t>3573010701170003</t>
  </si>
  <si>
    <t>GWEN EDGAR KAYOSAHL EL KHALIEF</t>
  </si>
  <si>
    <t>EDGAR</t>
  </si>
  <si>
    <t>PERUMAHAN KARANGLO INDAH BLOK D19-6</t>
  </si>
  <si>
    <t>BALEARJOSARI</t>
  </si>
  <si>
    <t>082333439898 / 087757117818</t>
  </si>
  <si>
    <t>YOGA TRI PRIYANTO</t>
  </si>
  <si>
    <t>3509011101900004</t>
  </si>
  <si>
    <t>087757117818</t>
  </si>
  <si>
    <t>MANAGING CONTENT</t>
  </si>
  <si>
    <t>EMTEK GROUP (KAPANLAGI YOUNIVERSE)</t>
  </si>
  <si>
    <t>JL. RP. SOEROSO NO.18, RT.9/RW.5, GONDANGDIA, KEC. MENTENG, KOTA JAKARTA PUSAT, DAERAH KHUSUS IBUKOTA JAKARTA 10350</t>
  </si>
  <si>
    <t>(0341)470314</t>
  </si>
  <si>
    <t>yoyoregha3@gmail.com</t>
  </si>
  <si>
    <t>RIZKA UZLIFAT</t>
  </si>
  <si>
    <t>3579015507940004</t>
  </si>
  <si>
    <t>082333439898</t>
  </si>
  <si>
    <t>Ryczhaazzhura@gmail.com</t>
  </si>
  <si>
    <t>3507-LU-19062017-0016</t>
  </si>
  <si>
    <t>JL. BATU PERMATA NO.9 TLOGOMAS KOTA MALANG</t>
  </si>
  <si>
    <t>3507221410160003</t>
  </si>
  <si>
    <t>3507220105170001</t>
  </si>
  <si>
    <t>IBRAHIM MAHESH WINOTO</t>
  </si>
  <si>
    <t>IBRA / BABA</t>
  </si>
  <si>
    <t>JL. JAMBU PERUM. LE BANNA RESIDENCE BLOK C6</t>
  </si>
  <si>
    <t>6,3 km</t>
  </si>
  <si>
    <t>085230298323</t>
  </si>
  <si>
    <t>08123251616</t>
  </si>
  <si>
    <t>SUHARTONO WINOTO</t>
  </si>
  <si>
    <t>3574010808890004</t>
  </si>
  <si>
    <t>JL. MT. HARYONO NO. 163 (FAK. ILMU ADIMISTRASI) MALANG</t>
  </si>
  <si>
    <t>ewinwinoto@ub.ac.id</t>
  </si>
  <si>
    <t>GHITALIA MAHFIDASARI</t>
  </si>
  <si>
    <t>3510114410900006</t>
  </si>
  <si>
    <t>Ghitaliams@gmail.com</t>
  </si>
  <si>
    <t>3578-LU-01072016-0080</t>
  </si>
  <si>
    <t>0163551199</t>
  </si>
  <si>
    <t>3578030202160003</t>
  </si>
  <si>
    <t>3578031705160001</t>
  </si>
  <si>
    <t>IN AMUL AUFA AL ZAMZAMI</t>
  </si>
  <si>
    <t>AUFA</t>
  </si>
  <si>
    <t>PERUM GRIYA PERMATA ALAM BLOK FC.17 NGIJO KARANGPLOSO MALANG</t>
  </si>
  <si>
    <t>081234967456</t>
  </si>
  <si>
    <t>33 kg</t>
  </si>
  <si>
    <t>NASFA AMBI ZAMZAMI</t>
  </si>
  <si>
    <t>3578030310900001</t>
  </si>
  <si>
    <t>081335359035</t>
  </si>
  <si>
    <t>BPN KAB.MALANG</t>
  </si>
  <si>
    <t>JL.TERUSAN KAWI</t>
  </si>
  <si>
    <t>Anas80@gmail.com</t>
  </si>
  <si>
    <t>LULUN NU'AMI</t>
  </si>
  <si>
    <t>3515154206910002</t>
  </si>
  <si>
    <t>KB.TK PERMATA IMAN 2</t>
  </si>
  <si>
    <t>JL.IKAN KAKAP</t>
  </si>
  <si>
    <t>1.000.000</t>
  </si>
  <si>
    <t>Lulunnuami@gmail.com</t>
  </si>
  <si>
    <t>3507-LT-09012017-0125</t>
  </si>
  <si>
    <t>3507241204110002</t>
  </si>
  <si>
    <t>3507241010160001</t>
  </si>
  <si>
    <t>KAIVANDRA REZQIANO PRATAMA</t>
  </si>
  <si>
    <t>GRAHA KENCANA SELATAN II NO 7 (CLUSTER 1)</t>
  </si>
  <si>
    <t>085234000342</t>
  </si>
  <si>
    <t>YOGA PRATAMA</t>
  </si>
  <si>
    <t>3516180311790002</t>
  </si>
  <si>
    <t>0811374350</t>
  </si>
  <si>
    <t>BTPN</t>
  </si>
  <si>
    <t>JL. ALUN-ALUN SELATAN NO 7 KEBONSARI PANGGUNGREJO PASURUAN</t>
  </si>
  <si>
    <t>Rp. 6.000.000,-</t>
  </si>
  <si>
    <t>TITO SHINTA YONI</t>
  </si>
  <si>
    <t>3507246706830003</t>
  </si>
  <si>
    <t>RUKO PATIMURA 10-11 JL. PATIMURA KLOJEN MALANG</t>
  </si>
  <si>
    <t>zhianino01@gmail.com</t>
  </si>
  <si>
    <t>3507-LU-09102017-0012</t>
  </si>
  <si>
    <t>3507232609170004</t>
  </si>
  <si>
    <t>3507232208170002</t>
  </si>
  <si>
    <t>KELVINO ELMOZA ASYRAF</t>
  </si>
  <si>
    <t>KELVINO</t>
  </si>
  <si>
    <t>JL KERTANEGARA 56</t>
  </si>
  <si>
    <t>32 kg</t>
  </si>
  <si>
    <t>HERY ISMANTO</t>
  </si>
  <si>
    <t>ABADI BAN</t>
  </si>
  <si>
    <t>NURLAILATUL MAULUDIA</t>
  </si>
  <si>
    <t>3507-LT-20062019-0143</t>
  </si>
  <si>
    <t>3507182301130003</t>
  </si>
  <si>
    <t>3507186403160001</t>
  </si>
  <si>
    <t>LATIFAH KHOIR RUMI ROHIMAN</t>
  </si>
  <si>
    <t>KOMPLEK AMARTA BLOK I-24</t>
  </si>
  <si>
    <t>13 km</t>
  </si>
  <si>
    <t>26 kg</t>
  </si>
  <si>
    <t>ANDANG ROHIMAN</t>
  </si>
  <si>
    <t>JL. KOMODOR UDARA ABDUL RAHMAN SALEH, KRAJAN, BUNUT WETAN, KEC. PAKIS, KABUPATEN MALANG, JAWA TIMUR 65154</t>
  </si>
  <si>
    <t>SABANA FC</t>
  </si>
  <si>
    <t xml:space="preserve">
JL. KOMUD ABD. SALEH NO.27, UPEK UPEK, ASRIKATON, KEC. PAKIS, KABUPATEN MALANG, JAWA TIMUR 65154</t>
  </si>
  <si>
    <t>3573-LU-06092016-0016</t>
  </si>
  <si>
    <t>3573051009150012</t>
  </si>
  <si>
    <t>3573052907160002</t>
  </si>
  <si>
    <t>MUHAMAD IBRAHIM MAJID ALFATIH</t>
  </si>
  <si>
    <t>IBRAHIM</t>
  </si>
  <si>
    <t>PERUM GRAHA DEWATA BLOK BB NO 7-8, DUSUN KLANDUNGAN</t>
  </si>
  <si>
    <t>5.5 km</t>
  </si>
  <si>
    <t>KANTOR PELAYANAN PAJAK PRATAMA KEPANJEN</t>
  </si>
  <si>
    <t>JL. PANGLIMA SUDIRMAN NO.1, DAWUKAN, JATIREJOYOSO, KEC. KEPANJEN, KABUPATEN MALANG, JAWA TIMUR 65163</t>
  </si>
  <si>
    <t>0341398393</t>
  </si>
  <si>
    <t>BELUM BEKERJA</t>
  </si>
  <si>
    <t>JL TLOGO SURO V/28</t>
  </si>
  <si>
    <t>3573-LU-29052017-0005</t>
  </si>
  <si>
    <t>JL.SAXOPHONE NO 25. TUNGGULWULUNG.KOTA MALANG</t>
  </si>
  <si>
    <t>3573051505120019</t>
  </si>
  <si>
    <t>3573052104170002</t>
  </si>
  <si>
    <t>MUHAMMAD DZU ALFIQAR ARNOU ERDOGAN</t>
  </si>
  <si>
    <t>DZULFIQAR</t>
  </si>
  <si>
    <t>MUTIARA JINGGA RESIDENCE BLOK A-25</t>
  </si>
  <si>
    <t>081246318050</t>
  </si>
  <si>
    <t>124 cm</t>
  </si>
  <si>
    <t>EDI FEBRIYANTO</t>
  </si>
  <si>
    <t>3573051902870001</t>
  </si>
  <si>
    <t>081230348833</t>
  </si>
  <si>
    <t>JL BHAYANGKARA 16 JUNREJO. KOTA BATU</t>
  </si>
  <si>
    <t>0341- 599045</t>
  </si>
  <si>
    <t>+- 8.000.000,-</t>
  </si>
  <si>
    <t>edyfebrian17@gmail.com</t>
  </si>
  <si>
    <t>FITA DEWI MAYASARI</t>
  </si>
  <si>
    <t>3507015310870001</t>
  </si>
  <si>
    <t>PNS GURU</t>
  </si>
  <si>
    <t>SDN JATIMULYO 2</t>
  </si>
  <si>
    <t>JL.KENANGA INDAH NO.2 KOTA MALANG</t>
  </si>
  <si>
    <t>0341 - 485180</t>
  </si>
  <si>
    <t>+- 3.000.000,-</t>
  </si>
  <si>
    <t>fitadewimayasari@gmail.com</t>
  </si>
  <si>
    <t>TK ABA 39</t>
  </si>
  <si>
    <t xml:space="preserve">JL. MAYJEND SUNGKONO VI NO. 6B KEDUNGKANDANG MALANG </t>
  </si>
  <si>
    <t>0163201918</t>
  </si>
  <si>
    <t>3573032901150004</t>
  </si>
  <si>
    <t>3573031907160002</t>
  </si>
  <si>
    <t>MUHAMMAD FAKHRIAL ATTARIZAYN ASYAUQI</t>
  </si>
  <si>
    <t xml:space="preserve">ATTAR </t>
  </si>
  <si>
    <t>PERUM. AMANY REGENCY BLOK F02
JL. MAYJEND SUNGKONO VI KEDUNGKANDANG MALANG</t>
  </si>
  <si>
    <t>BURING</t>
  </si>
  <si>
    <t>KEDUNG KANDANG</t>
  </si>
  <si>
    <t>14 km</t>
  </si>
  <si>
    <t>087862668592</t>
  </si>
  <si>
    <t xml:space="preserve">ACHMAD EFENDI </t>
  </si>
  <si>
    <t>087744656545</t>
  </si>
  <si>
    <t xml:space="preserve">JL. ARUMBA NO.31 MALANG </t>
  </si>
  <si>
    <t>&gt; 4.000.000</t>
  </si>
  <si>
    <t>achmadefendi@sekolahanaksaleh.sch.id</t>
  </si>
  <si>
    <t xml:space="preserve">YUYUN ISNAINI </t>
  </si>
  <si>
    <t>3573036707890002</t>
  </si>
  <si>
    <t>yuyunisnaini09@gmail.com</t>
  </si>
  <si>
    <t>3573-LT-15032018-0040</t>
  </si>
  <si>
    <t>0178410859</t>
  </si>
  <si>
    <t>3573052305110003</t>
  </si>
  <si>
    <t>3573051105170003</t>
  </si>
  <si>
    <t>MUHAMMAD FAQIH HABIBURRAHMAN</t>
  </si>
  <si>
    <t>FAQIH</t>
  </si>
  <si>
    <t>PERUMAHAN BUMI MERANTI WANGI, JL. HOUSE OF BMW, BLOK B NO. 23</t>
  </si>
  <si>
    <t>08176671870</t>
  </si>
  <si>
    <t>08170496931</t>
  </si>
  <si>
    <t>16,6 kg</t>
  </si>
  <si>
    <t>ARIF FURQON</t>
  </si>
  <si>
    <t>3573043110820001</t>
  </si>
  <si>
    <t>PENERJEMAH</t>
  </si>
  <si>
    <t>TRANSLATIONLINKER</t>
  </si>
  <si>
    <t xml:space="preserve">PERUMAHAN BUMI MERANTI WANGI, JL. HOUSE OF BMW, BLOK B NO. 23. KEC. BLIMBING KEL. PANDANWANGI. JAWA TIMUR, MALANG 65124 </t>
  </si>
  <si>
    <t>6.929.000</t>
  </si>
  <si>
    <t>furqon@translationlinker.com</t>
  </si>
  <si>
    <t>MAWAR FIRDAUSI</t>
  </si>
  <si>
    <t>3573056301870001</t>
  </si>
  <si>
    <t>5.089.000</t>
  </si>
  <si>
    <t>mawar.firdausi@translationlinker.com</t>
  </si>
  <si>
    <t>3573-LT-13022019-0038</t>
  </si>
  <si>
    <t>TK HUDAN CENDEKIA</t>
  </si>
  <si>
    <t>JL. PERUMAHAN VILLA BUKIT TIDAR, MERJOSARI, KEC. LOWOKWARU, KOTA MALANG, JAWA TIMUR 65144</t>
  </si>
  <si>
    <t>0163777672</t>
  </si>
  <si>
    <t>3573042506130014</t>
  </si>
  <si>
    <t>3573040106160006</t>
  </si>
  <si>
    <t>MUHAMMAD HAIDAR ALKHALIFI</t>
  </si>
  <si>
    <t>VILLA BUKIT TIDAR E2/172</t>
  </si>
  <si>
    <t>6,2 km</t>
  </si>
  <si>
    <t>082132299002</t>
  </si>
  <si>
    <t>MOCH IQBAL NURRIZZA</t>
  </si>
  <si>
    <t>3521090906830014</t>
  </si>
  <si>
    <t>081252911990</t>
  </si>
  <si>
    <t>PT. SURYA DERMATO MEDICA LAB</t>
  </si>
  <si>
    <t>JL. RUNGKUT INDUSTRI III NO.31, RUNGKUT MENANGGAL, KEC. GN. ANYAR, KOTA SBY, JAWA TIMUR 60293</t>
  </si>
  <si>
    <t xml:space="preserve"> (031) 8499405</t>
  </si>
  <si>
    <t>Rp.10.000.000</t>
  </si>
  <si>
    <t>IKA RATIH SULISTIANI</t>
  </si>
  <si>
    <t>3521096102860003</t>
  </si>
  <si>
    <t>DEMAK</t>
  </si>
  <si>
    <t xml:space="preserve"> (0341) 551932</t>
  </si>
  <si>
    <t>ika.ratih@unisma.ac.id</t>
  </si>
  <si>
    <t>3573-LU-19072016-0016</t>
  </si>
  <si>
    <t>JL CANDI PANGGUNG INDAH 1-3</t>
  </si>
  <si>
    <t>0161058484</t>
  </si>
  <si>
    <t>3573051108074504</t>
  </si>
  <si>
    <t>3573050107160002</t>
  </si>
  <si>
    <t>MUHAMMAD RAFI RAMADHAN</t>
  </si>
  <si>
    <t>RAFI</t>
  </si>
  <si>
    <t>JL CANDI MENDUT VI NO 9</t>
  </si>
  <si>
    <t>3,6 km</t>
  </si>
  <si>
    <t>0341 407227</t>
  </si>
  <si>
    <t>081333334504</t>
  </si>
  <si>
    <t>RANU SETYOBUDI</t>
  </si>
  <si>
    <t>3507250710820007</t>
  </si>
  <si>
    <t>GARUT</t>
  </si>
  <si>
    <t>081333334503</t>
  </si>
  <si>
    <t>CV TRI SURYA PLASTIK</t>
  </si>
  <si>
    <t>JL SUMBER SUKO 842 LAWANG</t>
  </si>
  <si>
    <t>0341 426323</t>
  </si>
  <si>
    <t>ranoe62@yahoo.co.id</t>
  </si>
  <si>
    <t>FITRIA YANTI KHOLIFAH</t>
  </si>
  <si>
    <t>3507254610790008</t>
  </si>
  <si>
    <t>v3_in_pink@yahoo.co.id</t>
  </si>
  <si>
    <t>3579-LT-07062018-0024</t>
  </si>
  <si>
    <t>TK DHARMA WANITA SENGKALING</t>
  </si>
  <si>
    <t>JL RAYA SENGKALING NO 200 MULYOAGUNG DAU</t>
  </si>
  <si>
    <t>3579011102160005</t>
  </si>
  <si>
    <t>3579010508160002</t>
  </si>
  <si>
    <t>MUHAMMAD ZHIAN RAFAEYZA WAHID</t>
  </si>
  <si>
    <t>ZIZI</t>
  </si>
  <si>
    <t xml:space="preserve">GRIYA TUNGGUL ASRI JL SAXOFONE KAV 12 </t>
  </si>
  <si>
    <t>0341462444</t>
  </si>
  <si>
    <t>08123429464</t>
  </si>
  <si>
    <t>AHMAD NUR KHOLIS WAHID</t>
  </si>
  <si>
    <t>3524182002870001</t>
  </si>
  <si>
    <t>081234294664</t>
  </si>
  <si>
    <t>CV BERKAH OMAH SEJAHTERA</t>
  </si>
  <si>
    <t>GRIYA TUNGGUL ASRI JL SAXOFONE KAV 12 TUNGGULWULUNG LOWOKWARU MALANG</t>
  </si>
  <si>
    <t>5-7 juta</t>
  </si>
  <si>
    <t>choliswahid87@gmail.com</t>
  </si>
  <si>
    <t>ELIA KURNIAWATI</t>
  </si>
  <si>
    <t>3505176602880001</t>
  </si>
  <si>
    <t>0818003876336</t>
  </si>
  <si>
    <t>GRIYA TUNGGUL ASRI JL SAXOFONE KAV 12 TUNGGULWULUNG MALANG</t>
  </si>
  <si>
    <t>2.000.000 - 3.000.000</t>
  </si>
  <si>
    <t>Swasta</t>
  </si>
  <si>
    <t>Griya Tunggul Asri Jl Saxofone Kav 12</t>
  </si>
  <si>
    <t>3524-LU-07122017-0029</t>
  </si>
  <si>
    <t>TK DHARMA WANITA 01 TASIKMADU</t>
  </si>
  <si>
    <t>JL ATLETIK NO 125</t>
  </si>
  <si>
    <t>3573051908190006</t>
  </si>
  <si>
    <t>3524256211170001</t>
  </si>
  <si>
    <t>NABILA MYESHA SHAKILA</t>
  </si>
  <si>
    <t>MYESHA</t>
  </si>
  <si>
    <t>PERUMAHAN ROYAL TASIKMADU RESIDENCE B7 JL ATLETIK</t>
  </si>
  <si>
    <t>081233616366</t>
  </si>
  <si>
    <t>RONI FAUZI</t>
  </si>
  <si>
    <t>3510122701900001</t>
  </si>
  <si>
    <t>0811270191</t>
  </si>
  <si>
    <t>PT. MERDEKA</t>
  </si>
  <si>
    <t>POPPY RENDRA KURNIA</t>
  </si>
  <si>
    <t>1471104506880042</t>
  </si>
  <si>
    <t>Poppy.rendra@gmail.com</t>
  </si>
  <si>
    <t>3507-LT-12122017-0243</t>
  </si>
  <si>
    <t>TK AR-ROHMAH</t>
  </si>
  <si>
    <t>JL. RAYA KARANGJUWET NO 118, DONOWARIH-KARANGPLOSO</t>
  </si>
  <si>
    <t>3507181003140016</t>
  </si>
  <si>
    <t>3507184705170002</t>
  </si>
  <si>
    <t>NADWA ELSHANUM ABIDAH</t>
  </si>
  <si>
    <t xml:space="preserve">DSN. KARANGJUWET </t>
  </si>
  <si>
    <t>DONOWARIH</t>
  </si>
  <si>
    <t>085606514084</t>
  </si>
  <si>
    <t>MOKHAMAD ZAKARIYA</t>
  </si>
  <si>
    <t>3507180201840002</t>
  </si>
  <si>
    <t>081233460321</t>
  </si>
  <si>
    <t>DPPKB KABUPATEN MALANG</t>
  </si>
  <si>
    <t>JL. RADEN PANJI, KEPANJEN, MALANG</t>
  </si>
  <si>
    <t>(0341)3905313</t>
  </si>
  <si>
    <t>mochz4ky@gmail.com</t>
  </si>
  <si>
    <t>FERA ANDRIANA NOVIAWATI</t>
  </si>
  <si>
    <t>3507235211880002</t>
  </si>
  <si>
    <t>RSIA MELATI HUSADA</t>
  </si>
  <si>
    <t>JL.KAWI NO 32-34 MALANG</t>
  </si>
  <si>
    <t>(0341)325249</t>
  </si>
  <si>
    <t>4.200.000</t>
  </si>
  <si>
    <t>feranduth@gmail.com</t>
  </si>
  <si>
    <t>3178101407</t>
  </si>
  <si>
    <t>3172064502170002</t>
  </si>
  <si>
    <t>NAULI AINUN SYAHNAZ AZZAHRA MUBARAK</t>
  </si>
  <si>
    <t>NAULI</t>
  </si>
  <si>
    <t>3573052508110020</t>
  </si>
  <si>
    <t>3573056104170006</t>
  </si>
  <si>
    <t>30 kg</t>
  </si>
  <si>
    <t>ASTRA CREDIT COMPANY</t>
  </si>
  <si>
    <t>JL. JEMURSARI SELATAN IV  NO 3SURABAYA</t>
  </si>
  <si>
    <t>031 8475945</t>
  </si>
  <si>
    <t>ayub.galant@acc.co.id</t>
  </si>
  <si>
    <t>JL. RAYA ARHANUD, JUNREJO KOTA BATU</t>
  </si>
  <si>
    <t>0341 532100</t>
  </si>
  <si>
    <t>3573-LU-06042016-0022</t>
  </si>
  <si>
    <t>JL.SUDIMORO 21A KOTA MALANG</t>
  </si>
  <si>
    <t>3573051207120005</t>
  </si>
  <si>
    <t>3573054204160001</t>
  </si>
  <si>
    <t>RHANAYYA CALLISTA PUTRI</t>
  </si>
  <si>
    <t>NAYYA</t>
  </si>
  <si>
    <t>JL.IKAN TOMBRO PERUM PURI KARTIKA ASRI (PUSKOPAD) BLOK I/5</t>
  </si>
  <si>
    <t>081803861030</t>
  </si>
  <si>
    <t>CHAIRIL YUNIARMOKO</t>
  </si>
  <si>
    <t>3573052506830001</t>
  </si>
  <si>
    <t>081931857480</t>
  </si>
  <si>
    <t>PT.PLN (PERSERO) UP3 MALANG</t>
  </si>
  <si>
    <t>JL.BASUKI RAHMAD NO.100 KEC.KLOJEN KOTA MALANG</t>
  </si>
  <si>
    <t>(0341) 000123</t>
  </si>
  <si>
    <t>chairil.yuniarmoko@gmail.com</t>
  </si>
  <si>
    <t>ELISCA NOVIDA</t>
  </si>
  <si>
    <t>3573054111830001</t>
  </si>
  <si>
    <t>eliscanovida@gmail.com</t>
  </si>
  <si>
    <t>3507-LT-04112016-0005</t>
  </si>
  <si>
    <t>TK ISLAM AL GHAFFAR</t>
  </si>
  <si>
    <t>BUMI ASRI SENGKALING BLOK A</t>
  </si>
  <si>
    <t>3507221602110005</t>
  </si>
  <si>
    <t>3507220109160001</t>
  </si>
  <si>
    <t>ZINAN MAULANA RAYVOLTA</t>
  </si>
  <si>
    <t>VOVO</t>
  </si>
  <si>
    <t>PERUMAHAN BUMI ASRI SENGKALING  C 8</t>
  </si>
  <si>
    <t>085234663555</t>
  </si>
  <si>
    <t>YOSSY TRI ANGGARA YUDHA</t>
  </si>
  <si>
    <t>3571011901830002</t>
  </si>
  <si>
    <t>081331992002</t>
  </si>
  <si>
    <t>yossyyudha2002@gmail.com</t>
  </si>
  <si>
    <t>OCTAVIA CHRISTIAWATI</t>
  </si>
  <si>
    <t>3507225410830001</t>
  </si>
  <si>
    <t>octaviayossy211110@gmail.com</t>
  </si>
  <si>
    <t>3507-LT-10052017-0042</t>
  </si>
  <si>
    <t>3507252211160002</t>
  </si>
  <si>
    <t>ADELIO KHRISNA SAKTI</t>
  </si>
  <si>
    <t>3C</t>
  </si>
  <si>
    <t>KHRISNA</t>
  </si>
  <si>
    <t>JL LA SUCIPTO GG 22 PERUM GRAHA CIPTA RESIDENCE D10</t>
  </si>
  <si>
    <t>081336750426</t>
  </si>
  <si>
    <t>RESDIANT BAYU ANGESTI</t>
  </si>
  <si>
    <t>3573041903880001</t>
  </si>
  <si>
    <t>KEMENTERIAN PERHUBUNGAN LAUT</t>
  </si>
  <si>
    <t>Rp.3.000.000</t>
  </si>
  <si>
    <t>RIRIN DENOK AYU RETNOSARI</t>
  </si>
  <si>
    <t>3507257003870002</t>
  </si>
  <si>
    <t>PEGAWAI POLITEKNIK NEGERI MALANG</t>
  </si>
  <si>
    <t xml:space="preserve">JL SOEKARNO HATTA NO 09 - KODE POS 65144 MALANG </t>
  </si>
  <si>
    <t>adeliokrisna@gmail.com</t>
  </si>
  <si>
    <t>RATNA LULUT YULI DARNIA, SE</t>
  </si>
  <si>
    <t>085648574679</t>
  </si>
  <si>
    <t xml:space="preserve">JL MLETO 6/B </t>
  </si>
  <si>
    <t>KLAMPIS NGASEM</t>
  </si>
  <si>
    <t>SUKOLILO</t>
  </si>
  <si>
    <t>3507-LT-06042017-0107</t>
  </si>
  <si>
    <t>0167232593</t>
  </si>
  <si>
    <t>3507220703160006</t>
  </si>
  <si>
    <t>3507222910160001</t>
  </si>
  <si>
    <t>AFFAN ABRAR RAJENDRA</t>
  </si>
  <si>
    <t>AFFAN</t>
  </si>
  <si>
    <t>TIRTO TARUNO GANG IV NO.8</t>
  </si>
  <si>
    <t>081349149620</t>
  </si>
  <si>
    <t>INDONESIA,JAWA.</t>
  </si>
  <si>
    <t>ADITYA DERMAWAN PRAYOGO</t>
  </si>
  <si>
    <t>3507220108890002</t>
  </si>
  <si>
    <t>08567029319</t>
  </si>
  <si>
    <t>TOKO JATIMULYA</t>
  </si>
  <si>
    <t>TIRTO TARUNO NOMOR 28</t>
  </si>
  <si>
    <t>PURI WIRANTI</t>
  </si>
  <si>
    <t>6202064312920002</t>
  </si>
  <si>
    <t>JALAN ARUMBA NO.31,LOWOKWARU,MALANG</t>
  </si>
  <si>
    <t>Kurang lebih 2.600.000</t>
  </si>
  <si>
    <t>puryelugitu@gmail.com</t>
  </si>
  <si>
    <t>Juwari</t>
  </si>
  <si>
    <t>3507-LT-25072017-0189</t>
  </si>
  <si>
    <t xml:space="preserve">TK SITI HAJAR </t>
  </si>
  <si>
    <t>3507231002110005</t>
  </si>
  <si>
    <t>3507232005170001</t>
  </si>
  <si>
    <t>ALIFIANDRA SACHIO MAHARDIKA</t>
  </si>
  <si>
    <t>CIO</t>
  </si>
  <si>
    <t>GG TAMENGASRI NO 4 JL RAYA BALAI DESA KEPUHARJO</t>
  </si>
  <si>
    <t>085100374744</t>
  </si>
  <si>
    <t>081945554424</t>
  </si>
  <si>
    <t>JAWA DAN BAHASA INDONESIA</t>
  </si>
  <si>
    <t>YOGANDHI EKA NANDHA</t>
  </si>
  <si>
    <t>3507311009840002</t>
  </si>
  <si>
    <t>081252577688</t>
  </si>
  <si>
    <t>JL ARDIREJO KEPANJEN KAB MALANG</t>
  </si>
  <si>
    <t>_</t>
  </si>
  <si>
    <t>EKA RITNAWATI</t>
  </si>
  <si>
    <t>3507314602830002</t>
  </si>
  <si>
    <t>ekka.azza@gmail.com</t>
  </si>
  <si>
    <t>3573-LT-29052017-0008</t>
  </si>
  <si>
    <t>TK ALAM AR-RAYYAN</t>
  </si>
  <si>
    <t>JL. CENGGER AYAM DALAM, TULUSREJO, KEC. LOWOKWARU, KOTA MALANG, JAWA TIMUR 65151</t>
  </si>
  <si>
    <t>3573051605170009</t>
  </si>
  <si>
    <t>3573052510160001</t>
  </si>
  <si>
    <t>ARSENIO RAVANDRA NUGRAHA</t>
  </si>
  <si>
    <t>ENO</t>
  </si>
  <si>
    <t>JL SAXOPHONE 10</t>
  </si>
  <si>
    <t>081239955200</t>
  </si>
  <si>
    <t>AFRIZAL AKBAR NUGRAHA</t>
  </si>
  <si>
    <t>3573012704960002</t>
  </si>
  <si>
    <t>081233991240</t>
  </si>
  <si>
    <t>CV. SEJAHTERA</t>
  </si>
  <si>
    <t>JL SIMP JANTI BARAT NO. 10</t>
  </si>
  <si>
    <t>rizalnostoc@gmail.com</t>
  </si>
  <si>
    <t>NINDI WELANINGSIH</t>
  </si>
  <si>
    <t>3573054806950005</t>
  </si>
  <si>
    <t>nindywellaa@gmail.com</t>
  </si>
  <si>
    <t>3573-LU-13102016-0018</t>
  </si>
  <si>
    <t>3573052402100024</t>
  </si>
  <si>
    <t>3573054310160001</t>
  </si>
  <si>
    <t xml:space="preserve">ARSYILA </t>
  </si>
  <si>
    <t>JL IKAN PIRANHA ATAS 191</t>
  </si>
  <si>
    <t xml:space="preserve">TUNJUNG SEKAR </t>
  </si>
  <si>
    <t>3-4 km</t>
  </si>
  <si>
    <t>085101278767</t>
  </si>
  <si>
    <t>082231082931</t>
  </si>
  <si>
    <t xml:space="preserve">JAWA INDONESIA </t>
  </si>
  <si>
    <t xml:space="preserve">MULYANTO </t>
  </si>
  <si>
    <t>3573050408830002</t>
  </si>
  <si>
    <t xml:space="preserve">WIRAUSAHA </t>
  </si>
  <si>
    <t>JL IKAN PIRANHA ATAS 191 RT 07 RW 02 MALANG</t>
  </si>
  <si>
    <t>mmulyanto094@gmail.com</t>
  </si>
  <si>
    <t xml:space="preserve">SRI MULIASIH </t>
  </si>
  <si>
    <t>3573057103850004</t>
  </si>
  <si>
    <t>puffycell@gmail.com</t>
  </si>
  <si>
    <t>Siti Chotidjah</t>
  </si>
  <si>
    <t xml:space="preserve">Surabaya </t>
  </si>
  <si>
    <t>081232777882</t>
  </si>
  <si>
    <t>Pijat</t>
  </si>
  <si>
    <t>Jl ikan piranha atas 191</t>
  </si>
  <si>
    <t xml:space="preserve">Tunjung Sekar </t>
  </si>
  <si>
    <t xml:space="preserve">Lowokwaru </t>
  </si>
  <si>
    <t>3573-LU-26042017-0005</t>
  </si>
  <si>
    <t>3573051002100026</t>
  </si>
  <si>
    <t>3573051204170002</t>
  </si>
  <si>
    <t>SENDRIA</t>
  </si>
  <si>
    <t>JL. IKAN LAYUR 1 NO 42</t>
  </si>
  <si>
    <t>081335839249</t>
  </si>
  <si>
    <t>GUNAWAN WIBISONO</t>
  </si>
  <si>
    <t>3573052202780007</t>
  </si>
  <si>
    <t>082112394250</t>
  </si>
  <si>
    <t>PT. NESSITOR</t>
  </si>
  <si>
    <t>KOMPLEKS INDUSTRI KARIANGAU, JL. AMD PROJAKAL NO 67, BATU AMPAR BALIKPAPAN</t>
  </si>
  <si>
    <t>0542860777</t>
  </si>
  <si>
    <t>rgunawan.wbs@gmail.com</t>
  </si>
  <si>
    <t>PRAMESTUTI ARINDAYU</t>
  </si>
  <si>
    <t>3573057107820012</t>
  </si>
  <si>
    <t>SMAK KOLESE SANTO YUSUP</t>
  </si>
  <si>
    <t>JL. SIMPANG BOROBUDUR NO 1 MALANG</t>
  </si>
  <si>
    <t>0341410590</t>
  </si>
  <si>
    <t>prames31@gmail.com</t>
  </si>
  <si>
    <t>3575-LT-19112018-0023</t>
  </si>
  <si>
    <t>3575041211180001</t>
  </si>
  <si>
    <t>3575045704160002</t>
  </si>
  <si>
    <t>AZIZAH RIZAL GHONIEM</t>
  </si>
  <si>
    <t>ZAZA</t>
  </si>
  <si>
    <t xml:space="preserve">GRIYA KASIN 3 BLOK C6. </t>
  </si>
  <si>
    <t>0811114579</t>
  </si>
  <si>
    <t>082228224445</t>
  </si>
  <si>
    <t>RIZAL GHONIEM</t>
  </si>
  <si>
    <t>3507222804880002</t>
  </si>
  <si>
    <t>0811114569</t>
  </si>
  <si>
    <t>CV DUTA BETON</t>
  </si>
  <si>
    <t>NGIJO. KARANG PLOSO</t>
  </si>
  <si>
    <t>081368863444</t>
  </si>
  <si>
    <t>&gt; 10.000.000</t>
  </si>
  <si>
    <t>NABILA ATTAMIMI</t>
  </si>
  <si>
    <t>3575025701940005</t>
  </si>
  <si>
    <t>KLINIK KECANTIKAN</t>
  </si>
  <si>
    <t>PAPA HIJAU NMER 10. MALANG</t>
  </si>
  <si>
    <t>Naabella.tamim@gmail.com</t>
  </si>
  <si>
    <t>3578-LU-31012017-0150</t>
  </si>
  <si>
    <t>JL. BATU PERMATA NO. 9 TLOGOMAS, MALANG</t>
  </si>
  <si>
    <t>3578011208130001</t>
  </si>
  <si>
    <t>3578011611160001</t>
  </si>
  <si>
    <t>AZMIY RUNAKO YUSUF</t>
  </si>
  <si>
    <t>AZMIY</t>
  </si>
  <si>
    <t xml:space="preserve">PERUMAHAN BUKIT CEMARA TUJUH BLOK F24 JALAN RAYA TLOGOMAS MALANG </t>
  </si>
  <si>
    <t xml:space="preserve">MULYOAGUNG </t>
  </si>
  <si>
    <t>085755887778</t>
  </si>
  <si>
    <t>105 kg</t>
  </si>
  <si>
    <t>INDONESIA, JAWA, INGGRIS</t>
  </si>
  <si>
    <t xml:space="preserve">PEGAWAI SWASTA </t>
  </si>
  <si>
    <t>PT SEASCAPE SURVEYS INDONESIA</t>
  </si>
  <si>
    <t>PT SEASCAPE SURVEYS INDONESIA
THE MANHATTAN SQUARE, MID TOWER 7TH FLOOR, UNIT G
JI T.B. SIMATUPANG KAV. 1S, CILANDAK TIMUR, JAKARTA 12560</t>
  </si>
  <si>
    <t>+62218677000</t>
  </si>
  <si>
    <t>20 - 25 juta</t>
  </si>
  <si>
    <t>dimasyusufpu@gmail.com</t>
  </si>
  <si>
    <t>OKKY INTANRIANE, ST</t>
  </si>
  <si>
    <t>1105-LT-04102017-0012</t>
  </si>
  <si>
    <t>TK SMALL TREE</t>
  </si>
  <si>
    <t>JALAN TAMAN SULFAT NO.31, JL. BLK. F NO.2, BUNULREJO, KEC. BLIMBING, KOTA MALANG, JAWA TIMUR 65126</t>
  </si>
  <si>
    <t>1105010107150005</t>
  </si>
  <si>
    <t>1105016711160003</t>
  </si>
  <si>
    <t>CUT LASHIRA SYAFAZEA</t>
  </si>
  <si>
    <t>CUTZEA</t>
  </si>
  <si>
    <t>BANDA ACEH</t>
  </si>
  <si>
    <t>JLN.WARINOI TIMUR V, PERUM GRIYA WARINOI KAV.7</t>
  </si>
  <si>
    <t>+- 9 km</t>
  </si>
  <si>
    <t>081360168316 / 085260900808</t>
  </si>
  <si>
    <t>TEUKU MUDA PAHLAWAN</t>
  </si>
  <si>
    <t>1105010104880005</t>
  </si>
  <si>
    <t xml:space="preserve">MON IKEUN </t>
  </si>
  <si>
    <t>081360168316</t>
  </si>
  <si>
    <t>Muda.pahlawan@gmail.com</t>
  </si>
  <si>
    <t>NURUL FADHILA ZAKI</t>
  </si>
  <si>
    <t>1171086102880002</t>
  </si>
  <si>
    <t xml:space="preserve">ACEH BESAR </t>
  </si>
  <si>
    <t>085260900808</t>
  </si>
  <si>
    <t xml:space="preserve">dr. Teuku Harmawansyah </t>
  </si>
  <si>
    <t>WAKABA KINDERGARTEN</t>
  </si>
  <si>
    <t>SAKURAGAOKA 6 CHOME KAGOSHIMA JAPAN</t>
  </si>
  <si>
    <t>3578304609160001</t>
  </si>
  <si>
    <t>FANISHA AZKADINA</t>
  </si>
  <si>
    <t>FANIS</t>
  </si>
  <si>
    <t xml:space="preserve">PERUM DE GREEN PAVILION BLOK D-15 JL. AKORDION UTARA </t>
  </si>
  <si>
    <t>1,2 km</t>
  </si>
  <si>
    <t>BAHASA INDONESIA- BAHASA JEPANG</t>
  </si>
  <si>
    <t>FREDY MARDIYANTORO</t>
  </si>
  <si>
    <t>3578061803830001</t>
  </si>
  <si>
    <t>UNIVERSITAS BRAWIJAYA MALANG</t>
  </si>
  <si>
    <t>DEVITA TINTASARI</t>
  </si>
  <si>
    <t>IBU RUMAH TANGGA/ SWASTA</t>
  </si>
  <si>
    <t>3573-LU-10022017-0009</t>
  </si>
  <si>
    <t>3573051005120013</t>
  </si>
  <si>
    <t>3573054601170002</t>
  </si>
  <si>
    <t xml:space="preserve">FATIMAH NUR IZZATI </t>
  </si>
  <si>
    <t xml:space="preserve">IZZA </t>
  </si>
  <si>
    <t xml:space="preserve">PERUM. BUMI TUNGGULWULUNG INDAH BLOK R.8 </t>
  </si>
  <si>
    <t>085954413144</t>
  </si>
  <si>
    <t>082338205503</t>
  </si>
  <si>
    <t xml:space="preserve">JAWA DAN INDONESIA </t>
  </si>
  <si>
    <t>SUMIADJI</t>
  </si>
  <si>
    <t>3573051205640004</t>
  </si>
  <si>
    <t xml:space="preserve">POLITEKNIK NEGERI MALANG </t>
  </si>
  <si>
    <t>JL. SOEKARNO HATTA NO.9, JATIMULYO, KEC. LOWOKWARU, KOTA MALANG, JAWA TIMUR 65141</t>
  </si>
  <si>
    <t>0341404424</t>
  </si>
  <si>
    <t xml:space="preserve">UMI NUR FAIDAH </t>
  </si>
  <si>
    <t>3525096509840003</t>
  </si>
  <si>
    <t xml:space="preserve">fastaruhilmy@gmail.com </t>
  </si>
  <si>
    <t>3309-LU-06012017-0010</t>
  </si>
  <si>
    <t xml:space="preserve">PAUD ISLAMIC GLOBAL PRESCHOOL </t>
  </si>
  <si>
    <t>JL. RAMBAI NO.9 RT.07 KEL. GUNUNG SAMARINDA BARU, BALIKPAPAN UTARA, BALIKPAPAN</t>
  </si>
  <si>
    <t>3309090808190005</t>
  </si>
  <si>
    <t>3309054312160002</t>
  </si>
  <si>
    <t>GANAYA ARCIA RAKHSANDRINA KURNIAWAN</t>
  </si>
  <si>
    <t>CIARA</t>
  </si>
  <si>
    <t>PERUM GREEN GARDEN SAXOPHONE A6</t>
  </si>
  <si>
    <t>0,8 km</t>
  </si>
  <si>
    <t>081230936843</t>
  </si>
  <si>
    <t>WISNU CAHYA KURNIAWAN</t>
  </si>
  <si>
    <t>3309052207859003</t>
  </si>
  <si>
    <t>081297230489</t>
  </si>
  <si>
    <t>PT PLN NUSANTARA POWER UBJO&amp;M KALTIM TELUK</t>
  </si>
  <si>
    <t>JL. PLTU NO.1, TELUK WARU, KAWASAN INDUSTRI KARIANGAU KM 13 BALIKPAPAN 76134</t>
  </si>
  <si>
    <t>(0542) 8530818</t>
  </si>
  <si>
    <t>wisnucahyak32@gmail.com</t>
  </si>
  <si>
    <t>ADHISTI SRI PURANIKA</t>
  </si>
  <si>
    <t>3309056311860001</t>
  </si>
  <si>
    <t>adhistisrip@gmail.com</t>
  </si>
  <si>
    <t>3579-LT-20072017-0029</t>
  </si>
  <si>
    <t>3579031012140006</t>
  </si>
  <si>
    <t>3579030205170001</t>
  </si>
  <si>
    <t xml:space="preserve">HAFIZH </t>
  </si>
  <si>
    <t>PERMATA SAXOPHONE, MADINAH TOWN HOUSE KAV 22 MALANG</t>
  </si>
  <si>
    <t>082132183829</t>
  </si>
  <si>
    <t xml:space="preserve">ROBBI SURYA FERDIANSYAH </t>
  </si>
  <si>
    <t>3579032102890002</t>
  </si>
  <si>
    <t>081333155958</t>
  </si>
  <si>
    <t xml:space="preserve">BUMN </t>
  </si>
  <si>
    <t xml:space="preserve">BRI KANCA MALANG SOEHAT </t>
  </si>
  <si>
    <t>JL SOEKARNO HATTA</t>
  </si>
  <si>
    <t>dian.robbi89@gmail.com</t>
  </si>
  <si>
    <t xml:space="preserve">LIA PERMANA SARI </t>
  </si>
  <si>
    <t>3573056602880005</t>
  </si>
  <si>
    <t>lia.permana88@gmail.com</t>
  </si>
  <si>
    <t>3507-LT-28092021-0099</t>
  </si>
  <si>
    <t xml:space="preserve">RA. BINA UMAT </t>
  </si>
  <si>
    <t>JL KUTILANG 99 NGIJO</t>
  </si>
  <si>
    <t>3507230704100004</t>
  </si>
  <si>
    <t>3507232810160005</t>
  </si>
  <si>
    <t>ATHA</t>
  </si>
  <si>
    <t>GRIYA PERMATA ALAM BLOK H NO 20</t>
  </si>
  <si>
    <t>081333252010</t>
  </si>
  <si>
    <t>125 cm</t>
  </si>
  <si>
    <t>NURUL MASHUDA</t>
  </si>
  <si>
    <t>3507231806760002</t>
  </si>
  <si>
    <t>081233939287</t>
  </si>
  <si>
    <t>nurulmashuda20@gmail.com</t>
  </si>
  <si>
    <t>DEWI RAHAYU KRISTIANA</t>
  </si>
  <si>
    <t>3507236512800004</t>
  </si>
  <si>
    <t>dewirahayukristiana@gmail.com</t>
  </si>
  <si>
    <t>3276-LU-16012017-0023</t>
  </si>
  <si>
    <t>JALAN IKAN KAKAP NO 90, TUNJUNGSEKAR</t>
  </si>
  <si>
    <t>3571032009180002</t>
  </si>
  <si>
    <t>3276082412160003</t>
  </si>
  <si>
    <t xml:space="preserve">KHALFANI </t>
  </si>
  <si>
    <t xml:space="preserve">PERUMAHAN PATRA GARDEN RESIDENCE BLOK EDELWEISS NO 32 KEPUHARJO KARANGPLOSO KABUPATEN MALANG </t>
  </si>
  <si>
    <t>0838461737354</t>
  </si>
  <si>
    <t>126 cm</t>
  </si>
  <si>
    <t xml:space="preserve">TAUFAN AZWAR ZAMZAMI </t>
  </si>
  <si>
    <t>3506041207850003</t>
  </si>
  <si>
    <t>083873697699</t>
  </si>
  <si>
    <t>KEMENTERIAN KEUANGAN, DIREKTORAT JENDERAL PAJAK</t>
  </si>
  <si>
    <t>KANTOR PELAYANAN PAJAK PRATAMA PONTIANAK TIMUR, JALAN LETJEN SUTOYO, KOTA PONTIANAK</t>
  </si>
  <si>
    <t>0561 8106058</t>
  </si>
  <si>
    <t>taufan.zamzami@gmail.com</t>
  </si>
  <si>
    <t xml:space="preserve">SILVIA RAHMI EKASARI </t>
  </si>
  <si>
    <t>3506044101870001</t>
  </si>
  <si>
    <t>083846173754</t>
  </si>
  <si>
    <t>JALAN SOEKARNO HATTA, KOTA MALANG</t>
  </si>
  <si>
    <t>0341 404424</t>
  </si>
  <si>
    <t>silvia.zamzami@gmail.com</t>
  </si>
  <si>
    <t>Taufan Azwar Zamzami, SE.</t>
  </si>
  <si>
    <t>Kediri</t>
  </si>
  <si>
    <t>Pegawai Negeri Sipil</t>
  </si>
  <si>
    <t xml:space="preserve">Perumahan Patra Garden Residence Blok Edelweiss No 32 </t>
  </si>
  <si>
    <t xml:space="preserve">Kepuharjo </t>
  </si>
  <si>
    <t xml:space="preserve">Karangploso </t>
  </si>
  <si>
    <t>3573-LT-29032017-0016</t>
  </si>
  <si>
    <t xml:space="preserve">TK DWP TLOGOMAS </t>
  </si>
  <si>
    <t>JL. KECUBUNG NO.10, TLOGOMAS, KEC. LOWOKWARU, KOTA MALANG, JAWA TIMUR 65144</t>
  </si>
  <si>
    <t>0137012732</t>
  </si>
  <si>
    <t>3573050104160003</t>
  </si>
  <si>
    <t>3573056106160003</t>
  </si>
  <si>
    <t xml:space="preserve">MIKHA </t>
  </si>
  <si>
    <t xml:space="preserve">BANDUNG </t>
  </si>
  <si>
    <t xml:space="preserve">PERUM TLOGOMAS JALAN MERAH DELIMA NO 8 </t>
  </si>
  <si>
    <t xml:space="preserve">TLOGOMAS </t>
  </si>
  <si>
    <t>3,2 km</t>
  </si>
  <si>
    <t>081223956621</t>
  </si>
  <si>
    <t>20,5 kg</t>
  </si>
  <si>
    <t xml:space="preserve">INDONESIA DAN INGGRIS </t>
  </si>
  <si>
    <t xml:space="preserve">ERLAN NOVARINA </t>
  </si>
  <si>
    <t>3204052111840013</t>
  </si>
  <si>
    <t>081254201968</t>
  </si>
  <si>
    <t xml:space="preserve">SWASTA </t>
  </si>
  <si>
    <t xml:space="preserve">HALLIBURTON INDONESIA </t>
  </si>
  <si>
    <t>JL. MULAWARMAN I NO.BLOK A/4, MANGGAR, KEC. BALIKPAPAN TIM., KOTA BALIKPAPAN, KALIMANTAN TIMUR 76115</t>
  </si>
  <si>
    <t>0542770913</t>
  </si>
  <si>
    <t>Butuhspasi@gmail.com</t>
  </si>
  <si>
    <t xml:space="preserve">FIRDA RIZKI AMALIA </t>
  </si>
  <si>
    <t>3518106009900006</t>
  </si>
  <si>
    <t xml:space="preserve">NGANJUK </t>
  </si>
  <si>
    <t>amalia.firda90@gmail.com</t>
  </si>
  <si>
    <t xml:space="preserve">Rr. Endang Wrediningtyas </t>
  </si>
  <si>
    <t xml:space="preserve">Muara Enim </t>
  </si>
  <si>
    <t>081233817466</t>
  </si>
  <si>
    <t xml:space="preserve">Ibu rumah tangga </t>
  </si>
  <si>
    <t xml:space="preserve">Perum Tlogomas Jalan Merah Delima No 8 </t>
  </si>
  <si>
    <t xml:space="preserve">Tlogomas </t>
  </si>
  <si>
    <t xml:space="preserve">Malang </t>
  </si>
  <si>
    <t>Jln dawuhan rt 16 rw 05 Desa Tegalgondo, Kec Karangploso Kab.Malang</t>
  </si>
  <si>
    <t>3160787200</t>
  </si>
  <si>
    <t>3507020410160002</t>
  </si>
  <si>
    <t>M. FABIAN ABIYASTA MUMTAZ</t>
  </si>
  <si>
    <t>BIAN</t>
  </si>
  <si>
    <t>JL. TERUSAN TEGALGONDO NO. 40</t>
  </si>
  <si>
    <t>081330932425</t>
  </si>
  <si>
    <t>POLRI-BINMAS</t>
  </si>
  <si>
    <t>POLSEK DAU</t>
  </si>
  <si>
    <t>JL. RAYA DAU, DAU, KAB. MALANG</t>
  </si>
  <si>
    <t>0341-460151</t>
  </si>
  <si>
    <t>PNS-BIDAN</t>
  </si>
  <si>
    <t>JL. IR. SUKARNO NO. 30</t>
  </si>
  <si>
    <t>3507-LU-11042016-0003</t>
  </si>
  <si>
    <t>3507232206120001</t>
  </si>
  <si>
    <t>3507231402160001</t>
  </si>
  <si>
    <t>MUHAMMAD AL ZHAFRAN NIRWANA ARKANANTA</t>
  </si>
  <si>
    <t>JALAN RAYA KAGRENGAN 54A</t>
  </si>
  <si>
    <t>0341466875</t>
  </si>
  <si>
    <t>08125207208</t>
  </si>
  <si>
    <t>70 kg</t>
  </si>
  <si>
    <t>102 cm</t>
  </si>
  <si>
    <t>ARIF SETYO BUDI</t>
  </si>
  <si>
    <t>3507231302810001</t>
  </si>
  <si>
    <t>PT BENTOEL</t>
  </si>
  <si>
    <t>JALAN RAYA KARANGLO NO 1</t>
  </si>
  <si>
    <t>Setyoarif1302@gmail.com</t>
  </si>
  <si>
    <t>ANGGI AYUNDA KOMALASARI</t>
  </si>
  <si>
    <t>wafat</t>
  </si>
  <si>
    <t>3505-LU-05102017-0014</t>
  </si>
  <si>
    <t>JL. SIMPANG AKORDION NO. 2</t>
  </si>
  <si>
    <t>3505082009170001</t>
  </si>
  <si>
    <t>3505080109170001</t>
  </si>
  <si>
    <t>MUHAMMAD NAUFAL AL GIBRAN</t>
  </si>
  <si>
    <t>NAUFAL</t>
  </si>
  <si>
    <t>JL DUSUN GEMBRUNG</t>
  </si>
  <si>
    <t>082229659343</t>
  </si>
  <si>
    <t>101 cm</t>
  </si>
  <si>
    <t>MUHAMMAD SA'RONI</t>
  </si>
  <si>
    <t>3575021706980007</t>
  </si>
  <si>
    <t>081244201700</t>
  </si>
  <si>
    <t>ARSY AUTO CAR</t>
  </si>
  <si>
    <t>JL DUSUN GEMBRUNG RT 05 RW 07 TUNJUNGTIRTO, SINGOSARI, MALANG</t>
  </si>
  <si>
    <t>081233131717</t>
  </si>
  <si>
    <t>muhammadsaroni2016@gmail.com</t>
  </si>
  <si>
    <t>ARYUNDA SHELLA DEVI</t>
  </si>
  <si>
    <t>3505084707970005</t>
  </si>
  <si>
    <t>aryundas07@gmail.com</t>
  </si>
  <si>
    <t>3573-LT-14042022-0041</t>
  </si>
  <si>
    <t>JL. JOYO AGUNG 57-58 MERJOSARI MALANG</t>
  </si>
  <si>
    <t>3573052609190013</t>
  </si>
  <si>
    <t>3573050310160003</t>
  </si>
  <si>
    <t>MUHAMMAD RAKA ATHALLA</t>
  </si>
  <si>
    <t>JL. TLOGO SARI NO.16</t>
  </si>
  <si>
    <t>1.8 km</t>
  </si>
  <si>
    <t>08113780219</t>
  </si>
  <si>
    <t>18.7 kg</t>
  </si>
  <si>
    <t>MOCHAMAD ADITYA IMANDHA YUSUF</t>
  </si>
  <si>
    <t>3513141901870001</t>
  </si>
  <si>
    <t>081252444961</t>
  </si>
  <si>
    <t>ANNISA FAHMI</t>
  </si>
  <si>
    <t>3573055912870003</t>
  </si>
  <si>
    <t>annisafahmi.nisa@gmail.com</t>
  </si>
  <si>
    <t>YUCE DIANA TRI WAHYUNINGSIH</t>
  </si>
  <si>
    <t>082245459874</t>
  </si>
  <si>
    <t>3517-LU-17072017-0009</t>
  </si>
  <si>
    <t>3517091405170003</t>
  </si>
  <si>
    <t>MUHAMMAD SAFAROZ RAFISQY ARDIANTO</t>
  </si>
  <si>
    <t>SAFAROZ / FAROZ</t>
  </si>
  <si>
    <t>18,9 kg</t>
  </si>
  <si>
    <t>3573-LT-11062021-0060</t>
  </si>
  <si>
    <t>TK MUSLIMAT NU 08 MALANG</t>
  </si>
  <si>
    <t>JL. SIMPANG LA. SUCIPTO NO. 53 KEL. PANDANWANGGI - KEC. BLIMBING - KOTA MALANG</t>
  </si>
  <si>
    <t>3573012312200012</t>
  </si>
  <si>
    <t>3573014103170003</t>
  </si>
  <si>
    <t>NAQIA SAKHIYA ZAHA</t>
  </si>
  <si>
    <t>SAKHIY/SAKHIYA</t>
  </si>
  <si>
    <t>JL. LA. SUCIPTO GG.TARUNA VII NO.43</t>
  </si>
  <si>
    <t>7,5 km</t>
  </si>
  <si>
    <t>0341490794</t>
  </si>
  <si>
    <t>081230053700</t>
  </si>
  <si>
    <t>MOCH. ZAINAL ABIDIN</t>
  </si>
  <si>
    <t>3573011711890007</t>
  </si>
  <si>
    <t>081333204442</t>
  </si>
  <si>
    <t xml:space="preserve">ARSITEK </t>
  </si>
  <si>
    <t xml:space="preserve">IMAJINER ARSITEK </t>
  </si>
  <si>
    <t>PERUM NADIA RESIDENCE BATU</t>
  </si>
  <si>
    <t>5.000.000 - 8.000.000</t>
  </si>
  <si>
    <t>zhaenalabid@gmail.com</t>
  </si>
  <si>
    <t xml:space="preserve">SITI KHALIMATUS SA'DIYAH </t>
  </si>
  <si>
    <t>3516046708920001</t>
  </si>
  <si>
    <t xml:space="preserve">IRT - GURU TPQ - PENGURUS LKSA YASUKA </t>
  </si>
  <si>
    <t>LKSA YASUKA MALANG &amp; TPQ YASUKA MALANG</t>
  </si>
  <si>
    <t xml:space="preserve">JL. LA. SUCIPTO GG. TARUNA VII NO. 43 </t>
  </si>
  <si>
    <t>khalimatussadiyah332@gmail.com</t>
  </si>
  <si>
    <t>3507-LU-02112016-0002</t>
  </si>
  <si>
    <t>TK KARTIKA IX/44 YONKES 2/2 KOSTRAD</t>
  </si>
  <si>
    <t>JL. DR. DHARMAWAN RT. 04 RW. 07 BATALYON KESEHATAN 2/2 KOSTRAD,KARANGPLOSO</t>
  </si>
  <si>
    <t>3507221005160007</t>
  </si>
  <si>
    <t>3507225409160002</t>
  </si>
  <si>
    <t>NASYITHA NAUFALYN NAJIYAH</t>
  </si>
  <si>
    <t>NASYITHA</t>
  </si>
  <si>
    <t>PERUMAHAN KARANGPLOSO VIEW BLOK AE 09</t>
  </si>
  <si>
    <t>085255637010</t>
  </si>
  <si>
    <t>085255637010 / 085108775445</t>
  </si>
  <si>
    <t>20,4 kg</t>
  </si>
  <si>
    <t>NAJAMUDDIN KHAIRUR RIJAL</t>
  </si>
  <si>
    <t>7307050401910002</t>
  </si>
  <si>
    <t>SINJAI</t>
  </si>
  <si>
    <t>JALAN RAYA TLOGOMAS NO. 246</t>
  </si>
  <si>
    <t>nkhairurrijal@gmail.com</t>
  </si>
  <si>
    <t>ZULFIYAH</t>
  </si>
  <si>
    <t>7307035807920001</t>
  </si>
  <si>
    <t>085108775445</t>
  </si>
  <si>
    <t>IRT/WIRASWASTA</t>
  </si>
  <si>
    <t>zulfiyahyasin@gmail.com</t>
  </si>
  <si>
    <t>3326-LT-08032017-0018</t>
  </si>
  <si>
    <t>27 Juli 2024</t>
  </si>
  <si>
    <t>SD ISLAM 02 YMI WONOPRINGGO</t>
  </si>
  <si>
    <t>JL. MANYAR DESA KWAGEAN NO. 57 WONOPRINGGO PEKALONGAN</t>
  </si>
  <si>
    <t>0167664172</t>
  </si>
  <si>
    <t>3326121812080006</t>
  </si>
  <si>
    <t>3326156308160001</t>
  </si>
  <si>
    <t>NURUS SHIDQIYA SAJIDAH</t>
  </si>
  <si>
    <t>QIYA</t>
  </si>
  <si>
    <t>PEKALONGAN</t>
  </si>
  <si>
    <t>23 AGUSTUS 2016</t>
  </si>
  <si>
    <t>PERUM. MUTIARA JINGGA RESIDENCE A19</t>
  </si>
  <si>
    <t>082134367894</t>
  </si>
  <si>
    <t>KHAIRUDIN / ALI MASHURI</t>
  </si>
  <si>
    <t>3326121705760001</t>
  </si>
  <si>
    <t>TRANGGALEK</t>
  </si>
  <si>
    <t>17 MEI 1976</t>
  </si>
  <si>
    <t>JL. VETERAN NO. 10-11</t>
  </si>
  <si>
    <t>0341-575755</t>
  </si>
  <si>
    <t>alimashuri76@ub.sc.id</t>
  </si>
  <si>
    <t>ZURBIS ZIRO'ATI / ESTI ZADUQISTI</t>
  </si>
  <si>
    <t>3326125712770001</t>
  </si>
  <si>
    <t>17 DESEMBER 1977</t>
  </si>
  <si>
    <t>081931173182</t>
  </si>
  <si>
    <t>estizaduqisti@gmail.com</t>
  </si>
  <si>
    <t>3507-LT-11022021-01740</t>
  </si>
  <si>
    <t>JALAN KUTILANG NGIJO KARANGPLOSO</t>
  </si>
  <si>
    <t>3507230404170003</t>
  </si>
  <si>
    <t>3507232406160004</t>
  </si>
  <si>
    <t>PANJI NAUFAL RAMADHANIS</t>
  </si>
  <si>
    <t>PANJI</t>
  </si>
  <si>
    <t>PERUM. GRIYA PERMATA ALAM BLOK FB-40</t>
  </si>
  <si>
    <t>± 3 km</t>
  </si>
  <si>
    <t>082245910207</t>
  </si>
  <si>
    <t>ANDIK SUYATNO</t>
  </si>
  <si>
    <t>3507181108760002</t>
  </si>
  <si>
    <t>081336486356</t>
  </si>
  <si>
    <t>PT.KOPESERA ENGINERING</t>
  </si>
  <si>
    <t>JALAN JEMBAWAN 21 KEL.MANGLIAWAN KEC.PAKIS KAB.MALANG</t>
  </si>
  <si>
    <t>2.660.000</t>
  </si>
  <si>
    <t>SYLVIE AGESTY WULANSARI</t>
  </si>
  <si>
    <t>3507186208850002</t>
  </si>
  <si>
    <t>Sylvieagesty62@gmail.com</t>
  </si>
  <si>
    <t>SDIT SMART QUR'ANI</t>
  </si>
  <si>
    <t xml:space="preserve">JL. ILMAN NASIR LINGKUNGAN SUKABAKTI WAY MENGAKU BALIK BUKIT LAMPUNG BARAT LAMPUNG </t>
  </si>
  <si>
    <t>3160700417</t>
  </si>
  <si>
    <t>3573042003180005</t>
  </si>
  <si>
    <t xml:space="preserve">ADEL </t>
  </si>
  <si>
    <t xml:space="preserve">JL. LOKON NO. 8 </t>
  </si>
  <si>
    <t xml:space="preserve">KARANG BESUKI </t>
  </si>
  <si>
    <t>3601222910820001</t>
  </si>
  <si>
    <t>29 OKTOBER 1982</t>
  </si>
  <si>
    <t>0811162004</t>
  </si>
  <si>
    <t xml:space="preserve">JL. VETERAN NO 5 GAMBIR JAKARTA PUSAT </t>
  </si>
  <si>
    <t xml:space="preserve">RINA PUSPITA SARI </t>
  </si>
  <si>
    <t>3515117001830001</t>
  </si>
  <si>
    <t>30 JANUARI 1983</t>
  </si>
  <si>
    <t>BAMBANG SUGINI</t>
  </si>
  <si>
    <t>17 JULI 1957</t>
  </si>
  <si>
    <t>081334337043</t>
  </si>
  <si>
    <t xml:space="preserve">PENSIUNAN DOSEN </t>
  </si>
  <si>
    <t>3507-LT-27032017-0180</t>
  </si>
  <si>
    <t>TK LABORATORIUM UM</t>
  </si>
  <si>
    <t>JL. MAGELANG NO 2 MALANG</t>
  </si>
  <si>
    <t>0163100184</t>
  </si>
  <si>
    <t>3507230403110022</t>
  </si>
  <si>
    <t>3507235010160003</t>
  </si>
  <si>
    <t>RETNO AYU PURBANINGRUM TITIS PRAMANA</t>
  </si>
  <si>
    <t xml:space="preserve">NINGRUM </t>
  </si>
  <si>
    <t>JL. SUNIMBAR DUSUN BABATAN NO 32</t>
  </si>
  <si>
    <t>081329313556</t>
  </si>
  <si>
    <t xml:space="preserve">INDONESIA - JAWA </t>
  </si>
  <si>
    <t>PRAMONO</t>
  </si>
  <si>
    <t>3372052608760002</t>
  </si>
  <si>
    <t>08122645016</t>
  </si>
  <si>
    <t>DOSEN UM</t>
  </si>
  <si>
    <t>JL. SEMARANG NO 5 SUMBERSARI KEC. LOWOKWARU KOTA MALANG JAWA TIMUR 65145</t>
  </si>
  <si>
    <t>pramono.fip@um.ac.id</t>
  </si>
  <si>
    <t>IKA DIANA PUSPITA SARI</t>
  </si>
  <si>
    <t>3372055504770001</t>
  </si>
  <si>
    <t>GURU PAUD</t>
  </si>
  <si>
    <t>PAUD MATAHARI</t>
  </si>
  <si>
    <t>WUNUTSARI RT 12 RW 04 DESA TEGALGONDO KEC. KARANGPLOSO KABUPATEN MALANG</t>
  </si>
  <si>
    <t>ikadianapuspitasari@gmail.com</t>
  </si>
  <si>
    <t>3579-LT-21022018-0001</t>
  </si>
  <si>
    <t>3579031612160001</t>
  </si>
  <si>
    <t>ROIS GHOLIN AL-ISYQY</t>
  </si>
  <si>
    <t>OIS</t>
  </si>
  <si>
    <t xml:space="preserve">PERUM NADIA RESIDENCE A17
JL. IR. SUKARNO </t>
  </si>
  <si>
    <t>6.7 km</t>
  </si>
  <si>
    <t>14.5 kg</t>
  </si>
  <si>
    <t>AKHMAD FATAH YASIN</t>
  </si>
  <si>
    <t>IMAJINER ARSITEK</t>
  </si>
  <si>
    <t>PERUM NADIA RESIDENCE A17
JL. IR. SUKARNO KOTA BATU</t>
  </si>
  <si>
    <t>Afys789@gmail.com</t>
  </si>
  <si>
    <t>YULINDA</t>
  </si>
  <si>
    <t>SDN PENDEM 01</t>
  </si>
  <si>
    <t>JL. DRS. MOHAMMAD HATTA NO. 118 PENDEM KOTA BATU</t>
  </si>
  <si>
    <t>0341463166</t>
  </si>
  <si>
    <t>Yulindanahwi@gmail.com</t>
  </si>
  <si>
    <t>Akhmad Fatah Yasin</t>
  </si>
  <si>
    <t>Gresik</t>
  </si>
  <si>
    <t>Arsitek</t>
  </si>
  <si>
    <t>Perum Nadia Residence A17</t>
  </si>
  <si>
    <t>Kota Batu</t>
  </si>
  <si>
    <t>3517-LT-10072018-0044</t>
  </si>
  <si>
    <t>TK NURUL IMAN</t>
  </si>
  <si>
    <t>PERUMAHAN BUMI MONDOROKO RAYA BLOK GP 1/7 SINGOSARI MALANG</t>
  </si>
  <si>
    <t>3517041503120044</t>
  </si>
  <si>
    <t>3517042204170002</t>
  </si>
  <si>
    <t>SHOLAHUDDIN LUQMAN WIBISONO</t>
  </si>
  <si>
    <t>WIBI</t>
  </si>
  <si>
    <t>PERUMAHAN BUMI MONDOROKO RAYA BLOK GN 1/6 SINGOSARI MALANG</t>
  </si>
  <si>
    <t>WATU GEDE</t>
  </si>
  <si>
    <t>08125257483 / 081333986677</t>
  </si>
  <si>
    <t>EDY PRAYITNO</t>
  </si>
  <si>
    <t>3517041005790003</t>
  </si>
  <si>
    <t>081333986677</t>
  </si>
  <si>
    <t xml:space="preserve">KONSULTAN </t>
  </si>
  <si>
    <t>PERUMAHAN GRIYA SHANTA BLOK G 404 MALANG
RT 01 RW 15 KEL. MOJOLANGU, KECAMATAN LOWOKWARU, KOTA MALANG</t>
  </si>
  <si>
    <t>edy.nabilapalupi@gmail.com</t>
  </si>
  <si>
    <t>NOVIANTI FADILLA SOEWARNO</t>
  </si>
  <si>
    <t>3517045010770001</t>
  </si>
  <si>
    <t>08125257483</t>
  </si>
  <si>
    <t>snoopysoewarno@gmail.com</t>
  </si>
  <si>
    <t>3520-LU-12062017-0015</t>
  </si>
  <si>
    <t>TK NURUL JADID</t>
  </si>
  <si>
    <t>JL. ROGONOTO TIMUR RT.01 RW.04, TAMANHARJO, KEC. SINGOSARI, KAB. MALANG PROV. JAWA TIMUR</t>
  </si>
  <si>
    <t>3507242509180008</t>
  </si>
  <si>
    <t>3520102805170001</t>
  </si>
  <si>
    <t>AHDA IKMALUDDIIN MU'IZZ</t>
  </si>
  <si>
    <t>3D</t>
  </si>
  <si>
    <t>AHDA</t>
  </si>
  <si>
    <t>PERUMAHAN PURI FIRDAUS BLOK H3, JALAN LANGSEP DESA PENDEM KEC. JUNREJO, KOTA BATU</t>
  </si>
  <si>
    <t>085216856482</t>
  </si>
  <si>
    <t>AZIS NUGROHO</t>
  </si>
  <si>
    <t>3521060907860001</t>
  </si>
  <si>
    <t xml:space="preserve">NGAWI </t>
  </si>
  <si>
    <t>081364417431</t>
  </si>
  <si>
    <t>PANGKALAN UDARA ABDUL RAHMAN SALEH</t>
  </si>
  <si>
    <t>JALAN KOMODOR UDARA ABDUL RAHMAN SALEH, DESA SAPTORENGGO, KEC. PAKIS, KAB. MALANG</t>
  </si>
  <si>
    <t>0341 101028</t>
  </si>
  <si>
    <t>azisaja800@gmail.com</t>
  </si>
  <si>
    <t>LINDA FITROTUL MUZAYANAH</t>
  </si>
  <si>
    <t>3520104102920001</t>
  </si>
  <si>
    <t>PNS BMKG</t>
  </si>
  <si>
    <t>BMKG STASIUN KLIMATOLOGI MALANG</t>
  </si>
  <si>
    <t>JL. ZENTANA NO.33, KRAJAN, NGIJO, KEC. KARANG PLOSO, KABUPATEN MALANG, JAWA TIMUR 65152</t>
  </si>
  <si>
    <t>(0341) 464827</t>
  </si>
  <si>
    <t>3,5 JUTA</t>
  </si>
  <si>
    <t>fitrotullinda@gmail.com</t>
  </si>
  <si>
    <t>3507-LT-07112016-0054</t>
  </si>
  <si>
    <t>JL BULUTANGKIS NO 123 KOTA MALANG</t>
  </si>
  <si>
    <t>3507232704110003</t>
  </si>
  <si>
    <t>3507231503160002</t>
  </si>
  <si>
    <t>AHMAD DHARMA AVICENNA</t>
  </si>
  <si>
    <t>SENA</t>
  </si>
  <si>
    <t>TIRTASANI ROYAL RESORT HH1A/7 KARANGPLOSO KAB MALANG 65152</t>
  </si>
  <si>
    <t>3.5 km</t>
  </si>
  <si>
    <t>081249355802</t>
  </si>
  <si>
    <t>NANANG IZZUDDIN</t>
  </si>
  <si>
    <t>3578022506790003</t>
  </si>
  <si>
    <t>087851442242</t>
  </si>
  <si>
    <t>TELUU LLP.</t>
  </si>
  <si>
    <t>WWW.TELUU.COM</t>
  </si>
  <si>
    <t>nanang.izzuddin@gmail.com</t>
  </si>
  <si>
    <t>FAJAR ARININGTIYAS</t>
  </si>
  <si>
    <t>3578084504790002</t>
  </si>
  <si>
    <t xml:space="preserve">  </t>
  </si>
  <si>
    <t>fariningtiyas@gmail.com</t>
  </si>
  <si>
    <t>3578-LT-28082019-0097</t>
  </si>
  <si>
    <t>3578101306160002</t>
  </si>
  <si>
    <t>3578105111160007</t>
  </si>
  <si>
    <t>AISYAH VIONA AZKADINA</t>
  </si>
  <si>
    <t>VIONA</t>
  </si>
  <si>
    <t>JAWARA LAND BLOK D NO 36</t>
  </si>
  <si>
    <t>PT. HARPAG NIAGA HUTAMA</t>
  </si>
  <si>
    <t>JALAN BALAI DESA KEPUHARJO NO 36 H</t>
  </si>
  <si>
    <t>0341 5034300</t>
  </si>
  <si>
    <t>10.000.0000</t>
  </si>
  <si>
    <t>novan.gandhi@gmail.com</t>
  </si>
  <si>
    <t>Ike.fahriana@gmail.com</t>
  </si>
  <si>
    <t>3573-LU-06102016-0022</t>
  </si>
  <si>
    <t>3573053009160006</t>
  </si>
  <si>
    <t>3573055508160000</t>
  </si>
  <si>
    <t>ALMAHYRA ISNUNA PRIMADI</t>
  </si>
  <si>
    <t>NUNA</t>
  </si>
  <si>
    <t>PATRALAND PLACE A1-19</t>
  </si>
  <si>
    <t>081233004111</t>
  </si>
  <si>
    <t>HERDIN PRIMADI</t>
  </si>
  <si>
    <t>3507221411850001</t>
  </si>
  <si>
    <t>081233928111</t>
  </si>
  <si>
    <t xml:space="preserve">PT.PP </t>
  </si>
  <si>
    <t>YOHANA DIAS MALIDA</t>
  </si>
  <si>
    <t>3573025903880002</t>
  </si>
  <si>
    <t>3573-LT-13042017-0013</t>
  </si>
  <si>
    <t>0165417050</t>
  </si>
  <si>
    <t>3573050307160005</t>
  </si>
  <si>
    <t>ALTAF MAHESA BIMASAKTI</t>
  </si>
  <si>
    <t>ALTAF</t>
  </si>
  <si>
    <t>JL. AKORDION 24C</t>
  </si>
  <si>
    <t>35 kg</t>
  </si>
  <si>
    <t>SOLUZYMEDIA ADVERTISING</t>
  </si>
  <si>
    <t>JL. AKORDION 24C RT.02 RW.01 LOWOKWARU MALANG 65143</t>
  </si>
  <si>
    <t>081336111136</t>
  </si>
  <si>
    <t>soluzymedia@yahoo.com</t>
  </si>
  <si>
    <t>3573-LU-11082016-0013</t>
  </si>
  <si>
    <t>3573051905160005</t>
  </si>
  <si>
    <t>3573056707160002</t>
  </si>
  <si>
    <t>ANDHARA AZ ZAHRA</t>
  </si>
  <si>
    <t>DHARA</t>
  </si>
  <si>
    <t>JALAN VINOLIA NO 13</t>
  </si>
  <si>
    <t>082231319729</t>
  </si>
  <si>
    <t>YAN RACHMAD HIDAYAT</t>
  </si>
  <si>
    <t>3573042512880001</t>
  </si>
  <si>
    <t>081253143464</t>
  </si>
  <si>
    <t>PT.INTI KARYA PERSADA TEKNIK</t>
  </si>
  <si>
    <t>JALAN MT HARYONO KAVLING 4-5 WISMA IKPT JAKARTA</t>
  </si>
  <si>
    <t>0218292177</t>
  </si>
  <si>
    <t>yanrachmad@gmail.com</t>
  </si>
  <si>
    <t>DIAN RISKA KURNIASARI</t>
  </si>
  <si>
    <t>3573055006880001</t>
  </si>
  <si>
    <t>darazahra1006@gmail.com</t>
  </si>
  <si>
    <t>3573-LT-04022019-0027</t>
  </si>
  <si>
    <t>TK NEGERI PEMBINA 1 MALANG</t>
  </si>
  <si>
    <t>JL CIBOGO MALANG</t>
  </si>
  <si>
    <t>3573051310150019</t>
  </si>
  <si>
    <t>3573051206160005</t>
  </si>
  <si>
    <t>ARZACHEL ALVARO NAUFAL</t>
  </si>
  <si>
    <t>ARCEL</t>
  </si>
  <si>
    <t>GROBOGAN</t>
  </si>
  <si>
    <t>JL. JOYO SUKO TIMUR 8</t>
  </si>
  <si>
    <t>082133789928</t>
  </si>
  <si>
    <t>082139800126</t>
  </si>
  <si>
    <t>MUHAMMAD NAUFAL AMRILLAH</t>
  </si>
  <si>
    <t>3517092506910002</t>
  </si>
  <si>
    <t>CV. SETUNGGAL PUTRA ABADI</t>
  </si>
  <si>
    <t>JL JOYO SUKO TIMUR 8 MERJOSARI MALANG</t>
  </si>
  <si>
    <t>nofalamrillah@gmail.com</t>
  </si>
  <si>
    <t>NUR HIDAYATIKA</t>
  </si>
  <si>
    <t>3315065806910003</t>
  </si>
  <si>
    <t>TOKO SETUNGGAL JAYA</t>
  </si>
  <si>
    <t>JL JOYO SUKO TIMUR 8 B</t>
  </si>
  <si>
    <t>tikaamrillah2@gmail.com</t>
  </si>
  <si>
    <t>LULUK ARIFAH</t>
  </si>
  <si>
    <t>Probolinggo</t>
  </si>
  <si>
    <t>081252211211</t>
  </si>
  <si>
    <t>Jl. Masjid rondokuning</t>
  </si>
  <si>
    <t>Kraksaan</t>
  </si>
  <si>
    <t>Probolinggi</t>
  </si>
  <si>
    <t>3579-LU-30112016-0004</t>
  </si>
  <si>
    <t>TK PLUS HIDAYATUR ROHMAH</t>
  </si>
  <si>
    <t>JL. PANDERMAN GG. V  RT 04 RW 01 PENDEM JUNREJO BATU</t>
  </si>
  <si>
    <t>3579032305130001</t>
  </si>
  <si>
    <t>3579036311160001</t>
  </si>
  <si>
    <t>BAHIYYA NAILA NAJA</t>
  </si>
  <si>
    <t>NAILA</t>
  </si>
  <si>
    <t>JL. PANDAWA III/6</t>
  </si>
  <si>
    <t>4,4 km</t>
  </si>
  <si>
    <t>085755189326</t>
  </si>
  <si>
    <t>MIMISAN KARENA PEMBULUH DARAH DI HIDUNG TIPIS, SEKARANG SUDAH JARANG</t>
  </si>
  <si>
    <t>JAWA - INDONESIA</t>
  </si>
  <si>
    <t>MULYONO</t>
  </si>
  <si>
    <t>3573022406790006</t>
  </si>
  <si>
    <t>08125281918</t>
  </si>
  <si>
    <t>PT.KAI</t>
  </si>
  <si>
    <t>STASIUN NGEBRUK KEC. SUMBERPUCUNG KAB. MALANG</t>
  </si>
  <si>
    <t>mulyono704@gmail.com</t>
  </si>
  <si>
    <t>CHUSNUL CHOTIMAH</t>
  </si>
  <si>
    <t>3579036404770006</t>
  </si>
  <si>
    <t>SMK PGRI 3 MALANG</t>
  </si>
  <si>
    <t>JL. RAYA TLOGOMAS IX/29 MALANG</t>
  </si>
  <si>
    <t>(0341)554383</t>
  </si>
  <si>
    <t>chuz.c24@gmail.com</t>
  </si>
  <si>
    <t>NAKAGYO MOEGI YOCHIEN</t>
  </si>
  <si>
    <t>601-1 KUSUNOKICHO, NAKAGYO WARD, KYOTO, JEPANG</t>
  </si>
  <si>
    <t>0163321449</t>
  </si>
  <si>
    <t>3525161711150003</t>
  </si>
  <si>
    <t>3525160905160001</t>
  </si>
  <si>
    <t>BARMASTYA RUYI IMAWAN</t>
  </si>
  <si>
    <t>RUYI</t>
  </si>
  <si>
    <t>JALAN ARUMBA, ARUMBA UTAMA RESIDENCE NO. H-2</t>
  </si>
  <si>
    <t>0,4 km</t>
  </si>
  <si>
    <t>081259726446</t>
  </si>
  <si>
    <t>24,4 kg</t>
  </si>
  <si>
    <t>ARDI IMAWAN</t>
  </si>
  <si>
    <t>3525161905890001</t>
  </si>
  <si>
    <t>081216035009</t>
  </si>
  <si>
    <t>PT. DOT INDONESIA</t>
  </si>
  <si>
    <t>PERMATA HIJAU A15, KELURAHAN TLOGOMAS, KECAMATAN LOWOKWARU, KOTA MALANG</t>
  </si>
  <si>
    <t>ardiimawan@gmail.com</t>
  </si>
  <si>
    <t>IRAWATI NURMALA SARI</t>
  </si>
  <si>
    <t>3571014805910007</t>
  </si>
  <si>
    <t>irawati.ns@gmail.com</t>
  </si>
  <si>
    <t>ZIO</t>
  </si>
  <si>
    <t>3573-LU-15012016-0012</t>
  </si>
  <si>
    <t>JL. JOYO AGUNG  NO. 57-58 MERJOSARI MALANG</t>
  </si>
  <si>
    <t>3573052811180005</t>
  </si>
  <si>
    <t>3573052412150001</t>
  </si>
  <si>
    <t>FARIDZ BIYAN AL FATIH</t>
  </si>
  <si>
    <t>BIYAN</t>
  </si>
  <si>
    <t>JL. MT. HARYONO 8 NO. 1005 MALANG</t>
  </si>
  <si>
    <t>2, 4 km</t>
  </si>
  <si>
    <t>0341-582603</t>
  </si>
  <si>
    <t>AWAN SUBIYANTORO</t>
  </si>
  <si>
    <t>6408041912790001</t>
  </si>
  <si>
    <t>081346432151</t>
  </si>
  <si>
    <t>PT. KPC</t>
  </si>
  <si>
    <t>KECAMATAN SANGATTA UTARA KABUPATEN KUTAI TIMUR</t>
  </si>
  <si>
    <t>Rp. 4.000.000</t>
  </si>
  <si>
    <t>Lintang.gumitir@yahoo.com</t>
  </si>
  <si>
    <t>SITI SAFIYAH YUNIARTI SALAMPESSY</t>
  </si>
  <si>
    <t>3573052906860001</t>
  </si>
  <si>
    <t>082157946263</t>
  </si>
  <si>
    <t>Fifyaja@gmail.com</t>
  </si>
  <si>
    <t>3573-LU-25052016-0012</t>
  </si>
  <si>
    <t>JL.IKAN KAKAP NO.90 TUNJUNGSEKAR</t>
  </si>
  <si>
    <t>357305051220001</t>
  </si>
  <si>
    <t>3573055705160001</t>
  </si>
  <si>
    <t>GEASYA RAQILLA ALIANA HAFIDZAH</t>
  </si>
  <si>
    <t>GEA</t>
  </si>
  <si>
    <t>PERUM PATRALAND PLACE B1-12 JL. RENANG</t>
  </si>
  <si>
    <t>2.5 km</t>
  </si>
  <si>
    <t>081291011973</t>
  </si>
  <si>
    <t>GATOT WAHJONO</t>
  </si>
  <si>
    <t>3578031106720004</t>
  </si>
  <si>
    <t>081210473973</t>
  </si>
  <si>
    <t>PELAUT</t>
  </si>
  <si>
    <t xml:space="preserve"> PT.PELAYARAN VISIP INDONESIA</t>
  </si>
  <si>
    <t>KIRANA BOUTIQUE OFFICE BLOK F2 NO.5. KELAPA GADING-JAKARTA UTARA</t>
  </si>
  <si>
    <t>gatotwahjono72.gw@gmail.com</t>
  </si>
  <si>
    <t>EASY SAFIRA</t>
  </si>
  <si>
    <t>3524264910830001</t>
  </si>
  <si>
    <t>SMKN 13 MALANG</t>
  </si>
  <si>
    <t>PERUM VILLA BUKIT TIDAR BLOK A2-13.MERJOSARI</t>
  </si>
  <si>
    <t>Rp.2.000.000</t>
  </si>
  <si>
    <t>Safira1083@gmail.com</t>
  </si>
  <si>
    <t>Achmad Yasa'</t>
  </si>
  <si>
    <t>Lamongan</t>
  </si>
  <si>
    <t>3507-LT-19012017-0151</t>
  </si>
  <si>
    <t>KB-TK AL MADANI</t>
  </si>
  <si>
    <t>JL. KOMUD ABD SALEH, PERUMAHAN PONDOK WISATA, KEC. PAKIS</t>
  </si>
  <si>
    <t>0161390717</t>
  </si>
  <si>
    <t>3507181404160013</t>
  </si>
  <si>
    <t>3507182308160006</t>
  </si>
  <si>
    <t>GERDA PARAMA WISESA CAHYONO</t>
  </si>
  <si>
    <t>GERDA</t>
  </si>
  <si>
    <t>KOMPLEK AMARTA BLOK I-8, LANUD ABDULRACHMAN SALEH</t>
  </si>
  <si>
    <t>140 cm</t>
  </si>
  <si>
    <t>DWI ARI CAHYONO</t>
  </si>
  <si>
    <t>PENERBANG TNI AU</t>
  </si>
  <si>
    <t>SKADRON UDARA 21, WING 2-LANUD ABDULRACHMAN SALEH</t>
  </si>
  <si>
    <t>dwi.aric8333@gmail.com</t>
  </si>
  <si>
    <t>PUTRI FATMA LESTARI</t>
  </si>
  <si>
    <t>Neni Hendriani Triyani</t>
  </si>
  <si>
    <t>Bandung</t>
  </si>
  <si>
    <t>082215664596</t>
  </si>
  <si>
    <t>Jl. Imperial II, Kampoeng Dago 2 Residence Kav.12</t>
  </si>
  <si>
    <t>Dago</t>
  </si>
  <si>
    <t>Coblong</t>
  </si>
  <si>
    <t>11 Juli 2024</t>
  </si>
  <si>
    <t>KUTTAB AL-FATIH MALANG</t>
  </si>
  <si>
    <t>JL. JAMBU NO. 2, PERUM ICONIC RESIDENCE BLOK D1 NO. 10F, SEMANDING, SUMBERSEKAR, DAU, KABUPATEN MALANG</t>
  </si>
  <si>
    <t>3573010310120007</t>
  </si>
  <si>
    <t>3573014204170006</t>
  </si>
  <si>
    <t>HANIFAH DIANA ADZKIA</t>
  </si>
  <si>
    <t>HANI</t>
  </si>
  <si>
    <t>JL. TITAN I / AA.10</t>
  </si>
  <si>
    <t>HAJAR SUGIHANTORO, S.Farm., Apt., MPH</t>
  </si>
  <si>
    <t>16 DESEMBER 1985</t>
  </si>
  <si>
    <t>NI'MATUL ADAWIYAH, Amd. Farm</t>
  </si>
  <si>
    <t>3573-LU-26042016-0017</t>
  </si>
  <si>
    <t>3573051204110019</t>
  </si>
  <si>
    <t>3573052803160001</t>
  </si>
  <si>
    <t>HASAN MUSTHOFA SANYOTO</t>
  </si>
  <si>
    <t>HASAN</t>
  </si>
  <si>
    <t>JL ARUMBA PERMAI NO 4</t>
  </si>
  <si>
    <t>081334561474</t>
  </si>
  <si>
    <t>HERMAN SANYOTO</t>
  </si>
  <si>
    <t>3573051108790003</t>
  </si>
  <si>
    <t>081225389111</t>
  </si>
  <si>
    <t>EXXON MOBIL CEPU LIMITED</t>
  </si>
  <si>
    <t>EMY SUDARWATI</t>
  </si>
  <si>
    <t>3573055404830003</t>
  </si>
  <si>
    <t xml:space="preserve">JL VETERAN </t>
  </si>
  <si>
    <t>emoy_sanyoto@ub.ac.id</t>
  </si>
  <si>
    <t>3573-LU-04012017-022</t>
  </si>
  <si>
    <t>0164045504</t>
  </si>
  <si>
    <t>3573041705130006</t>
  </si>
  <si>
    <t>3573040211160001</t>
  </si>
  <si>
    <t>KEANU NARYAMA SIDQEI</t>
  </si>
  <si>
    <t>KEANU</t>
  </si>
  <si>
    <t>PERUM PATRA GARDEN RESIDENCE BLOK ASOKA NO. 31</t>
  </si>
  <si>
    <t>2,1 km</t>
  </si>
  <si>
    <t>RSUD DR SAIFUL ANWAR</t>
  </si>
  <si>
    <t>JLN JA SUPRAPTO</t>
  </si>
  <si>
    <t>edofebriansiah23@gmail.com</t>
  </si>
  <si>
    <t>APOTEK</t>
  </si>
  <si>
    <t>johanyputriaperdana@gmail.com</t>
  </si>
  <si>
    <t>3573-LU-01122016-0003</t>
  </si>
  <si>
    <t>3573021406160003</t>
  </si>
  <si>
    <t>3573020211160001</t>
  </si>
  <si>
    <t>KENAR DAEGAL JOHAN</t>
  </si>
  <si>
    <t xml:space="preserve">KEN </t>
  </si>
  <si>
    <t>J.TERUSAN PANDERMAN NO.17 DS PENDEM KEC.JUNREJO KOTA BATU</t>
  </si>
  <si>
    <t>8 km</t>
  </si>
  <si>
    <t>087759761290</t>
  </si>
  <si>
    <t>087759761290 / 087759761287</t>
  </si>
  <si>
    <t>ERIK JOHAN</t>
  </si>
  <si>
    <t>3573021809870005</t>
  </si>
  <si>
    <t>087759761287</t>
  </si>
  <si>
    <t>PERAWAT</t>
  </si>
  <si>
    <t>RSSA MALANG</t>
  </si>
  <si>
    <t>JL. JAKSA AGUNG SUPRAPTO NO. 2, KLOJEN, MALANG, JAWA TIMUR, INDONESIA</t>
  </si>
  <si>
    <t xml:space="preserve"> (0341) 362101</t>
  </si>
  <si>
    <t>jheric807@gmail.com</t>
  </si>
  <si>
    <t>IKA RIZKI ANGGRAINI</t>
  </si>
  <si>
    <t>3505095503900002</t>
  </si>
  <si>
    <t xml:space="preserve">JALAN BENDUNGAN SUTAMI 188 A </t>
  </si>
  <si>
    <t>0341 551253.</t>
  </si>
  <si>
    <t>ikarizki@umm.ac.id</t>
  </si>
  <si>
    <t>3579-LT-15052018-0028</t>
  </si>
  <si>
    <t xml:space="preserve"> TK PERMATA IMAN 1</t>
  </si>
  <si>
    <t>JLN BATU PERMATA NO 9 TLOGOMAS MALANG</t>
  </si>
  <si>
    <t>3579032404180002</t>
  </si>
  <si>
    <t>3579034110160004</t>
  </si>
  <si>
    <t>KYARA KEYSENSIA PUTRI</t>
  </si>
  <si>
    <t>KYARA</t>
  </si>
  <si>
    <t xml:space="preserve">PERUM GRAHA REJEKI AGUNG D6 </t>
  </si>
  <si>
    <t>MOJOREJO</t>
  </si>
  <si>
    <t>7.5 km</t>
  </si>
  <si>
    <t>082219267756</t>
  </si>
  <si>
    <t>WAHYU ROMADHONY</t>
  </si>
  <si>
    <t>3579010506850003</t>
  </si>
  <si>
    <t>081287001940</t>
  </si>
  <si>
    <t>PT PRIVATE COMMONICATION</t>
  </si>
  <si>
    <t>JALAN HAJI NOMIN NOMOR 12A, RT 11 RW 10 KELURAHAN KUKUSAN KECAMATAN BEJI, DEPOK, JAWA BARAT.</t>
  </si>
  <si>
    <t>Wahyuroma@gmail.com</t>
  </si>
  <si>
    <t>SEPTITA DWI PUTRI</t>
  </si>
  <si>
    <t>3507224509870002</t>
  </si>
  <si>
    <t>Whyta.rom@gmail.con</t>
  </si>
  <si>
    <t>3507-LT-16082021-0010</t>
  </si>
  <si>
    <t>3166945872</t>
  </si>
  <si>
    <t>3507232910090529</t>
  </si>
  <si>
    <t>3507232312160002</t>
  </si>
  <si>
    <t>MUHAMMAD ALFA RIZQY PUTRA AGUNG</t>
  </si>
  <si>
    <t>FARIZ</t>
  </si>
  <si>
    <t>DSN KARANGJUWET</t>
  </si>
  <si>
    <t>5,9 km</t>
  </si>
  <si>
    <t>AGUNG FAMBUDI</t>
  </si>
  <si>
    <t>3579011310930000</t>
  </si>
  <si>
    <t>10/13/1993</t>
  </si>
  <si>
    <t>087842051929</t>
  </si>
  <si>
    <t>Agungfambudi013@icloud.com</t>
  </si>
  <si>
    <t>KARIMATUL MILA</t>
  </si>
  <si>
    <t>3507236309930001</t>
  </si>
  <si>
    <t>081917172023</t>
  </si>
  <si>
    <t>Kharimatulmila9@gmail.com</t>
  </si>
  <si>
    <t>MUSCHSAN</t>
  </si>
  <si>
    <t>3507230101590040</t>
  </si>
  <si>
    <t>Jl kr juwet</t>
  </si>
  <si>
    <t>3573-LT-24112016-0004</t>
  </si>
  <si>
    <t>3573012611140001</t>
  </si>
  <si>
    <t>3573010805160004</t>
  </si>
  <si>
    <t>MUHAMMAD IBRAHIM NABIL AL HABIBIE</t>
  </si>
  <si>
    <t xml:space="preserve">BAIM </t>
  </si>
  <si>
    <t>PERUM CITRA IKAN NILA NO. 19</t>
  </si>
  <si>
    <t>085232443464</t>
  </si>
  <si>
    <t>YOPI ISWANTO</t>
  </si>
  <si>
    <t>3573010210910003</t>
  </si>
  <si>
    <t>081805174101</t>
  </si>
  <si>
    <t>BANK INDONESIA</t>
  </si>
  <si>
    <t>JL. MERDEKA UTARA NO 7</t>
  </si>
  <si>
    <t>0341366054</t>
  </si>
  <si>
    <t>yopiquesta@gmail.com</t>
  </si>
  <si>
    <t>ULESTA ZULFANA</t>
  </si>
  <si>
    <t>3573016704920003</t>
  </si>
  <si>
    <t>ulesta.studio8@gmail.com</t>
  </si>
  <si>
    <t>3507-LT-13012017-0032</t>
  </si>
  <si>
    <t>3507231807140006</t>
  </si>
  <si>
    <t>3507235211160001</t>
  </si>
  <si>
    <t>ILA</t>
  </si>
  <si>
    <t>PERUMAHAN TIRTASANI ROYAL RESORT HH28 KARANGPLOSO</t>
  </si>
  <si>
    <t>081326720020</t>
  </si>
  <si>
    <t>HAFIDZ PURWA KUSUMA</t>
  </si>
  <si>
    <t>3507010110830001</t>
  </si>
  <si>
    <t>081233050450</t>
  </si>
  <si>
    <t>PT PJB SERVICES</t>
  </si>
  <si>
    <t>JL. RAYA BANDARA JUANDA NO.17, SEMAMBUNG, SIDOARJO, KABUPATEN SIDOARJO, JAWA TIMUR 61253</t>
  </si>
  <si>
    <t>(031) 8548391</t>
  </si>
  <si>
    <t>Hafidz_pk@pjbservices.com</t>
  </si>
  <si>
    <t>NOVI KURNIANINGSIH</t>
  </si>
  <si>
    <t>3374024711820003</t>
  </si>
  <si>
    <t>DOKTER PNS</t>
  </si>
  <si>
    <t>RSUD SAIFUL ANWAR</t>
  </si>
  <si>
    <t>JL J.A SUPRAPTO NO 2 KLOJEN MALANG</t>
  </si>
  <si>
    <t>Novikurnianingsih@yahoo.com</t>
  </si>
  <si>
    <t>3573-LT-02122016-0002</t>
  </si>
  <si>
    <t>PERUM GRIYA SANTA BLOK K-331 MALANG</t>
  </si>
  <si>
    <t>0167182415</t>
  </si>
  <si>
    <t>3573050502140007</t>
  </si>
  <si>
    <t>3573056804160002</t>
  </si>
  <si>
    <t>MIKHAYLA HAFZA FARASTI</t>
  </si>
  <si>
    <t>MIKHA</t>
  </si>
  <si>
    <t>PERMATA JINGGA BLOK PINUS NO 24</t>
  </si>
  <si>
    <t>2,2 km</t>
  </si>
  <si>
    <t>081233882918</t>
  </si>
  <si>
    <t>PILEK, DIARE</t>
  </si>
  <si>
    <t>FARIZ KURNIAWAN</t>
  </si>
  <si>
    <t>3573012402830008</t>
  </si>
  <si>
    <t>089524259912</t>
  </si>
  <si>
    <t>PT. CITRA ESSENCIA ENGINEERING</t>
  </si>
  <si>
    <t>JL. TERUSAN BOROBUDUR KAV.7 (RUKO BARAT ISTANA BUAH KAV.G) MALANG 65142</t>
  </si>
  <si>
    <t>Rp 6.000.000,-</t>
  </si>
  <si>
    <t>farizkurnia@yahoo.com</t>
  </si>
  <si>
    <t>ASRI ISTIANTI DEVI</t>
  </si>
  <si>
    <t>3204065205850004</t>
  </si>
  <si>
    <t>DINAS PERTANAHAN KABUPATEN MALANG</t>
  </si>
  <si>
    <t>JL. SARANGAN NO 9 KOTA MALANG</t>
  </si>
  <si>
    <t>0341-409001</t>
  </si>
  <si>
    <t>Rp.6.000.000,-</t>
  </si>
  <si>
    <t>asri.istianti@gmail.com</t>
  </si>
  <si>
    <t>3507-LT-19072017-0051</t>
  </si>
  <si>
    <t>3507232210150002</t>
  </si>
  <si>
    <t>3507233006160002</t>
  </si>
  <si>
    <t>MUHAMMAD RAFFA NARYA RAMADHAN</t>
  </si>
  <si>
    <t>JALAN PULAUMAS KEPUHARJO</t>
  </si>
  <si>
    <t>085655533736</t>
  </si>
  <si>
    <t>BAHASA JAWA BAHASA INDONESIA</t>
  </si>
  <si>
    <t>MUHAMMAD ZAINUDIN</t>
  </si>
  <si>
    <t>3507231205920003</t>
  </si>
  <si>
    <t>BENGKEL</t>
  </si>
  <si>
    <t>maydiaquliatul@sekolahanaksaleh.sch.id</t>
  </si>
  <si>
    <t>MAYDIA QULIATUL AFIFAH</t>
  </si>
  <si>
    <t>3507234505930001</t>
  </si>
  <si>
    <t>JALAN ARUMBA NO 31</t>
  </si>
  <si>
    <t>3507-LT-17072017-0068</t>
  </si>
  <si>
    <t>TK ABA 33 KARANGPLOSO</t>
  </si>
  <si>
    <t>PERM GPA KARANGPLOSO</t>
  </si>
  <si>
    <t>0168444440</t>
  </si>
  <si>
    <t>3507232710140004</t>
  </si>
  <si>
    <t>3507231712160004</t>
  </si>
  <si>
    <t>MUHAMMAD HAYKAL ABHISEVA</t>
  </si>
  <si>
    <t>SEVA</t>
  </si>
  <si>
    <t>PERUMAHAN GRIYA PERMATA ALAM BLOK KO.12</t>
  </si>
  <si>
    <t>081336226202</t>
  </si>
  <si>
    <t>DWI BUDI SANTOSO</t>
  </si>
  <si>
    <t>3526123005860001</t>
  </si>
  <si>
    <t>082112393724</t>
  </si>
  <si>
    <t>PT. GUDANG GARAM .TBK</t>
  </si>
  <si>
    <t>PT. GUDANG GARAM DIREKTORAT PRODUKSI GEMPOL 
DUSUN KALIPUTIH, SUMBERSUKO, GEMPOL
SUMBERSUKO, GEMPOL
PASURUAN
JAWA TIMUR 67157
INDONESIA</t>
  </si>
  <si>
    <t>dwi.budi191105@gmail.com</t>
  </si>
  <si>
    <t>NURI HERDIYANIE</t>
  </si>
  <si>
    <t>3507235307860001</t>
  </si>
  <si>
    <t>PT. BNI (PERSERO) TBK</t>
  </si>
  <si>
    <t>BNI KANTOR WILAYAH MALANG
JL. BASUKI RAHMAT NO.75-77 MALANG</t>
  </si>
  <si>
    <t>nuriherdiyanie@gmail.com</t>
  </si>
  <si>
    <t>3517-LU-17072017-0007</t>
  </si>
  <si>
    <t>3517091405170001</t>
  </si>
  <si>
    <t>MUHAMMAD SAFARAZ RAYYAN ARDIANTO</t>
  </si>
  <si>
    <t>SAFARAZ / FARAZ</t>
  </si>
  <si>
    <t>PERUM PERMATA JINGGA BLOK PINANG NO. 03</t>
  </si>
  <si>
    <t>20,1 kg</t>
  </si>
  <si>
    <t>08 JULI 2025</t>
  </si>
  <si>
    <t>3573052710220007</t>
  </si>
  <si>
    <t>3507235304170003</t>
  </si>
  <si>
    <t>3507232002800002</t>
  </si>
  <si>
    <t>20 DESEMBER 1980</t>
  </si>
  <si>
    <t>085235647353</t>
  </si>
  <si>
    <t>3507235306830003</t>
  </si>
  <si>
    <t>3170774107</t>
  </si>
  <si>
    <t>3172064502170003</t>
  </si>
  <si>
    <t>NAUREEN AISYAH SYAQILLA ALMAHYRA MUBARAK</t>
  </si>
  <si>
    <t>NAUREEN</t>
  </si>
  <si>
    <t>3507-LT-22012018-0105</t>
  </si>
  <si>
    <t>3507231107130006</t>
  </si>
  <si>
    <t>3507234308160001</t>
  </si>
  <si>
    <t>QUEENSHA AISHWARYA KHARISMA</t>
  </si>
  <si>
    <t>QUEENSHA</t>
  </si>
  <si>
    <t>JALAN RAYA NGIJO NO 60A</t>
  </si>
  <si>
    <t>081233076684</t>
  </si>
  <si>
    <t>SINGGIH KHARISMA ARISTYAWAN</t>
  </si>
  <si>
    <t>3507232508860001</t>
  </si>
  <si>
    <t>081233076685</t>
  </si>
  <si>
    <t>JOYO AGUNG 3</t>
  </si>
  <si>
    <t>JL JOYO AGUNG III, NO 9 TLOGOMAS, KEC LOWOKWARU, KOTA MALANG</t>
  </si>
  <si>
    <t>singgihkharisma@gmail.com</t>
  </si>
  <si>
    <t>ARINA RESTIAN</t>
  </si>
  <si>
    <t>3505105406880001</t>
  </si>
  <si>
    <t>UNIVERSITAS MUHAMMADYAH MALANG</t>
  </si>
  <si>
    <t>JALAN RAYA TLOGOMAS NO 246 MALANG</t>
  </si>
  <si>
    <t>Rp 4.000.000</t>
  </si>
  <si>
    <t>arestian@umm.ac.id</t>
  </si>
  <si>
    <t xml:space="preserve">SDIT AL HIDAYAH SUMENEP </t>
  </si>
  <si>
    <t xml:space="preserve">JL. SIWALAN D/H KH. AGUS SALIM PANGARANGAN SUMENEP </t>
  </si>
  <si>
    <t>3573051309160001</t>
  </si>
  <si>
    <t>3573050603170002</t>
  </si>
  <si>
    <t xml:space="preserve">RAFA </t>
  </si>
  <si>
    <t>6 MARET 2017</t>
  </si>
  <si>
    <t xml:space="preserve">JL. IKAN GURAMI NO. 11 B </t>
  </si>
  <si>
    <t xml:space="preserve">dr. ARIEF SATRIYO RAHARJO </t>
  </si>
  <si>
    <t>3529013005900003</t>
  </si>
  <si>
    <t>30 MEI 1990</t>
  </si>
  <si>
    <t>082334104398</t>
  </si>
  <si>
    <t xml:space="preserve">S1 </t>
  </si>
  <si>
    <t xml:space="preserve">RSUD SAIFUL ANWAR </t>
  </si>
  <si>
    <t xml:space="preserve">ariefsatriyo@gmail.com </t>
  </si>
  <si>
    <t xml:space="preserve">FERISA HESTIA RANY </t>
  </si>
  <si>
    <t>3573054711900004</t>
  </si>
  <si>
    <t>087859804116</t>
  </si>
  <si>
    <t xml:space="preserve">PUSKESMAS RUBARU SUMENEP </t>
  </si>
  <si>
    <t xml:space="preserve">JL. RAYA RUBARU SUMENEP </t>
  </si>
  <si>
    <t xml:space="preserve">Ranyzha@gmail.com </t>
  </si>
  <si>
    <t>3575-LU-03112016-0003</t>
  </si>
  <si>
    <t>TK HIDAYATULLAH</t>
  </si>
  <si>
    <t>JL. PANGLIMA SUDIRMAN NO.115 KEC. PURWOREJO KOTA PASURUAN</t>
  </si>
  <si>
    <t>3575032703140005</t>
  </si>
  <si>
    <t>3575031009160001</t>
  </si>
  <si>
    <t>RAGA MUSLIM NUSANTARA</t>
  </si>
  <si>
    <t>RAGA</t>
  </si>
  <si>
    <t>JL. ANGGUR 9 NO. H7/02 BUGUL PERMAI</t>
  </si>
  <si>
    <t>BUGUL KIDUL</t>
  </si>
  <si>
    <t>08563600340</t>
  </si>
  <si>
    <t>46 kg</t>
  </si>
  <si>
    <t>JAWA ,INDONESIA</t>
  </si>
  <si>
    <t>ADITYA BAGUS PERMANA</t>
  </si>
  <si>
    <t>3575032907870004</t>
  </si>
  <si>
    <t>PT. NESTLE INDONESIA</t>
  </si>
  <si>
    <t>JL. RAYA PASURUAN - MALANG KM.10, KEC.KEJAYAN, KAB. PASURUAN</t>
  </si>
  <si>
    <t>dariilhamramadhan@gmail.com</t>
  </si>
  <si>
    <t>RIMA DEWI AVIANTI</t>
  </si>
  <si>
    <t>3575025604870001</t>
  </si>
  <si>
    <t>085546797100</t>
  </si>
  <si>
    <t>JL. MT HARYONO NO.167 ,KEC. LOWOKWARU ,KOTA MALANG</t>
  </si>
  <si>
    <t>(0341) 587711</t>
  </si>
  <si>
    <t>18 JULI 2022</t>
  </si>
  <si>
    <t>TAMAGAWA</t>
  </si>
  <si>
    <t>9 CHOME-6-63 NOJI, KUSATSU, SHIGA 525-0059</t>
  </si>
  <si>
    <t>0155770748</t>
  </si>
  <si>
    <t>3573051607130007</t>
  </si>
  <si>
    <t>3573052904150002</t>
  </si>
  <si>
    <t>AHMAD BILAL DARMADYA</t>
  </si>
  <si>
    <t>4A</t>
  </si>
  <si>
    <t>BILAL</t>
  </si>
  <si>
    <t>Jalan Tirto Agung no.48</t>
  </si>
  <si>
    <t>Merjosari</t>
  </si>
  <si>
    <t>Kota Malang</t>
  </si>
  <si>
    <t>08179704853</t>
  </si>
  <si>
    <t>Indonesia</t>
  </si>
  <si>
    <t>BUDI DARMA SETIAWAN</t>
  </si>
  <si>
    <t>5108061510840006</t>
  </si>
  <si>
    <t>Singaraja</t>
  </si>
  <si>
    <t>Islam</t>
  </si>
  <si>
    <t>Dosen</t>
  </si>
  <si>
    <t>Universitas Brawijaya</t>
  </si>
  <si>
    <t>Jalan Veteran no.8, Kota Malang</t>
  </si>
  <si>
    <t>s.budididarma.others@gmail.com</t>
  </si>
  <si>
    <t>HANIFA VIDYA RIZANTI</t>
  </si>
  <si>
    <t>6474016010920004</t>
  </si>
  <si>
    <t>Bontang</t>
  </si>
  <si>
    <t>089678768850</t>
  </si>
  <si>
    <t>rumah</t>
  </si>
  <si>
    <t>sama dengan alamat rumah</t>
  </si>
  <si>
    <t>hanifa</t>
  </si>
  <si>
    <t>TK AL AZHAR KIDS WORLD</t>
  </si>
  <si>
    <t>JL. RAYA LANGSEP NO.18 BARENG</t>
  </si>
  <si>
    <t>3158625323</t>
  </si>
  <si>
    <t>3573040112140007</t>
  </si>
  <si>
    <t>3573046712150002</t>
  </si>
  <si>
    <t>ALMEERA QAIREEN FERRYANTO</t>
  </si>
  <si>
    <t>AMIYA</t>
  </si>
  <si>
    <t xml:space="preserve">Jl. Raya candi 2a no.340b </t>
  </si>
  <si>
    <t>Karang besuki</t>
  </si>
  <si>
    <t>Sukun</t>
  </si>
  <si>
    <t>087859928461</t>
  </si>
  <si>
    <t>081333833311</t>
  </si>
  <si>
    <t>Bahasa Indonesia</t>
  </si>
  <si>
    <t>FERRY ANDI SUSANTO, A.Md</t>
  </si>
  <si>
    <t>3573041002900005</t>
  </si>
  <si>
    <t>Pedagang</t>
  </si>
  <si>
    <t>Jl. Raya candi 2 no.251 rt.05 rw.02 karangbesuki sukun malang</t>
  </si>
  <si>
    <t>5 jt</t>
  </si>
  <si>
    <t>Ferryas10@gmail.com</t>
  </si>
  <si>
    <t>VITA VALIANTA, A.Md</t>
  </si>
  <si>
    <t>3205017001900002</t>
  </si>
  <si>
    <t>Garut</t>
  </si>
  <si>
    <t>Tidak bekerja</t>
  </si>
  <si>
    <t>valianta.vita@gmail.com</t>
  </si>
  <si>
    <t>TK AR ROHMA PUTRI</t>
  </si>
  <si>
    <t>JL. RAYA JAMBU N0 01 SEMANDING SUMBERSEKAR DAU MALAMNG</t>
  </si>
  <si>
    <t>3160381132</t>
  </si>
  <si>
    <t>3507222406090001</t>
  </si>
  <si>
    <t>3507226002160001</t>
  </si>
  <si>
    <t>ALYA AZIZAH PUTRI</t>
  </si>
  <si>
    <t>ALYA</t>
  </si>
  <si>
    <t xml:space="preserve">PERUM PUNCAK PERMATA SENGKALING i NO 4 </t>
  </si>
  <si>
    <t>081330318741</t>
  </si>
  <si>
    <t>TAUFIKUR RAHMAN,S.H</t>
  </si>
  <si>
    <t>3507221309840003</t>
  </si>
  <si>
    <t>082230922286</t>
  </si>
  <si>
    <t>Jalan A.P. III Katjoeng Permadi No. 16, Junrejo, Kec. Junrejo, Kota Batu, Jawa Timur 65321</t>
  </si>
  <si>
    <t>taufikurrahman.taufik321@gmail.com</t>
  </si>
  <si>
    <t>VIVID ANDY RISMAWATI ,A.Md.Kep</t>
  </si>
  <si>
    <t>3507225103860003</t>
  </si>
  <si>
    <t>PERAWAT / PNS</t>
  </si>
  <si>
    <t>PUSKESMAS BEJI BATU</t>
  </si>
  <si>
    <t>JL IR.SOEKARNO NO 30 BEJI JUNREJO BATU</t>
  </si>
  <si>
    <t>vivid.andyrismawati@gmail.com</t>
  </si>
  <si>
    <t>11 Juli 2023</t>
  </si>
  <si>
    <t xml:space="preserve">SDN ARJASA I </t>
  </si>
  <si>
    <t xml:space="preserve">JL. PP AL HIDAYAH NO. 30 </t>
  </si>
  <si>
    <t>3153276629</t>
  </si>
  <si>
    <t xml:space="preserve">3573050608150013 </t>
  </si>
  <si>
    <t>3573054907150001</t>
  </si>
  <si>
    <t xml:space="preserve">AMIRA FATIHA GHINA </t>
  </si>
  <si>
    <t xml:space="preserve">GHINA </t>
  </si>
  <si>
    <t xml:space="preserve">09 JULI 2015 </t>
  </si>
  <si>
    <t xml:space="preserve">8 TH </t>
  </si>
  <si>
    <t xml:space="preserve">WNI </t>
  </si>
  <si>
    <t xml:space="preserve">JL. LONCAT INDAH 09 </t>
  </si>
  <si>
    <t xml:space="preserve">1,6 KM </t>
  </si>
  <si>
    <t xml:space="preserve">DEMAM, BATUK, PILEK, RADANG TENGGOROKAN </t>
  </si>
  <si>
    <t xml:space="preserve">LUDIANSYAH, SH., Msi </t>
  </si>
  <si>
    <t xml:space="preserve">SUKAMARGA </t>
  </si>
  <si>
    <t xml:space="preserve">07 FEBRUARI 1982 </t>
  </si>
  <si>
    <t xml:space="preserve">HAKIM </t>
  </si>
  <si>
    <t xml:space="preserve">MAHKAMAH AGUNG </t>
  </si>
  <si>
    <t>RP. 20.000.000</t>
  </si>
  <si>
    <t xml:space="preserve">ALLYSA UMILAILI SHENTA PUTRI ASYTRIKA, SE </t>
  </si>
  <si>
    <t>23 JANUARI 1987</t>
  </si>
  <si>
    <t xml:space="preserve">DJUNAIDI </t>
  </si>
  <si>
    <t xml:space="preserve">MADIUN </t>
  </si>
  <si>
    <t>15 OKTOBER 1956</t>
  </si>
  <si>
    <t xml:space="preserve">AKUNG/KAKEK </t>
  </si>
  <si>
    <t>TK PERMATA IMAN I</t>
  </si>
  <si>
    <t>JL. BATU PERMATA NO. 9 TLOGO MAS MALANG</t>
  </si>
  <si>
    <t>0158345302</t>
  </si>
  <si>
    <t>3579035012150001</t>
  </si>
  <si>
    <t>APSARI AULIA MADANI</t>
  </si>
  <si>
    <t>APSA</t>
  </si>
  <si>
    <t>Jl. Tasrip No. 9A Dadaptulis Dalam</t>
  </si>
  <si>
    <t>082232923775</t>
  </si>
  <si>
    <t>DOSEN/KONSULTAN</t>
  </si>
  <si>
    <t>JL. DANAU BRATAN IV NO. 28 MADYOPURO, KEDUNGKANDANG, MALANG</t>
  </si>
  <si>
    <t>35181141006800008</t>
  </si>
  <si>
    <t>JL. TASRIP NO. 9A</t>
  </si>
  <si>
    <t>JALAN. CANDI PANGGUNG INDAH</t>
  </si>
  <si>
    <t>3275040603070073</t>
  </si>
  <si>
    <t>3275041311150004</t>
  </si>
  <si>
    <t>ARSY AFLAHUL GHIFARY SYAHYU</t>
  </si>
  <si>
    <t>ARSY</t>
  </si>
  <si>
    <t>Royal Tasikmadu Residance. No . D1</t>
  </si>
  <si>
    <t>Tasikmadu</t>
  </si>
  <si>
    <t>2 kg</t>
  </si>
  <si>
    <t>085363620687</t>
  </si>
  <si>
    <t>Apt. PEVI SANDI TIAS, S. Si</t>
  </si>
  <si>
    <t>3275042706860011</t>
  </si>
  <si>
    <t>Jakarta</t>
  </si>
  <si>
    <t>081210229896</t>
  </si>
  <si>
    <t>Apoteker/ karyawan swasta</t>
  </si>
  <si>
    <t>PT. Nestle</t>
  </si>
  <si>
    <t>sandi2786@gmail.com</t>
  </si>
  <si>
    <t>Apt. RAHMAWATI, S. Farm</t>
  </si>
  <si>
    <t>1312034408860002</t>
  </si>
  <si>
    <t>Pasaman</t>
  </si>
  <si>
    <t xml:space="preserve">Apoteker </t>
  </si>
  <si>
    <t>Rs Lavalette</t>
  </si>
  <si>
    <t>Jl. Wr supratman. No 10</t>
  </si>
  <si>
    <t>rahmawati.amuik@gmail.com</t>
  </si>
  <si>
    <t>Muhammad Autar</t>
  </si>
  <si>
    <t>Ujung gading</t>
  </si>
  <si>
    <t>Pondok bambu</t>
  </si>
  <si>
    <t>Jakarta Timur</t>
  </si>
  <si>
    <t>JL. KEBEN NO.2 SUKUN MALANG</t>
  </si>
  <si>
    <t>0162432380</t>
  </si>
  <si>
    <t>3573044904160002</t>
  </si>
  <si>
    <t>ATHAYA MARYAM PUERDINKA</t>
  </si>
  <si>
    <t>AYYA</t>
  </si>
  <si>
    <t>Gruya tanjung priok jaya 1 no.E12 sukun Malang</t>
  </si>
  <si>
    <t>Bakalan krajan</t>
  </si>
  <si>
    <t>12km</t>
  </si>
  <si>
    <t>31kg</t>
  </si>
  <si>
    <t>MUH MUCHLIS ABDILLAH, A.Md</t>
  </si>
  <si>
    <t>Keryawan BUMN</t>
  </si>
  <si>
    <t>Jl ketintang Baru I No. 1-3 surabaya</t>
  </si>
  <si>
    <t>ANIKA FITRIANA MABON, S.T</t>
  </si>
  <si>
    <t>3573036605880004</t>
  </si>
  <si>
    <t>Blitar</t>
  </si>
  <si>
    <t>Griya tanjung priok jaya 1 no E12</t>
  </si>
  <si>
    <t>00000000</t>
  </si>
  <si>
    <t>MUSLIMAT 5</t>
  </si>
  <si>
    <t>JL. SUMATERA NO. 5 PLANDI JOMBANG</t>
  </si>
  <si>
    <t>0151219516</t>
  </si>
  <si>
    <t>3517092805150001</t>
  </si>
  <si>
    <t>BIMO ALVARONIZAM WILBERT</t>
  </si>
  <si>
    <t>BIMO</t>
  </si>
  <si>
    <t>Jalan Ciliwung Airdas 14/28</t>
  </si>
  <si>
    <t>Purwantoro</t>
  </si>
  <si>
    <t>Blimbing</t>
  </si>
  <si>
    <t>5.5km</t>
  </si>
  <si>
    <t>17.6</t>
  </si>
  <si>
    <t>BATUK, PILEK, DIARE</t>
  </si>
  <si>
    <t>DUTA SATRYA WIDODO, S. Kom</t>
  </si>
  <si>
    <t>Karyawan Swasta</t>
  </si>
  <si>
    <t>ASIA PULP and PAPER</t>
  </si>
  <si>
    <t xml:space="preserve">Sinar Mas Land Plaza Tower II 15th Floor Jl. MH Thamrin No. 51 Jakarta 10350 </t>
  </si>
  <si>
    <t>021 29650800 ext 21748</t>
  </si>
  <si>
    <t>12 juta</t>
  </si>
  <si>
    <t>EMIRIA CALLISTA</t>
  </si>
  <si>
    <t>Merauke</t>
  </si>
  <si>
    <t>Ibur Rumah Tangga</t>
  </si>
  <si>
    <t>emiriacallista@gmail.com</t>
  </si>
  <si>
    <t>JL BATU PERMATA 9 TLOGOMAS MALANG</t>
  </si>
  <si>
    <t>3156069858</t>
  </si>
  <si>
    <t>3507220311080007</t>
  </si>
  <si>
    <t>3507221810150001</t>
  </si>
  <si>
    <t>DYLAN ATHAYA DZIHNI</t>
  </si>
  <si>
    <t>DYLAN</t>
  </si>
  <si>
    <t>Jl Durian No. 14 Dermo</t>
  </si>
  <si>
    <t>Mulyoagung</t>
  </si>
  <si>
    <t>Dau</t>
  </si>
  <si>
    <t>6,8</t>
  </si>
  <si>
    <t>0341460414</t>
  </si>
  <si>
    <t>081334649532</t>
  </si>
  <si>
    <t xml:space="preserve">15,5 </t>
  </si>
  <si>
    <t xml:space="preserve">Jarang demam, batuk, pilek. </t>
  </si>
  <si>
    <t>Donny Wahyu Wijaya, ST., MAP</t>
  </si>
  <si>
    <t>3507221908810003</t>
  </si>
  <si>
    <t>081334649531</t>
  </si>
  <si>
    <t>Kelurahan Kebonsari</t>
  </si>
  <si>
    <t>Jl S. Supriadi No. 15 Malang</t>
  </si>
  <si>
    <t>0341 801925</t>
  </si>
  <si>
    <t>donnywahyu26@gmail.com</t>
  </si>
  <si>
    <t>Aswidati Rahayuningtyas, ST</t>
  </si>
  <si>
    <t>3507224209800004</t>
  </si>
  <si>
    <t>PT Organon Pharma Indonesia Tbk.</t>
  </si>
  <si>
    <t>Jl Raya Pandaan KM 48 Pandaan Pasuruan 67156</t>
  </si>
  <si>
    <t>031 60040700</t>
  </si>
  <si>
    <t>aswidati@gmail.com</t>
  </si>
  <si>
    <t>JL.CANDI PANGGUNG INDAH NO.1-3 MOJOLANGU MALANG</t>
  </si>
  <si>
    <t>0166404211</t>
  </si>
  <si>
    <t>3573051402120027</t>
  </si>
  <si>
    <t>3573056903160002</t>
  </si>
  <si>
    <t>FAIZA AZZAHRA</t>
  </si>
  <si>
    <t>FAIZA</t>
  </si>
  <si>
    <t>jl.akordion utara A15 perumahan permata land tunggulwulung malang</t>
  </si>
  <si>
    <t>tunggulwulung</t>
  </si>
  <si>
    <t>lowokwaru</t>
  </si>
  <si>
    <t>kota malang</t>
  </si>
  <si>
    <t>081234844303</t>
  </si>
  <si>
    <t>21.7</t>
  </si>
  <si>
    <t>indonesia</t>
  </si>
  <si>
    <t>Eka kadharpa utama dewayani, SE, MM</t>
  </si>
  <si>
    <t>3573032209850004</t>
  </si>
  <si>
    <t>082132755915</t>
  </si>
  <si>
    <t>dosen</t>
  </si>
  <si>
    <t>UMM</t>
  </si>
  <si>
    <t>Jl.raya tlogomas no. 246  tlogomas malang 65144</t>
  </si>
  <si>
    <t>ekadarpa21@gmail.com</t>
  </si>
  <si>
    <t>dr.Annisa'Hasanah, M.Si</t>
  </si>
  <si>
    <t>3573056801850001</t>
  </si>
  <si>
    <t>Jember</t>
  </si>
  <si>
    <t>dokter</t>
  </si>
  <si>
    <t>RS UMM</t>
  </si>
  <si>
    <t>Jl.raya tlogomas no.45 Malang</t>
  </si>
  <si>
    <t>(0341) 561666</t>
  </si>
  <si>
    <t>nisa.dr28@yahoo.com</t>
  </si>
  <si>
    <t>JL. BATU PERMATA NO 9 TLOGOMAS</t>
  </si>
  <si>
    <t>0137029945</t>
  </si>
  <si>
    <t>3507222810130002</t>
  </si>
  <si>
    <t>3507222009150001</t>
  </si>
  <si>
    <t>GANENDRA ARYASATYA KUSUMAJAYA</t>
  </si>
  <si>
    <t>ARYA</t>
  </si>
  <si>
    <t>New Villa Bukit Sengkaling Blok C6 No 5</t>
  </si>
  <si>
    <t>Landungsari</t>
  </si>
  <si>
    <t>9,4 Km</t>
  </si>
  <si>
    <t>20 Kg</t>
  </si>
  <si>
    <t>ADI KUSUMAJAYA, S.Sn</t>
  </si>
  <si>
    <t>Wiraswasta/Owner</t>
  </si>
  <si>
    <t>Insta Photobooth&amp;Studio Malang</t>
  </si>
  <si>
    <t>Jl Raya Jetis No 118</t>
  </si>
  <si>
    <t>&gt;10.000.000</t>
  </si>
  <si>
    <t>Adi.kusumajaya@gmail.com</t>
  </si>
  <si>
    <t>SUNDARI KARTIKASARI, S.E.</t>
  </si>
  <si>
    <t>CV.Insta Kaya Sejahtera</t>
  </si>
  <si>
    <t>Jl.Raya Jetis 118</t>
  </si>
  <si>
    <t>Sundari.Kartika.Sari@gmail.com</t>
  </si>
  <si>
    <t>Dwi Hastaryo,M.H.</t>
  </si>
  <si>
    <t>Jaksa</t>
  </si>
  <si>
    <t>New Villa Bukit Sengkaling Blok C2 No 12</t>
  </si>
  <si>
    <t>16 DESEMBER 2024</t>
  </si>
  <si>
    <t>SD SEKOLAH ALAM INSAN MULIA SURABAYA</t>
  </si>
  <si>
    <t>JL. MEDOKAN SEMAMPIR INDAH NO.99-101, MEDOKAN SEMAMPIR, KEC. SUKOLILO, SURABAYA</t>
  </si>
  <si>
    <t>0134851182</t>
  </si>
  <si>
    <t>3573052611150002</t>
  </si>
  <si>
    <t>3573050601160001</t>
  </si>
  <si>
    <t>GIBRAN VIGI MUTTAQIN</t>
  </si>
  <si>
    <t>6 JANUARI 2016</t>
  </si>
  <si>
    <t>PERUM PERMATA SAXOFONE F 21/JL. SAXOFONE</t>
  </si>
  <si>
    <t>SUGIONO</t>
  </si>
  <si>
    <t>3573021407760002</t>
  </si>
  <si>
    <t>14 JULI 1976</t>
  </si>
  <si>
    <t>VIVI AYU KUSUMA NINGRUM</t>
  </si>
  <si>
    <t>3578106910810005</t>
  </si>
  <si>
    <t>MAKASAR</t>
  </si>
  <si>
    <t>29 OKTOBER 1981</t>
  </si>
  <si>
    <t>28 JULI 2023</t>
  </si>
  <si>
    <t>SD NEGERI 5 KALIREJO LAWANG</t>
  </si>
  <si>
    <t>JL. SUMBER WUNI SELATAN NO. 52A GG. KLUWIH KEL. KALIREJO, KEC. LAWANG, KAB. MALANG</t>
  </si>
  <si>
    <t>3155563763</t>
  </si>
  <si>
    <t>3507250207190010</t>
  </si>
  <si>
    <t>3507252104150007</t>
  </si>
  <si>
    <t>HANAN MAULANA SHIDDIQ</t>
  </si>
  <si>
    <t>HANAN</t>
  </si>
  <si>
    <t>JL. SUMBER KEMBAR GG MANGGAR 118 A</t>
  </si>
  <si>
    <t>KALIREJO</t>
  </si>
  <si>
    <t>65216</t>
  </si>
  <si>
    <t>EKO MARFIDHI SUSETYO</t>
  </si>
  <si>
    <t>3507251803900001</t>
  </si>
  <si>
    <t>18 MARET 1990</t>
  </si>
  <si>
    <t>YAYASAN PENDIDIKAN ANAK SALEH</t>
  </si>
  <si>
    <t>JL. CANDI PANGGUNG NO. 1-3</t>
  </si>
  <si>
    <t>NINING ISWAHYUNI</t>
  </si>
  <si>
    <t>3515104509900001</t>
  </si>
  <si>
    <t>26 Juni 2024</t>
  </si>
  <si>
    <t xml:space="preserve">SDIT PERMATA MADANI </t>
  </si>
  <si>
    <t xml:space="preserve">JL. PENDIDIKAN BUKIT DAGO NO. 26, CIBARENGKOK, RT 03 RW 03, PENGASINAN, GUNUNGSINDUR, BOGOR </t>
  </si>
  <si>
    <t>3674071504161003</t>
  </si>
  <si>
    <t>3674076209160003</t>
  </si>
  <si>
    <t xml:space="preserve">HIRA NAHDA SOFYAN </t>
  </si>
  <si>
    <t xml:space="preserve">NAHDA </t>
  </si>
  <si>
    <t xml:space="preserve">TANGERANG SELATAN </t>
  </si>
  <si>
    <t xml:space="preserve">PERUMAHAN BUKIT CEMARA TUJUH BLOK A3 </t>
  </si>
  <si>
    <t xml:space="preserve">2-3 KM </t>
  </si>
  <si>
    <t xml:space="preserve">MUHAMMAD IDHAM SOFYAN </t>
  </si>
  <si>
    <t>3674072301870003</t>
  </si>
  <si>
    <t xml:space="preserve">JAKARTA </t>
  </si>
  <si>
    <t>082113031490</t>
  </si>
  <si>
    <t xml:space="preserve">UNIVERSITAS BINA NUSANTARA (BINUS) MALANG </t>
  </si>
  <si>
    <t xml:space="preserve">JL. ARAYA MANSION NO. 8 - 22, TIRTOMOYO, PAKIS, MALANG </t>
  </si>
  <si>
    <t>0341-3036969</t>
  </si>
  <si>
    <t>8.000.000-10.000.000</t>
  </si>
  <si>
    <t xml:space="preserve">idhamsofyan87@gmail.com </t>
  </si>
  <si>
    <t>TITIS SETYAWARDANI</t>
  </si>
  <si>
    <t>3507224704880001</t>
  </si>
  <si>
    <t>081333003661</t>
  </si>
  <si>
    <t xml:space="preserve">PPM MANAJEMEN </t>
  </si>
  <si>
    <t xml:space="preserve">JL. MENTENG RAYA NO. 9 </t>
  </si>
  <si>
    <t>021-2300313</t>
  </si>
  <si>
    <t xml:space="preserve">10-13 JUTA </t>
  </si>
  <si>
    <t xml:space="preserve">titis.setyawardani@gmail.com </t>
  </si>
  <si>
    <t>RAUDHATUL ATHFAL AL JAUHAR</t>
  </si>
  <si>
    <t>PERUM PERMATA REGENCY 1 BLOK 21 NO. 15-16. NGIJO. KARANGPLOSO. KAB MALANG</t>
  </si>
  <si>
    <t>3158904293</t>
  </si>
  <si>
    <t>3507272102110001</t>
  </si>
  <si>
    <t>3507271305150002</t>
  </si>
  <si>
    <t>KANAKA ARGANTA BRAMANTYO</t>
  </si>
  <si>
    <t>NAKA</t>
  </si>
  <si>
    <t>PERUM PERMATA REGENCY I BLOK 21 NO. 12 A</t>
  </si>
  <si>
    <t>KURANG LEBIH 5 KM</t>
  </si>
  <si>
    <t>081333456663 / 08121736468</t>
  </si>
  <si>
    <t>112 CM</t>
  </si>
  <si>
    <t>JARANG SAKIT</t>
  </si>
  <si>
    <t>TRIO YUDI PRASETYO. ST</t>
  </si>
  <si>
    <t>3579010206820002</t>
  </si>
  <si>
    <t>081333456663</t>
  </si>
  <si>
    <t>PABRIK MINUMAN</t>
  </si>
  <si>
    <t>Jl. RAYA PASURUAN - MALANG KM 11
Desa Pacarkeling, Kecamatan Kejayan. Kab. Pasuruan</t>
  </si>
  <si>
    <t>0343-414200</t>
  </si>
  <si>
    <t>riolanang11@gmail.com</t>
  </si>
  <si>
    <t>RENA AGUSTINA, ST</t>
  </si>
  <si>
    <t>3507276108820001</t>
  </si>
  <si>
    <t>08121736468</t>
  </si>
  <si>
    <t>kanayaelvaretta19@gmail.com</t>
  </si>
  <si>
    <t>TRIO YUDI PRASETYO</t>
  </si>
  <si>
    <t>PERUM PERMATA REGENCY I BLOK 21 NO. 12A</t>
  </si>
  <si>
    <t>13 Oktober 2022</t>
  </si>
  <si>
    <t>SDN TUNGGULWULUNG 3</t>
  </si>
  <si>
    <t>JL. ARUMBA NO. 2 MALANG</t>
  </si>
  <si>
    <t>0156611489</t>
  </si>
  <si>
    <t>3507232009060003</t>
  </si>
  <si>
    <t>3507234508150001</t>
  </si>
  <si>
    <t>KIRANA MUTIA AZZAHRA</t>
  </si>
  <si>
    <t>05 AGUSTUS 2015</t>
  </si>
  <si>
    <t>JL. TAMAN DIHARJO NO. 35</t>
  </si>
  <si>
    <t>SUPRIYONO</t>
  </si>
  <si>
    <t>3507231212670001</t>
  </si>
  <si>
    <t>12 DESEMBER 1967</t>
  </si>
  <si>
    <t>087751660805</t>
  </si>
  <si>
    <t>2,000,000 - 3,000,000</t>
  </si>
  <si>
    <t>silviawulandari90@gmail.com</t>
  </si>
  <si>
    <t xml:space="preserve">ALMH. YUNIK PUSTIKOWATI </t>
  </si>
  <si>
    <t>28 JANUARI 1982</t>
  </si>
  <si>
    <t>SILVIA WULANDARI, A.Md.Keb</t>
  </si>
  <si>
    <t>04 JUNI 1990</t>
  </si>
  <si>
    <t>KAKAK KANDUNG</t>
  </si>
  <si>
    <t>D3 KEBIDANAN</t>
  </si>
  <si>
    <t>24 Juni 2024</t>
  </si>
  <si>
    <t xml:space="preserve">SDIP BAITUL MAAL </t>
  </si>
  <si>
    <t>JL. CEGER RAYA NO. 55, JURANGMANGU TIMUR, PONDOK AREN, TANGERANG SELATAN, BANTEN</t>
  </si>
  <si>
    <t>3674030706210034</t>
  </si>
  <si>
    <t>3573056202160003</t>
  </si>
  <si>
    <t>MAHADHIYA UTARI ASHANA</t>
  </si>
  <si>
    <t>ASHANA</t>
  </si>
  <si>
    <t>TANGERANG SELATAN</t>
  </si>
  <si>
    <t>22 FEBRUARI 2016</t>
  </si>
  <si>
    <t>JL. PESANTREN NO. 153, CLUSTER GREEN RESIDENCE 4</t>
  </si>
  <si>
    <t>JURANGMANGU TIMUR</t>
  </si>
  <si>
    <t>PONDOK AREN</t>
  </si>
  <si>
    <t>KOTA TANGERANG SELATAN</t>
  </si>
  <si>
    <t>085646550694</t>
  </si>
  <si>
    <t>MICHAIL YUSUF AMRI, S.Tr.Ak</t>
  </si>
  <si>
    <t>3303011112870001</t>
  </si>
  <si>
    <t>purbalingga</t>
  </si>
  <si>
    <t>11 DESEMBER 1987</t>
  </si>
  <si>
    <t>085647616665</t>
  </si>
  <si>
    <t>D4</t>
  </si>
  <si>
    <t>PEGAWAI NEGERI SIPIL (PNS)</t>
  </si>
  <si>
    <t>DJP (KPP MALANG UTARA)</t>
  </si>
  <si>
    <t>JL. JAKSA AGUNG SUPRAPTO NO. 29-31</t>
  </si>
  <si>
    <t>0341-364270</t>
  </si>
  <si>
    <t>bocahcilik11@gmail.com</t>
  </si>
  <si>
    <t>ANIK ISNAINI, S.Tr.Ak</t>
  </si>
  <si>
    <t>3573054812860002</t>
  </si>
  <si>
    <t>08 DESEMBER 1986</t>
  </si>
  <si>
    <t>DJP (KPP JAKARTA TAMANSARI)</t>
  </si>
  <si>
    <t>JL. RAYA MANGGA BESAR NO. 52, TAMANSARI, JAKARTA BARAT</t>
  </si>
  <si>
    <t>021-6294547</t>
  </si>
  <si>
    <t>TK. ANAK SALEH</t>
  </si>
  <si>
    <t>0157774687</t>
  </si>
  <si>
    <t>3507242009160010</t>
  </si>
  <si>
    <t>3507240805150006</t>
  </si>
  <si>
    <t>MOCHAMMAD HAIKAL AZZAKY</t>
  </si>
  <si>
    <t>HAIKAL</t>
  </si>
  <si>
    <t>Tirtasani Royal Resort, Cluster Seville S.1A.15, Kepuharjo, Karangploso - Kab. Malang</t>
  </si>
  <si>
    <t>Kepuharjo</t>
  </si>
  <si>
    <t>Karangploso</t>
  </si>
  <si>
    <t>Kab. Malang</t>
  </si>
  <si>
    <t>2,8 km</t>
  </si>
  <si>
    <t>082337304077</t>
  </si>
  <si>
    <t>Bahasa Indonesia dan Bahasa Jawa</t>
  </si>
  <si>
    <t>BAMBANG EKO YUDHOYONO, S.Kom</t>
  </si>
  <si>
    <t>3374061409750004</t>
  </si>
  <si>
    <t>Amlapura</t>
  </si>
  <si>
    <t>CV. Echa Jaya Mandiri</t>
  </si>
  <si>
    <t>Perum. Tirtasani Royal Resort, Cluster Seville S.1A.15</t>
  </si>
  <si>
    <t>Ibbeyyudhoyono@gmail.com</t>
  </si>
  <si>
    <t>EKA SUSANTI, S.Sos</t>
  </si>
  <si>
    <t>3573056309800012</t>
  </si>
  <si>
    <t>Tanjung Pinang</t>
  </si>
  <si>
    <t>081216162277</t>
  </si>
  <si>
    <t>Echa Beauty Skincare</t>
  </si>
  <si>
    <t>Tirtasani Royal Resort, Royal Village 12 No.11-12, Ngenep, Karangploso, Kab. Malang.</t>
  </si>
  <si>
    <t>susantieecha@gmail.com</t>
  </si>
  <si>
    <t>TK SEKOLAH ALAM EXCELLENTIA</t>
  </si>
  <si>
    <t>0152775717</t>
  </si>
  <si>
    <t>3578251508180004</t>
  </si>
  <si>
    <t>1271122809150001</t>
  </si>
  <si>
    <t>MUHAMMAD ARRAFIF YUSUFA</t>
  </si>
  <si>
    <t>ARRAF</t>
  </si>
  <si>
    <t>PERUM OMAH SULAIMAN NO. TOWN-10</t>
  </si>
  <si>
    <t>081370431569</t>
  </si>
  <si>
    <t>082276037795</t>
  </si>
  <si>
    <t>30 KG</t>
  </si>
  <si>
    <t>PILEK, ALERGI DEBU</t>
  </si>
  <si>
    <t>BERDIK AN YUSUFA, S.T.</t>
  </si>
  <si>
    <t>3571011707850008</t>
  </si>
  <si>
    <t>JL. JENDRAL BASUKI RAHMAT NO.100, KLOJEN, KOTA MALANG</t>
  </si>
  <si>
    <t>BERDIKYUSUFA@GMAIL.COM</t>
  </si>
  <si>
    <t>DAVIANTY NUR OCTAVIONY, S.FARM</t>
  </si>
  <si>
    <t>3578256010860001</t>
  </si>
  <si>
    <t>DAVID ISMAYANA</t>
  </si>
  <si>
    <t>08113081761</t>
  </si>
  <si>
    <t>RUNGKUT MAPAN TENGAH 10/DI-21</t>
  </si>
  <si>
    <t>RUNGKUT TENGAH</t>
  </si>
  <si>
    <t>GUNUNG ANYAR</t>
  </si>
  <si>
    <t>KOTA SURABAYA</t>
  </si>
  <si>
    <t>PGTK AL-HUSNA LAWANG</t>
  </si>
  <si>
    <t>PERUMAHAN LAWANG VIEW LAWANG</t>
  </si>
  <si>
    <t>0156884330</t>
  </si>
  <si>
    <t>3507223107150004</t>
  </si>
  <si>
    <t>3507221309150001</t>
  </si>
  <si>
    <t>MUHAMMAD GIBRAN AL ARSY</t>
  </si>
  <si>
    <t xml:space="preserve">Jalan Tirto Utomo gang 14 no 2 Landungsari </t>
  </si>
  <si>
    <t>10km</t>
  </si>
  <si>
    <t>081217793536</t>
  </si>
  <si>
    <t>121cm</t>
  </si>
  <si>
    <t>29kg</t>
  </si>
  <si>
    <t>AGUS TRIONO SAPUTRO,ST</t>
  </si>
  <si>
    <t>3526031111860002</t>
  </si>
  <si>
    <t>Bangkalan</t>
  </si>
  <si>
    <t>081230071619</t>
  </si>
  <si>
    <t>Perumahan Villa Navy Residence</t>
  </si>
  <si>
    <t>Perumahan Villa Navy Residence Lawang Malang</t>
  </si>
  <si>
    <t>3.000.000-4.000.000</t>
  </si>
  <si>
    <t>agusts1186@gmail.com</t>
  </si>
  <si>
    <t>ELISA ANGGRAENY</t>
  </si>
  <si>
    <t>3507224411910004</t>
  </si>
  <si>
    <t>gibranalarsy2015@gmail.com</t>
  </si>
  <si>
    <t>0169831636</t>
  </si>
  <si>
    <t>3573021608071743</t>
  </si>
  <si>
    <t>3573020105160001</t>
  </si>
  <si>
    <t>MUHAMMAD ISMAIL ARTA</t>
  </si>
  <si>
    <t>ISMAIL</t>
  </si>
  <si>
    <t xml:space="preserve">Jl. Kembang kertas IV no.18 </t>
  </si>
  <si>
    <t>5km</t>
  </si>
  <si>
    <t>08563582956</t>
  </si>
  <si>
    <t xml:space="preserve">Dr. dr. H. SUGIHARTA TANDYA, Sp.PK </t>
  </si>
  <si>
    <t>3573020909470001</t>
  </si>
  <si>
    <t>0811367779</t>
  </si>
  <si>
    <t>Dokter</t>
  </si>
  <si>
    <t>Klinik Pratama Tandya</t>
  </si>
  <si>
    <t>Jl. Semeru no.43 Malang</t>
  </si>
  <si>
    <t>+/- 10 jutaan</t>
  </si>
  <si>
    <t>Hj. AMINAH NAJMAH, S.Hi M.Hi M kn</t>
  </si>
  <si>
    <t>3573025605810001</t>
  </si>
  <si>
    <t>Banyuwangi</t>
  </si>
  <si>
    <t>Notaris</t>
  </si>
  <si>
    <t>Kantor notaris</t>
  </si>
  <si>
    <t>Jl. Kawi no 43 malang</t>
  </si>
  <si>
    <t>+/- 7jutaan</t>
  </si>
  <si>
    <t>3157622395</t>
  </si>
  <si>
    <t>3573042810150021</t>
  </si>
  <si>
    <t>3573042512150009</t>
  </si>
  <si>
    <t>MUHAMMAD ZAIDAN SYAMSUDIN</t>
  </si>
  <si>
    <t>ZAIDAN</t>
  </si>
  <si>
    <t>Jl. I. R. Rais XI no. 4</t>
  </si>
  <si>
    <t>Tanjungrejo</t>
  </si>
  <si>
    <t>081217709916</t>
  </si>
  <si>
    <t>18.5</t>
  </si>
  <si>
    <t>Indonesia Jawa</t>
  </si>
  <si>
    <t>SYAMSUDIN</t>
  </si>
  <si>
    <t>3507230608770004</t>
  </si>
  <si>
    <t>081257577093</t>
  </si>
  <si>
    <t>Di rumah</t>
  </si>
  <si>
    <t>+</t>
  </si>
  <si>
    <t>wilzata77@gmail</t>
  </si>
  <si>
    <t xml:space="preserve">NURUL ZAHROH, S. Pd. </t>
  </si>
  <si>
    <t>3573044810780001</t>
  </si>
  <si>
    <t>Guru</t>
  </si>
  <si>
    <t>SMAN 2 Malang</t>
  </si>
  <si>
    <t>Jl. Laksamana Martadinata 84 Malang</t>
  </si>
  <si>
    <t>0341-366311</t>
  </si>
  <si>
    <t>nurulzahroh86@gmail.com</t>
  </si>
  <si>
    <t xml:space="preserve">TK.ANAK SALEH </t>
  </si>
  <si>
    <t xml:space="preserve">JL.CANDI PANGGUNG INDAH NO 1-3 MALANG </t>
  </si>
  <si>
    <t>3153726798</t>
  </si>
  <si>
    <t>3573051204120006</t>
  </si>
  <si>
    <t>3573055107150004</t>
  </si>
  <si>
    <t>NADIA FAIRUZA KAMILA PRIBADI</t>
  </si>
  <si>
    <t>NADIA</t>
  </si>
  <si>
    <t xml:space="preserve">Jl.tenismeja </t>
  </si>
  <si>
    <t xml:space="preserve">Tasikmadu </t>
  </si>
  <si>
    <t xml:space="preserve">3 km </t>
  </si>
  <si>
    <t>082245964973</t>
  </si>
  <si>
    <t xml:space="preserve">121 cm </t>
  </si>
  <si>
    <t xml:space="preserve">Jawa dan bahasa Indonesia </t>
  </si>
  <si>
    <t>AWAL PRIBADI, S.E</t>
  </si>
  <si>
    <t>3573020103730002</t>
  </si>
  <si>
    <t xml:space="preserve">Lumajang </t>
  </si>
  <si>
    <t xml:space="preserve">Islam </t>
  </si>
  <si>
    <t>081230987594</t>
  </si>
  <si>
    <t xml:space="preserve">Wiraswasta </t>
  </si>
  <si>
    <t xml:space="preserve">Di kantor  </t>
  </si>
  <si>
    <t xml:space="preserve">Dwiga regency blok A6/29 mojolangu Lowokwaru Malang </t>
  </si>
  <si>
    <t>0341 485785</t>
  </si>
  <si>
    <t xml:space="preserve">15 juta per bulan </t>
  </si>
  <si>
    <t>Awalpribadi73@gmail.com</t>
  </si>
  <si>
    <t>LINA ROHMAWATI, S.Pd</t>
  </si>
  <si>
    <t>352016480820001</t>
  </si>
  <si>
    <t xml:space="preserve">Magetan </t>
  </si>
  <si>
    <t xml:space="preserve">Di rumah </t>
  </si>
  <si>
    <t xml:space="preserve">Jl.tenis meja RT 02/RW.03 Tasikmadu Lowokwaru Malang </t>
  </si>
  <si>
    <t xml:space="preserve">1juta </t>
  </si>
  <si>
    <t>Linarahmawatii08@gmail.com</t>
  </si>
  <si>
    <t xml:space="preserve">SUTADJI </t>
  </si>
  <si>
    <t>Dsn.Karangrejo</t>
  </si>
  <si>
    <t xml:space="preserve">Dadapan </t>
  </si>
  <si>
    <t xml:space="preserve">Gucialit </t>
  </si>
  <si>
    <t>JL.KEBEN II A NO. 1 SUKUN MALANG</t>
  </si>
  <si>
    <t>3160567074</t>
  </si>
  <si>
    <t>3573040909150004</t>
  </si>
  <si>
    <t>3573044501160004</t>
  </si>
  <si>
    <t>RAISA ARNELITA PUTRI</t>
  </si>
  <si>
    <t>ICA</t>
  </si>
  <si>
    <t>Jl. satsui tubun Gg. kyai makhali</t>
  </si>
  <si>
    <t>Kebonsari</t>
  </si>
  <si>
    <t>Kota malang</t>
  </si>
  <si>
    <t>081332258773</t>
  </si>
  <si>
    <t>18,8 kg</t>
  </si>
  <si>
    <t>Jawa dan indonesia</t>
  </si>
  <si>
    <t>MUHAMMAD DJUNAEDI</t>
  </si>
  <si>
    <t>GARUDA ACCU</t>
  </si>
  <si>
    <t>Jl. Mayjen sungkono no.36, buring</t>
  </si>
  <si>
    <t>5jt-6jt</t>
  </si>
  <si>
    <t>djuneed86@gmail.com</t>
  </si>
  <si>
    <t>IIN HARWATI</t>
  </si>
  <si>
    <t>3573016501870001</t>
  </si>
  <si>
    <t>085100661774</t>
  </si>
  <si>
    <t>Koprasi artha utama</t>
  </si>
  <si>
    <t>Jl. S.supriadi no.49a</t>
  </si>
  <si>
    <t>0341 366160</t>
  </si>
  <si>
    <t>3,5jt</t>
  </si>
  <si>
    <t>SUBANDI</t>
  </si>
  <si>
    <t>Jl. Teluk cendrawasih no. 41a</t>
  </si>
  <si>
    <t>Arjosari</t>
  </si>
  <si>
    <t>JL.CANDI PANGGUNG INDAH NO 1-3 MALANG</t>
  </si>
  <si>
    <t>3166795562</t>
  </si>
  <si>
    <t>3573030403110003</t>
  </si>
  <si>
    <t>3573035205160007</t>
  </si>
  <si>
    <t>SYAQILA ASSYABIYA YURI WIDODO</t>
  </si>
  <si>
    <t>ASSYABIYA</t>
  </si>
  <si>
    <t>Jl.danau bratan timur h3G20</t>
  </si>
  <si>
    <t>Madyopuro</t>
  </si>
  <si>
    <t>Kedungkandang</t>
  </si>
  <si>
    <t>081332606387</t>
  </si>
  <si>
    <t>16.8 kg</t>
  </si>
  <si>
    <t>Untuk pilek atau batuk biasanya krn cuaca</t>
  </si>
  <si>
    <t>Bhs indonesia</t>
  </si>
  <si>
    <t>HERY WIDODO, S.E</t>
  </si>
  <si>
    <t>3573031405860008</t>
  </si>
  <si>
    <t>Trenggalek</t>
  </si>
  <si>
    <t>082301437777</t>
  </si>
  <si>
    <t>Milik sendiri</t>
  </si>
  <si>
    <t>0341718333</t>
  </si>
  <si>
    <t>Plus minus 20jt an</t>
  </si>
  <si>
    <t>Yulia.wdd@gmail.com</t>
  </si>
  <si>
    <t>YULIA INDRIYANTI, S.E</t>
  </si>
  <si>
    <t>3573035107870007</t>
  </si>
  <si>
    <t>Nayyara0406wdd@gmail.com</t>
  </si>
  <si>
    <t>TK. ANAK BANGSA CERDAS</t>
  </si>
  <si>
    <t>THE TAMAN DAYU, PANDAAN.</t>
  </si>
  <si>
    <t>3151922980</t>
  </si>
  <si>
    <t>3575032411100007</t>
  </si>
  <si>
    <t>3575031703150001</t>
  </si>
  <si>
    <t>TSANY KASYFUR RAHMAN</t>
  </si>
  <si>
    <t>TSANY</t>
  </si>
  <si>
    <t xml:space="preserve">Perumahan Adyna Residence, Jl.Renang No. E.15 </t>
  </si>
  <si>
    <t>2 Km</t>
  </si>
  <si>
    <t>Indonesia dan jawa</t>
  </si>
  <si>
    <t>Pasuruan</t>
  </si>
  <si>
    <t>PT. Sadhana</t>
  </si>
  <si>
    <t>Jl. Raya Surabaya - Malang No.KM.59, Purwosari. Kabupaten Pasuruan.</t>
  </si>
  <si>
    <t>&gt;20000000</t>
  </si>
  <si>
    <t>Ibu rumahtangga</t>
  </si>
  <si>
    <t>CANDI PANGGUNG INDAH</t>
  </si>
  <si>
    <t>3151402376</t>
  </si>
  <si>
    <t>3573052206090004</t>
  </si>
  <si>
    <t>3573051208150003</t>
  </si>
  <si>
    <t>WARA ALVARO YAVEA ZAMARION</t>
  </si>
  <si>
    <t>VARO</t>
  </si>
  <si>
    <t>bantaran 1 no 25</t>
  </si>
  <si>
    <t>tulusrejo</t>
  </si>
  <si>
    <t>malang</t>
  </si>
  <si>
    <t>1km</t>
  </si>
  <si>
    <t>0341-408408</t>
  </si>
  <si>
    <t>081999900900/085933133126</t>
  </si>
  <si>
    <t>jawa</t>
  </si>
  <si>
    <t>DADIK WAHYU, S.H</t>
  </si>
  <si>
    <t>islam</t>
  </si>
  <si>
    <t>081999900900</t>
  </si>
  <si>
    <t>wiraswasta</t>
  </si>
  <si>
    <t>UTERO INDONESIA</t>
  </si>
  <si>
    <t>dadikwah75@gmail.com</t>
  </si>
  <si>
    <t>DINAR RAHADIAN</t>
  </si>
  <si>
    <t>3573056706860004</t>
  </si>
  <si>
    <t>085933133126</t>
  </si>
  <si>
    <t>DINAR WEDDOVER</t>
  </si>
  <si>
    <t>kebayadinar26@gmail.com</t>
  </si>
  <si>
    <t>4B</t>
  </si>
  <si>
    <t>Pandanwangi</t>
  </si>
  <si>
    <t>Universitas Negeri Malang</t>
  </si>
  <si>
    <t>0341551312</t>
  </si>
  <si>
    <t>PJ GLOBAL</t>
  </si>
  <si>
    <t>PERUM PERMATA JINGGA</t>
  </si>
  <si>
    <t>3152572837</t>
  </si>
  <si>
    <t>3573050210120008</t>
  </si>
  <si>
    <t>3573051102150003</t>
  </si>
  <si>
    <t>AKBAR CAESAR NURFATTAH</t>
  </si>
  <si>
    <t>AKBAR</t>
  </si>
  <si>
    <t>PERUM PERMATA JINGGA BLOK MAWAR 2 NO 8</t>
  </si>
  <si>
    <t>082153072988</t>
  </si>
  <si>
    <t>Sakit gigi</t>
  </si>
  <si>
    <t>H. PUJI SASMITO, S.P</t>
  </si>
  <si>
    <t>6310062304700001</t>
  </si>
  <si>
    <t>082154946633</t>
  </si>
  <si>
    <t>PETERNAKAN AYAM PETELOR DESA KASEMBON</t>
  </si>
  <si>
    <t>alamat Dusun Krajan RT 7 RW 2 desa kasembon Kec bululawang malang</t>
  </si>
  <si>
    <t>pujisasmito9@gmail.com.id</t>
  </si>
  <si>
    <t>RETNO YULI INDRAWATI</t>
  </si>
  <si>
    <t>6310066607770001</t>
  </si>
  <si>
    <t>retnoindrawati93@gmai.com</t>
  </si>
  <si>
    <t>KB/BA TK RESTU 2 MALANG</t>
  </si>
  <si>
    <t>JL. PANDEGLANG, PENANGGUNGAN, KEC. KLOJEN, KOTA MALANG, JAWA TIMUR 65113</t>
  </si>
  <si>
    <t>3153861445</t>
  </si>
  <si>
    <t>3579010302140003</t>
  </si>
  <si>
    <t>3579012104150002</t>
  </si>
  <si>
    <t>ARKAN AL KAHFI</t>
  </si>
  <si>
    <t>PERUMAHAN TAMAN TASNIM A5 BUNDER KARANGPLOSO KAB. MALANG</t>
  </si>
  <si>
    <t>3,2 Km</t>
  </si>
  <si>
    <t>081336078589</t>
  </si>
  <si>
    <t>FAHRUR RASYIDI, S.Pd</t>
  </si>
  <si>
    <t>3529012103870001</t>
  </si>
  <si>
    <t>08170045930</t>
  </si>
  <si>
    <t>FAKULTAS KEDOKTERAN UNIVERSITAS MUHAMMADIYAH MALANG</t>
  </si>
  <si>
    <t>Jl. Bendungan Sutami No.188, Sumbersari, Kec. Lowokwaru, Kota Malang, Jawa Timur 65145</t>
  </si>
  <si>
    <t>(0341) 551149</t>
  </si>
  <si>
    <t>slipknot@umm.ac.id</t>
  </si>
  <si>
    <t>DINDA KUSUMASTITI, S.Pd</t>
  </si>
  <si>
    <t>3579015912860005</t>
  </si>
  <si>
    <t>KEPALA SUB BIDANG ADMINISTRASI UMUM</t>
  </si>
  <si>
    <t>RUMAH SAKIT UMUM UNIVERSITAS MUHAMMADIYAH MALANG</t>
  </si>
  <si>
    <t>Jl. RAYA TLOGOMAS NO,45 MALANG</t>
  </si>
  <si>
    <t>dinda.kusuma99@gmail.com</t>
  </si>
  <si>
    <t>TK ABA 33 NGIJO</t>
  </si>
  <si>
    <t>NGIJO, KARANGPLOSO, KAB. MALANG</t>
  </si>
  <si>
    <t>3159827921</t>
  </si>
  <si>
    <t>3521090902170001</t>
  </si>
  <si>
    <t>ARSYIRA SHANGSA MAHDIANTORO</t>
  </si>
  <si>
    <t>SHANGSA</t>
  </si>
  <si>
    <t>Permata Regency 1, Blok 28/17, GPA Raya</t>
  </si>
  <si>
    <t>Ngijo</t>
  </si>
  <si>
    <t>Kabupaten Malang</t>
  </si>
  <si>
    <t>089635677877</t>
  </si>
  <si>
    <t>Demam, Tapi tidak sering</t>
  </si>
  <si>
    <t>Feri Irwan Susanto S.Si</t>
  </si>
  <si>
    <t>3510051402860004</t>
  </si>
  <si>
    <t>085330228855</t>
  </si>
  <si>
    <t>SNPlants</t>
  </si>
  <si>
    <t>mr.cheper@gmail.com</t>
  </si>
  <si>
    <t>Novita Ika Rahmawati</t>
  </si>
  <si>
    <t>3521094211860005</t>
  </si>
  <si>
    <t>Ngawi</t>
  </si>
  <si>
    <t>Roomacillo</t>
  </si>
  <si>
    <t>Permata regency 1, Blok 28/17, GPA Raya</t>
  </si>
  <si>
    <t>novdesign11@gmail.com</t>
  </si>
  <si>
    <t>0164814487</t>
  </si>
  <si>
    <t>3575022103160003</t>
  </si>
  <si>
    <t>3575020704160002</t>
  </si>
  <si>
    <t>ATHMAR FRINIZZAN SHIDQIE ALDARI</t>
  </si>
  <si>
    <t>IZZAN</t>
  </si>
  <si>
    <t>PERUM TIRTASANI ROYAL RESORT CLUSTER ROYAL VILLAGE BLOK RV8-7</t>
  </si>
  <si>
    <t>4,5km</t>
  </si>
  <si>
    <t>JL VETERAN NO. 6-8 SURABAYA</t>
  </si>
  <si>
    <t>Rp. 9.000.000</t>
  </si>
  <si>
    <t>3157552265</t>
  </si>
  <si>
    <t>3573052204140006</t>
  </si>
  <si>
    <t>3573050411150001</t>
  </si>
  <si>
    <t>AZKA MALIK IBRAHIM</t>
  </si>
  <si>
    <t>JL TAMAN PERMATA KENDALSARI IV/14</t>
  </si>
  <si>
    <t>082139123080</t>
  </si>
  <si>
    <t>30.80</t>
  </si>
  <si>
    <t>SUDIRMAN</t>
  </si>
  <si>
    <t>3507190505810008</t>
  </si>
  <si>
    <t>082331969919</t>
  </si>
  <si>
    <t>sudirman.alfatih@gmail.com</t>
  </si>
  <si>
    <t>DWI NOVIANTI</t>
  </si>
  <si>
    <t>3573056711860005</t>
  </si>
  <si>
    <t>Bank BRI</t>
  </si>
  <si>
    <t>Jl Raya Sengkaling 257</t>
  </si>
  <si>
    <t xml:space="preserve">dwinovi.alfatih@gmail.com </t>
  </si>
  <si>
    <t>TK DARUN NAJAH AKBAR JANNAH</t>
  </si>
  <si>
    <t>PERUMAHAN GRIYA SHANTA BLOK J NO 242</t>
  </si>
  <si>
    <t>3573051907210014</t>
  </si>
  <si>
    <t>3514114608150001</t>
  </si>
  <si>
    <t>BILQIS ALESHA VIA LOBE</t>
  </si>
  <si>
    <t>BILQIS ATAU BIQI</t>
  </si>
  <si>
    <t>PERUMAHAN GRIYA SAXOFON KAV 4</t>
  </si>
  <si>
    <t>081331060633</t>
  </si>
  <si>
    <t>ADONIS FATSUN VIA LOBE , S.T</t>
  </si>
  <si>
    <t>3514111003850003</t>
  </si>
  <si>
    <t>081233028102</t>
  </si>
  <si>
    <t>PEGAWAI NEGRI SIPIL</t>
  </si>
  <si>
    <t>DINAS PERINDUSTRIAN</t>
  </si>
  <si>
    <t>DINAS PERINDUSTRIAN DAN PERDAGANGAN KOTA MALANG</t>
  </si>
  <si>
    <t>DHITA ANGGRAINI FAJRI, S.Psi</t>
  </si>
  <si>
    <t>3514115108850001</t>
  </si>
  <si>
    <t>Matahari dept store lippo plaza batu</t>
  </si>
  <si>
    <t>Mall lippo plaza batu</t>
  </si>
  <si>
    <t>4,000,000</t>
  </si>
  <si>
    <t>Sri Wilujeng</t>
  </si>
  <si>
    <t>081330892802</t>
  </si>
  <si>
    <t>3573-LT-08102015-0085</t>
  </si>
  <si>
    <t>23 AGUSTUS 2023</t>
  </si>
  <si>
    <t>SDI SABILILLAH MALANG</t>
  </si>
  <si>
    <t>JL. A. YANI NO. 15, BLIMBING, KOTA MALANG</t>
  </si>
  <si>
    <t>0156438250</t>
  </si>
  <si>
    <t>3573011211070210</t>
  </si>
  <si>
    <t>3573054508150003</t>
  </si>
  <si>
    <t>CELINA LEONA THOMPSON</t>
  </si>
  <si>
    <t>CELIN</t>
  </si>
  <si>
    <t>KEWARGANEGARAAN GANDA TERBATAS (SAMPAI USIA 18 TAHUN)</t>
  </si>
  <si>
    <t>JL. BANTARAN BARAT I NO. 29</t>
  </si>
  <si>
    <t>0341-410705</t>
  </si>
  <si>
    <t>082232960065</t>
  </si>
  <si>
    <t>LESTON DEWADE THOMPSON</t>
  </si>
  <si>
    <t>MISSISSIPI, USA</t>
  </si>
  <si>
    <t>30 JANUARI 1957</t>
  </si>
  <si>
    <t>0341-410706</t>
  </si>
  <si>
    <t>PENSIUNAN US NAVY</t>
  </si>
  <si>
    <t>NINA ARIFIANDINI</t>
  </si>
  <si>
    <t>3510085007800011</t>
  </si>
  <si>
    <t>10 JULI 1980</t>
  </si>
  <si>
    <t>SMP</t>
  </si>
  <si>
    <t>JL. CANDI KALASAN II NO. 18</t>
  </si>
  <si>
    <t>0341-417607</t>
  </si>
  <si>
    <t>JL.PANDERMAN GG.V RT 04 RW 01</t>
  </si>
  <si>
    <t>0165166399</t>
  </si>
  <si>
    <t>3579030601210001</t>
  </si>
  <si>
    <t>3579035610160001</t>
  </si>
  <si>
    <t>DHEA AYUNDA FEBIMAWARNI</t>
  </si>
  <si>
    <t>DHEA</t>
  </si>
  <si>
    <t>Jl Langsep Perumahan Puri firdaus blok H 35</t>
  </si>
  <si>
    <t>Pendem</t>
  </si>
  <si>
    <t>3kg</t>
  </si>
  <si>
    <t>082119199607</t>
  </si>
  <si>
    <t>085607944494</t>
  </si>
  <si>
    <t>Jawa Indonesia</t>
  </si>
  <si>
    <t>KASTINI</t>
  </si>
  <si>
    <t>3579014206840001</t>
  </si>
  <si>
    <t>Toko nataea collection</t>
  </si>
  <si>
    <t>Jl Langsep Perumahan Puri firdaus blok H 36, RT 29 RW 07, Pendem, Junrejo, Batu</t>
  </si>
  <si>
    <t>5 - 10 juta</t>
  </si>
  <si>
    <t>kastinikastini68@gmail.com</t>
  </si>
  <si>
    <t>TK BHAYANGKARI</t>
  </si>
  <si>
    <t>JL. MONDOROKO IV</t>
  </si>
  <si>
    <t>3157433810</t>
  </si>
  <si>
    <t>3507242309100003</t>
  </si>
  <si>
    <t>3507240512150004</t>
  </si>
  <si>
    <t>DIEGO ZHAFRAN ADELMAR JUSTICE</t>
  </si>
  <si>
    <t>DIEGO</t>
  </si>
  <si>
    <t>Jl. MONDOROKO IV</t>
  </si>
  <si>
    <t>10 kg</t>
  </si>
  <si>
    <t>082245452332</t>
  </si>
  <si>
    <t>YUDA TRIYAS ARDHANA, SH</t>
  </si>
  <si>
    <t>3573042102860004</t>
  </si>
  <si>
    <t>Jl. Jend. Sudirman Singosari</t>
  </si>
  <si>
    <t>Rp. 3.000.000,-</t>
  </si>
  <si>
    <t>YULIANA ADI SAPUTRI SH., M.Hum</t>
  </si>
  <si>
    <t>3507245407860003</t>
  </si>
  <si>
    <t>Mahkamah agung</t>
  </si>
  <si>
    <t>Jl. Medan merdeka</t>
  </si>
  <si>
    <t xml:space="preserve">TK NEGERI PEMBINA </t>
  </si>
  <si>
    <t>JL. PRONOYUDO NO.25 KOTA BATU</t>
  </si>
  <si>
    <t>0167356005</t>
  </si>
  <si>
    <t>3579033010160004</t>
  </si>
  <si>
    <t>3579035501160003</t>
  </si>
  <si>
    <t>JIHAN MALIHAH PUTRI</t>
  </si>
  <si>
    <t>JIHAN</t>
  </si>
  <si>
    <t xml:space="preserve">Jl.Cendana </t>
  </si>
  <si>
    <t>9km</t>
  </si>
  <si>
    <t>081233320079</t>
  </si>
  <si>
    <t>081340519015</t>
  </si>
  <si>
    <t>Sesak saat kena alergi</t>
  </si>
  <si>
    <t>Mochamad Saifudin ,ST</t>
  </si>
  <si>
    <t>3573053004790005</t>
  </si>
  <si>
    <t>Wiraswata</t>
  </si>
  <si>
    <t>Berkah Bahari</t>
  </si>
  <si>
    <t>Jl. Cendana Batu</t>
  </si>
  <si>
    <t>mochamadsaifudin479@gmail.com</t>
  </si>
  <si>
    <t>Mia Hasnita, SE</t>
  </si>
  <si>
    <t>3573044401840005</t>
  </si>
  <si>
    <t>Yogyakarta</t>
  </si>
  <si>
    <t>Jl.Cendana Batu</t>
  </si>
  <si>
    <t>&gt;7.000.000</t>
  </si>
  <si>
    <t>miahasnita.mh@gmail.com</t>
  </si>
  <si>
    <t>PERMATA IMAN 2</t>
  </si>
  <si>
    <t>JALAN IKAN KAKAKP</t>
  </si>
  <si>
    <t>3153986771</t>
  </si>
  <si>
    <t>3573052711180021</t>
  </si>
  <si>
    <t>3573054311150002</t>
  </si>
  <si>
    <t>KHANZA ALYCIA QUEEN YOSEFANIA</t>
  </si>
  <si>
    <t>QUEEN</t>
  </si>
  <si>
    <t>Grand Masyhur Residence C-3</t>
  </si>
  <si>
    <t>± 500 meter</t>
  </si>
  <si>
    <t>082234264246</t>
  </si>
  <si>
    <t>YOCKY SEPTIKA FADRIANEPSA, S.E</t>
  </si>
  <si>
    <t>3573051209890002</t>
  </si>
  <si>
    <t>Bank Indonesia</t>
  </si>
  <si>
    <t>Jl. Merdeka Utara No. 7 Kiduldalem Klojen Malang</t>
  </si>
  <si>
    <t>Gorrylaz@gmail.com</t>
  </si>
  <si>
    <t>NIA AYU RAHMAWATI WARDAH, S.E.</t>
  </si>
  <si>
    <t>3509114108920003</t>
  </si>
  <si>
    <t>082244721087</t>
  </si>
  <si>
    <t>Karyawan Bank</t>
  </si>
  <si>
    <t>Bank BCA</t>
  </si>
  <si>
    <t>Jl. Borobudur No. 1</t>
  </si>
  <si>
    <t>Alyciaqueennia@gmail.com</t>
  </si>
  <si>
    <t>TK AISYIYAH BUSTANUL ATHFAL 2 SUMBERPUCUNG</t>
  </si>
  <si>
    <t>JL. AJARMANGIR NO. 28 RT 11 RW 01, SUMBERPUCUNG, KAB. MALANG</t>
  </si>
  <si>
    <t>3159978548</t>
  </si>
  <si>
    <t>3576021510140002</t>
  </si>
  <si>
    <t>3576026408150002</t>
  </si>
  <si>
    <t>LEORA MAUREEN ADITYA</t>
  </si>
  <si>
    <t>LEORA</t>
  </si>
  <si>
    <t>Perumahan Permata Regency 1 Blok 16/11</t>
  </si>
  <si>
    <t>+- 5 km</t>
  </si>
  <si>
    <t>082233342309</t>
  </si>
  <si>
    <t>EKA NUR RACHMAN ADITYA</t>
  </si>
  <si>
    <t>3576021601870005</t>
  </si>
  <si>
    <t>Mojokerto</t>
  </si>
  <si>
    <t>08113654927</t>
  </si>
  <si>
    <t>PT. HM Sampoerna, Tbk.</t>
  </si>
  <si>
    <t>JL. Raya Malang Surabaya, Km. 51.4, Suwayuwo, Sukorejo, Kab. Pasuruan.</t>
  </si>
  <si>
    <t>ekanurrachmanaditya@gmail.com</t>
  </si>
  <si>
    <t>AYUNDA KAMASARI</t>
  </si>
  <si>
    <t>3507124108900002</t>
  </si>
  <si>
    <t>Ibu Rumah Tangga</t>
  </si>
  <si>
    <t>N/A</t>
  </si>
  <si>
    <t>TK. GITA NANDA</t>
  </si>
  <si>
    <t>JL. SUDIMORO NO 21A</t>
  </si>
  <si>
    <t>0157155687</t>
  </si>
  <si>
    <t>3573050506140006</t>
  </si>
  <si>
    <t>3573054111150002</t>
  </si>
  <si>
    <t>LUBNA KHAIRUNNISA PUTRI INDRATMO</t>
  </si>
  <si>
    <t>LUBNA / LUNA</t>
  </si>
  <si>
    <t>Jln. Borobudur Agung no 11</t>
  </si>
  <si>
    <t>Mojolangu</t>
  </si>
  <si>
    <t>2,5km</t>
  </si>
  <si>
    <t>081805029454</t>
  </si>
  <si>
    <t>KUS INDRATMO, S.E</t>
  </si>
  <si>
    <t>3573052404810003</t>
  </si>
  <si>
    <t>Semarang</t>
  </si>
  <si>
    <t>Rumah</t>
  </si>
  <si>
    <t>Jln. Borobudur agung no 11. Rt. 001, Rw. 011</t>
  </si>
  <si>
    <t>08125292977</t>
  </si>
  <si>
    <t>3jt - 5jt</t>
  </si>
  <si>
    <t>GINA CAMELIA, S.E</t>
  </si>
  <si>
    <t>3573054708810004</t>
  </si>
  <si>
    <t>Bulungan</t>
  </si>
  <si>
    <t>Asisten dokter</t>
  </si>
  <si>
    <t>Klinik drg. Atika Nisaa</t>
  </si>
  <si>
    <t>Jln. Borobudur Agung Barat 2b no 4. Rt. 001, Rw. 011. Kota malang</t>
  </si>
  <si>
    <t>+62895622192757</t>
  </si>
  <si>
    <t>gina.indratmk@gmail.com</t>
  </si>
  <si>
    <t>H. Sardjito, Bcm</t>
  </si>
  <si>
    <t>081834565310</t>
  </si>
  <si>
    <t>Pensiunan Pertamina</t>
  </si>
  <si>
    <t>Jln. Borobudur Agung Barat 2b no 4</t>
  </si>
  <si>
    <t>TK DHARMA WANITA PERSATUAN SENGKALING</t>
  </si>
  <si>
    <t>JL RAYA SENGKALING 200</t>
  </si>
  <si>
    <t>0162465460</t>
  </si>
  <si>
    <t>3507230212150007</t>
  </si>
  <si>
    <t>3507230703160003</t>
  </si>
  <si>
    <t>MOHAMMAD RIZKY ADAM</t>
  </si>
  <si>
    <t xml:space="preserve">Perum Karangploso in residence no 12 </t>
  </si>
  <si>
    <t>7-10kg</t>
  </si>
  <si>
    <t>081615197876</t>
  </si>
  <si>
    <t>Jawa</t>
  </si>
  <si>
    <t>Ari Andi Widodo A.md</t>
  </si>
  <si>
    <t>3506212011840003</t>
  </si>
  <si>
    <t xml:space="preserve">Kediri </t>
  </si>
  <si>
    <t>081357675259</t>
  </si>
  <si>
    <t>Perum Karangploso in residence no 12</t>
  </si>
  <si>
    <t>10jt</t>
  </si>
  <si>
    <t>riefdiana.anggraeny@gmail.com</t>
  </si>
  <si>
    <t>Riefdiana Anggraeny S.Pd</t>
  </si>
  <si>
    <t>3507226404830001</t>
  </si>
  <si>
    <t>0165698341</t>
  </si>
  <si>
    <t>3573012308160023</t>
  </si>
  <si>
    <t>3573011206160002</t>
  </si>
  <si>
    <t>MOHAMMED IBRAHIM PURBAWISESA</t>
  </si>
  <si>
    <t>IBRA</t>
  </si>
  <si>
    <t xml:space="preserve">JL. DAGO GOLF II / 9 </t>
  </si>
  <si>
    <t>7,6 km</t>
  </si>
  <si>
    <t>081234228847</t>
  </si>
  <si>
    <t>106cm</t>
  </si>
  <si>
    <t>16kg</t>
  </si>
  <si>
    <t>Alhamdulillah jarang sakit</t>
  </si>
  <si>
    <t>Adam Aulia Purbawisesa, ST</t>
  </si>
  <si>
    <t>3573010212840008</t>
  </si>
  <si>
    <t>081215761991</t>
  </si>
  <si>
    <t xml:space="preserve">Cv. primadona jaya </t>
  </si>
  <si>
    <t>JL. Lingkar Blimbing Indah No. 71 (LBI 71) Perumahan Araya</t>
  </si>
  <si>
    <t>Rp. 10.000.000, 00</t>
  </si>
  <si>
    <t>adam.auliapw@gmail.com</t>
  </si>
  <si>
    <t xml:space="preserve">MADE SANTYA DHARMAESTI </t>
  </si>
  <si>
    <t>3573016910900004</t>
  </si>
  <si>
    <t>Lumajang</t>
  </si>
  <si>
    <t>madesantyadharmaesti@gmail.com</t>
  </si>
  <si>
    <t>Soenaring tyasasih</t>
  </si>
  <si>
    <t>081350513314</t>
  </si>
  <si>
    <t>KRISTEN</t>
  </si>
  <si>
    <t>Jalan raya tlogomas I/10</t>
  </si>
  <si>
    <t>Tlogomas</t>
  </si>
  <si>
    <t>JL. CANDI PANGGUNG INDAH 1-3</t>
  </si>
  <si>
    <t>3152370115</t>
  </si>
  <si>
    <t>3573051112130010</t>
  </si>
  <si>
    <t>3573052506150009</t>
  </si>
  <si>
    <t>MUHAMI ABDURRAHMAN AL-AYYUBI</t>
  </si>
  <si>
    <t>HAMI</t>
  </si>
  <si>
    <t>Perum Asrikaton Indah Jl. Kebun Jeruk 3 Blok G4 No 11</t>
  </si>
  <si>
    <t>Asrikaton</t>
  </si>
  <si>
    <t>Pakis</t>
  </si>
  <si>
    <t>11 km</t>
  </si>
  <si>
    <t>0896-5286-5409</t>
  </si>
  <si>
    <t>Indonesia &amp; Jawa</t>
  </si>
  <si>
    <t>ABDUL ROHMAN, S.H</t>
  </si>
  <si>
    <t>Advokat</t>
  </si>
  <si>
    <t>Abdul Rohman &amp; Associates -law office</t>
  </si>
  <si>
    <t>Ruko klampis square blok C-27 Klampis Surabaya</t>
  </si>
  <si>
    <t>&lt;Rp. 5.000.000</t>
  </si>
  <si>
    <t>LUTVI OKTAVIA, S.Psi</t>
  </si>
  <si>
    <t>Abdul Rohman, S.H</t>
  </si>
  <si>
    <t>Perum Asrikaton Indah Jl kebun jeruk 3 blok G4 No 11</t>
  </si>
  <si>
    <t>TK QURROTA A'YUN</t>
  </si>
  <si>
    <t>JL. SUNAN KALIJAGA KOTA MALANG</t>
  </si>
  <si>
    <t>0135640906</t>
  </si>
  <si>
    <t>3573051605160005</t>
  </si>
  <si>
    <t>3573051004160001</t>
  </si>
  <si>
    <t>MUHAMMAD SAAMY AZZUHRI</t>
  </si>
  <si>
    <t>SAAMY</t>
  </si>
  <si>
    <t xml:space="preserve">Jl. Raya Candi VI Perum Sigura Hill Blok C2-3 </t>
  </si>
  <si>
    <t>Karangbesuki</t>
  </si>
  <si>
    <t xml:space="preserve">3,5 km </t>
  </si>
  <si>
    <t>0341 5023779</t>
  </si>
  <si>
    <t>085334000808</t>
  </si>
  <si>
    <t>Indonesia, Jawa</t>
  </si>
  <si>
    <t>MISBAHUDDIN AZZUHRI, SE., M.M.</t>
  </si>
  <si>
    <t>3573050903820021</t>
  </si>
  <si>
    <t>081233728899</t>
  </si>
  <si>
    <t>PNS (Dosen)</t>
  </si>
  <si>
    <t>Fakultas Ekonomi dan Bisnis Universitas Brawijaya Jl. MT. Haryono No. 165 Kota Malang</t>
  </si>
  <si>
    <t>0341 551396</t>
  </si>
  <si>
    <t xml:space="preserve">7 juta </t>
  </si>
  <si>
    <t>misbachazzuhri@gmail.com</t>
  </si>
  <si>
    <t>YUSWIDA NATASWATI, SAB., M.M.</t>
  </si>
  <si>
    <t>3573054811820003</t>
  </si>
  <si>
    <t>Bojonegoro</t>
  </si>
  <si>
    <t>Dinas Tenaga Kerja dan Transmigrasi Provinsi Jawa Timur</t>
  </si>
  <si>
    <t>Jl. Dukuh Menanggal No. 124-126 Surabaya</t>
  </si>
  <si>
    <t>031 8290005</t>
  </si>
  <si>
    <t xml:space="preserve">yuswidanataswati@gmail.com </t>
  </si>
  <si>
    <t>Drs. JOHNY HARYANTO, M.Si</t>
  </si>
  <si>
    <t>082139023115</t>
  </si>
  <si>
    <t>Perum Graha Dewata Blok EE Kav 1-3</t>
  </si>
  <si>
    <t>3162591545</t>
  </si>
  <si>
    <t>3573051108080031</t>
  </si>
  <si>
    <t>3573050703160002</t>
  </si>
  <si>
    <t>MUHAMMAD SAUQI BAGASKARA</t>
  </si>
  <si>
    <t>Perum griya tasikmadu no 1</t>
  </si>
  <si>
    <t>HENGKI SUNARYANTO</t>
  </si>
  <si>
    <t>PT. CMI</t>
  </si>
  <si>
    <t>Hengkisunaryanto@gmail.com</t>
  </si>
  <si>
    <t>ANISA DWIYANTI</t>
  </si>
  <si>
    <t>anisadwiyanty@gmail.com</t>
  </si>
  <si>
    <t>BANI HASYIM</t>
  </si>
  <si>
    <t>PERUM PERSADA BHAYANGKARA SINGOSARI</t>
  </si>
  <si>
    <t>3169269504</t>
  </si>
  <si>
    <t>3573050407120002</t>
  </si>
  <si>
    <t>3573055707160004</t>
  </si>
  <si>
    <t>NASYAUQI TSABITAH AZZAHRA</t>
  </si>
  <si>
    <t>ZAHRA</t>
  </si>
  <si>
    <t>Lawang View Timur II no. 2</t>
  </si>
  <si>
    <t>Lawang</t>
  </si>
  <si>
    <t>081334864728</t>
  </si>
  <si>
    <t>28,4</t>
  </si>
  <si>
    <t>Batuk pilek demam kadang2</t>
  </si>
  <si>
    <t>Dr. AHMAD DEDY SYATHORI, SST. MSi</t>
  </si>
  <si>
    <t>1207230910830001</t>
  </si>
  <si>
    <t>Babakan</t>
  </si>
  <si>
    <t>081334162000</t>
  </si>
  <si>
    <t>BBPP Ketindan</t>
  </si>
  <si>
    <t>+-10juta</t>
  </si>
  <si>
    <t>dedybbppketindan@gmail.com</t>
  </si>
  <si>
    <t>LIA VERONA, S.E. MP</t>
  </si>
  <si>
    <t>1207236807780007</t>
  </si>
  <si>
    <t>Palembang</t>
  </si>
  <si>
    <t>Balittas</t>
  </si>
  <si>
    <t>Jl. Raya Karangploso Km. 4</t>
  </si>
  <si>
    <t>liaverona1978@gmail.com</t>
  </si>
  <si>
    <t>TK AR RAHMAN</t>
  </si>
  <si>
    <t>0159080280</t>
  </si>
  <si>
    <t>3527032805190006</t>
  </si>
  <si>
    <t>NURJIBRIL HAIDIR ADMAJA</t>
  </si>
  <si>
    <t>NURJIBRIL</t>
  </si>
  <si>
    <t>Jl tamanu diharjo</t>
  </si>
  <si>
    <t>Ampeldento</t>
  </si>
  <si>
    <t>2km</t>
  </si>
  <si>
    <t>081230202320</t>
  </si>
  <si>
    <t>110m</t>
  </si>
  <si>
    <t>Lukman hakim</t>
  </si>
  <si>
    <t>3527031210840007</t>
  </si>
  <si>
    <t>Madura</t>
  </si>
  <si>
    <t>085231314635</t>
  </si>
  <si>
    <t>ayahjibril2@gmail.com</t>
  </si>
  <si>
    <t>Lenny ruci dermawati</t>
  </si>
  <si>
    <t>3508015802890001</t>
  </si>
  <si>
    <t>dermawanlenny@gmail.com</t>
  </si>
  <si>
    <t>Jl takanu diharjo</t>
  </si>
  <si>
    <t xml:space="preserve">TORICHO HAPPINES </t>
  </si>
  <si>
    <t>TORICHOME SENDAI JEPANG</t>
  </si>
  <si>
    <t>3165002712</t>
  </si>
  <si>
    <t>3573051902130011</t>
  </si>
  <si>
    <t>3573051907160002</t>
  </si>
  <si>
    <t>RAKA RAFASYA BACHRI</t>
  </si>
  <si>
    <t>RAKA</t>
  </si>
  <si>
    <t>PERUMAHAN MUTIARA JINGGA KAV 12</t>
  </si>
  <si>
    <t>TUNGGULL WULUNG</t>
  </si>
  <si>
    <t>081328412766</t>
  </si>
  <si>
    <t>107 CM</t>
  </si>
  <si>
    <t>16 KG</t>
  </si>
  <si>
    <t>SYAMSUL BACHRI, S.Si., M.Sc., PhD.</t>
  </si>
  <si>
    <t>3404073005830003</t>
  </si>
  <si>
    <t>SLEMAN</t>
  </si>
  <si>
    <t>JALAN SURABAYA 5, KOTA MALANG</t>
  </si>
  <si>
    <t>syamsul.bachri.fis@um.ac.id</t>
  </si>
  <si>
    <t>SYARIFAH HIKMAH JULINDA SARI, S.Pi., M.Sc</t>
  </si>
  <si>
    <t>1471096007840001</t>
  </si>
  <si>
    <t xml:space="preserve">PEKAN BARU </t>
  </si>
  <si>
    <t>0818023975087</t>
  </si>
  <si>
    <t>5 JUTA</t>
  </si>
  <si>
    <t>syarifahsari@ub.ac.id</t>
  </si>
  <si>
    <t>Prof. Dr. Dewita Buchari, M.S</t>
  </si>
  <si>
    <t>Lintau</t>
  </si>
  <si>
    <t>081365760154</t>
  </si>
  <si>
    <t>Jalan Flamboyan no 306 Komplek Beringin Indah Pekan Baru</t>
  </si>
  <si>
    <t>Marpoyan Damai</t>
  </si>
  <si>
    <t>Pekan baru</t>
  </si>
  <si>
    <t>MOJOLANGU, LOWOKWARU, MALANG</t>
  </si>
  <si>
    <t>3573052508090023</t>
  </si>
  <si>
    <t>3573051807150005</t>
  </si>
  <si>
    <t>RAKHA AHZA ATHAYA</t>
  </si>
  <si>
    <t>RAKHA</t>
  </si>
  <si>
    <t xml:space="preserve">MALANG              </t>
  </si>
  <si>
    <t>JALAN SENTAURUS 4</t>
  </si>
  <si>
    <t xml:space="preserve">TLOGOMAS     </t>
  </si>
  <si>
    <t xml:space="preserve">LOWOKWARU   </t>
  </si>
  <si>
    <t xml:space="preserve">KOTA MALANG                 </t>
  </si>
  <si>
    <t xml:space="preserve">0,9 KM                                                                    </t>
  </si>
  <si>
    <t xml:space="preserve">0341 553559                 </t>
  </si>
  <si>
    <t>081333040613</t>
  </si>
  <si>
    <t xml:space="preserve">115 CM                                                                                                  </t>
  </si>
  <si>
    <t xml:space="preserve">16,5 KG                                                                   </t>
  </si>
  <si>
    <t xml:space="preserve">INDONESIA                                                            </t>
  </si>
  <si>
    <t xml:space="preserve">JOHAN SANJAYA, S.T.                 </t>
  </si>
  <si>
    <t>3514141001750001</t>
  </si>
  <si>
    <t xml:space="preserve">PASURUAN         </t>
  </si>
  <si>
    <t xml:space="preserve">ISLAM         </t>
  </si>
  <si>
    <t>081230825088</t>
  </si>
  <si>
    <t xml:space="preserve">PT. ECCO INDONESIA                                           </t>
  </si>
  <si>
    <t xml:space="preserve">JALAN RAYA BLIGO 17 SIDOARJO.                    </t>
  </si>
  <si>
    <t xml:space="preserve">031 8964555                   </t>
  </si>
  <si>
    <t xml:space="preserve">6.944.619 RUPIAH                                                 </t>
  </si>
  <si>
    <t xml:space="preserve">josan.sanjaya@gmail.com  </t>
  </si>
  <si>
    <t>dr. SAFITRI DWICAHYANI, S.Ked., M.P.H.</t>
  </si>
  <si>
    <t>3573055508800007</t>
  </si>
  <si>
    <t xml:space="preserve">SEBAGAI DOSEN           </t>
  </si>
  <si>
    <t xml:space="preserve">UNIVERSITAS BRAWIJAYA             </t>
  </si>
  <si>
    <t xml:space="preserve">JALAN VETERAN MALANG                                 </t>
  </si>
  <si>
    <t xml:space="preserve">0341 567192                    </t>
  </si>
  <si>
    <t xml:space="preserve">3.411.300 RUPIAH                       </t>
  </si>
  <si>
    <t>safitri.dwicahyani@gmail.com</t>
  </si>
  <si>
    <t>Prof. Dr. Ir. HARTUTIK, M.P., IPU., ASEAN Eng.</t>
  </si>
  <si>
    <t xml:space="preserve">BLITAR              </t>
  </si>
  <si>
    <t xml:space="preserve">SEBAGAI DOSEN        </t>
  </si>
  <si>
    <t xml:space="preserve">TLOGOMAS    </t>
  </si>
  <si>
    <t xml:space="preserve">KOTA MALANG          </t>
  </si>
  <si>
    <t>TK ALHIDAYAH</t>
  </si>
  <si>
    <t xml:space="preserve">JL PANGESTU KEPUHARJO KARANGPLOSO </t>
  </si>
  <si>
    <t>3156627673</t>
  </si>
  <si>
    <t>3507231906130003</t>
  </si>
  <si>
    <t>3507236708150001</t>
  </si>
  <si>
    <t>SABILA HAMDA MALKI</t>
  </si>
  <si>
    <t>SABILA</t>
  </si>
  <si>
    <t xml:space="preserve">Jl PANGESTU 1A </t>
  </si>
  <si>
    <t>081233476188</t>
  </si>
  <si>
    <t>M NURUL ANWAR</t>
  </si>
  <si>
    <t>3507231310710001</t>
  </si>
  <si>
    <t>gusanwar87@gmail.com</t>
  </si>
  <si>
    <t>ARIE FIRDAUSI</t>
  </si>
  <si>
    <t>3507245201770005</t>
  </si>
  <si>
    <t>082132066670</t>
  </si>
  <si>
    <t>bian30bian30@gmail.com</t>
  </si>
  <si>
    <t>RAYYA SCHOOL</t>
  </si>
  <si>
    <t>VALENCIA GARDEN B6/4 SIDOARJO</t>
  </si>
  <si>
    <t>3159629534</t>
  </si>
  <si>
    <t>3515160501160014</t>
  </si>
  <si>
    <t>3515167108150002</t>
  </si>
  <si>
    <t>SHABRINA SHIDQIA ARGANTA</t>
  </si>
  <si>
    <t>BINAR</t>
  </si>
  <si>
    <t>Tirtasani residence cluster Royal Village R 7/14</t>
  </si>
  <si>
    <t>081235541077</t>
  </si>
  <si>
    <t>081235752934</t>
  </si>
  <si>
    <t>DEDIK SUDARMAWAN ST</t>
  </si>
  <si>
    <t>3515142411810005</t>
  </si>
  <si>
    <t>PT. DAHAYU KARYA NUSANTARA</t>
  </si>
  <si>
    <t>JL. DANAU LIMBOTO UTARA A6/L3 KELURAHAN SAWOJAJAR,KEDUNG KANDANG MALANG</t>
  </si>
  <si>
    <t>0341- 3023144</t>
  </si>
  <si>
    <t>RP. 30.000.000</t>
  </si>
  <si>
    <t>dediksudarmawan@yahoo.com</t>
  </si>
  <si>
    <t>ESTI RAHAYU DIANI ST</t>
  </si>
  <si>
    <t>3515145009810005</t>
  </si>
  <si>
    <t>IBU RUMAH TANGGGA</t>
  </si>
  <si>
    <t>banyubinar31@gmail.com</t>
  </si>
  <si>
    <t>MINA ANDRIANI</t>
  </si>
  <si>
    <t>082142048552</t>
  </si>
  <si>
    <t xml:space="preserve">JL. GADANG 2/34B </t>
  </si>
  <si>
    <t>GADANG</t>
  </si>
  <si>
    <t>TK PERMATA IMAN 1 MALANG</t>
  </si>
  <si>
    <t>0164594753</t>
  </si>
  <si>
    <t>3507223103160008</t>
  </si>
  <si>
    <t>3507221702160002</t>
  </si>
  <si>
    <t>ZACKY AKTHARA</t>
  </si>
  <si>
    <t>NINO</t>
  </si>
  <si>
    <t>Villa Sengkaling Blok DD 58</t>
  </si>
  <si>
    <t>081358357488</t>
  </si>
  <si>
    <t>17.35 kg</t>
  </si>
  <si>
    <t xml:space="preserve">bahasa Indonesia </t>
  </si>
  <si>
    <t>WEGA OKTOVERDIAWAN, S.H</t>
  </si>
  <si>
    <t>3573042310820007</t>
  </si>
  <si>
    <t>089639444012</t>
  </si>
  <si>
    <t>Tenaga Administrasi</t>
  </si>
  <si>
    <t>PSDKU Politeknik Negeri Malang di Kota Kediri</t>
  </si>
  <si>
    <t>Jl. Lingkar Maskumambang No.1, Sukorame, Kec. Mojoroto, Kota Kediri, Jawa Timur 64119</t>
  </si>
  <si>
    <t>Rp. 2.800.000,-</t>
  </si>
  <si>
    <t>oktoverdiawan@polinema.ac.id</t>
  </si>
  <si>
    <t>IKA SWASTIKAa, S.T.</t>
  </si>
  <si>
    <t>3507225404860001</t>
  </si>
  <si>
    <t>swastika171211@gmail.com</t>
  </si>
  <si>
    <t>1/1/0000</t>
  </si>
  <si>
    <t>JL. CANDI PANGGUNG INDAH NO. 1-3</t>
  </si>
  <si>
    <t>0166174800</t>
  </si>
  <si>
    <t>3525070212130001</t>
  </si>
  <si>
    <t>3525072004160005</t>
  </si>
  <si>
    <t>ZULFAN ZAHIN</t>
  </si>
  <si>
    <t>ZULFAN</t>
  </si>
  <si>
    <t>PURI BUNGA 2 NO.A40</t>
  </si>
  <si>
    <t>1,3 km</t>
  </si>
  <si>
    <t>082234309161</t>
  </si>
  <si>
    <t>ZEN ZAMRONI, S.T</t>
  </si>
  <si>
    <t>3525071909820001</t>
  </si>
  <si>
    <t>082126560004</t>
  </si>
  <si>
    <t>zzamroni@gmail.com</t>
  </si>
  <si>
    <t>LAILY ROHMAWATI, S.Pd</t>
  </si>
  <si>
    <t>3525076804870002</t>
  </si>
  <si>
    <t>JL. CANDI PANGGUNG INDAH NO.1-3 KOTA MALANG</t>
  </si>
  <si>
    <t>(0341)489966</t>
  </si>
  <si>
    <t>lailyr480@gmail.com</t>
  </si>
  <si>
    <t>PERUMAHAN PUNCAK PERMATA SENGKALING BLOK D NO.8 SUMBERSEKAR DAU KAB. MALANG</t>
  </si>
  <si>
    <t>3151461935</t>
  </si>
  <si>
    <t>3579030410170003</t>
  </si>
  <si>
    <t>3579035804150003</t>
  </si>
  <si>
    <t>ACHAZIA ZIPPORA SACHI HANANTA</t>
  </si>
  <si>
    <t>4C</t>
  </si>
  <si>
    <t>ZORA</t>
  </si>
  <si>
    <t>DADAPTULIS UTARA</t>
  </si>
  <si>
    <t>085755779874</t>
  </si>
  <si>
    <t>18,35 KG</t>
  </si>
  <si>
    <t>BAGUS ANDRIADI ANDI HANANTO</t>
  </si>
  <si>
    <t>3579032802880002</t>
  </si>
  <si>
    <t>081233936008</t>
  </si>
  <si>
    <t>KLINIK DUREN</t>
  </si>
  <si>
    <t>RUKO IR. SOEKARNO 178 JUNREJO KOTA BATU</t>
  </si>
  <si>
    <t>Bjmpitebike@gmail.com</t>
  </si>
  <si>
    <t>FEBRYANA SURYANINGTYAS</t>
  </si>
  <si>
    <t>3573016602880001</t>
  </si>
  <si>
    <t>CHANDRA KIRANA AESTHETIC HOUSE</t>
  </si>
  <si>
    <t>RUKO IR. SOEKARNO NO.178 JUNREJO - KOTA BATU</t>
  </si>
  <si>
    <t>085755779875</t>
  </si>
  <si>
    <t>Febryanasurya@gmail.com</t>
  </si>
  <si>
    <t>TK LEBAH KECIL</t>
  </si>
  <si>
    <t>JL. KH. MALIK RT. 03/06, BURING, KEDUNGKANDANG, BURING, KEC. KEDUNGKANDANG, KOTA MALANG, JAWA TIMUR 65136</t>
  </si>
  <si>
    <t>3168620544</t>
  </si>
  <si>
    <t>3573032510170001</t>
  </si>
  <si>
    <t>3506154204160002</t>
  </si>
  <si>
    <t>AISYAH SARAH RABBANI</t>
  </si>
  <si>
    <t>PERUMAHAN CITY VIEW, BLOK C-4, JL. K MALIK DALAM</t>
  </si>
  <si>
    <t>12 Km</t>
  </si>
  <si>
    <t>085336554141</t>
  </si>
  <si>
    <t>122 Cm</t>
  </si>
  <si>
    <t>ADHITYA SYARIF SUANGSA, S.S</t>
  </si>
  <si>
    <t>MANAGER</t>
  </si>
  <si>
    <t>PT. BENESSE INDONESIA, Tamara Center
Alamat: Prudential Tower, 20th fl, Jl. Jend. Sudirman No.Kav. 79, RT.2/RW.2, Kuningan, Karet, Setiabudi, South Jakarta City, Jakarta 12920</t>
  </si>
  <si>
    <t>(021) 5204711</t>
  </si>
  <si>
    <t>Rp 14.000.000,-</t>
  </si>
  <si>
    <t>RETNO WULAN SEKARSARI, S.AP, M.AP, M.Pol.Sc</t>
  </si>
  <si>
    <t>UNIVERSITAS ISLAM MALANG (UNISMA)</t>
  </si>
  <si>
    <t>Jalan Mayjen Haryono No.193, Dinoyo, Kec. Lowokwaru, Kota Malang, Jawa Timur 65144</t>
  </si>
  <si>
    <t>(0341) 551932</t>
  </si>
  <si>
    <t>Rp. 5.000.000,-</t>
  </si>
  <si>
    <t>SUKRIANI</t>
  </si>
  <si>
    <t>081336978664</t>
  </si>
  <si>
    <t>Pegawai Negri Sipil</t>
  </si>
  <si>
    <t>Dusun Woromarto</t>
  </si>
  <si>
    <t>Desa Woromarto</t>
  </si>
  <si>
    <t>Purwoasri</t>
  </si>
  <si>
    <t>CANDI PANGGUNH</t>
  </si>
  <si>
    <t>0162694378</t>
  </si>
  <si>
    <t>3573051301120008</t>
  </si>
  <si>
    <t>3573052504160003</t>
  </si>
  <si>
    <t>AL IRSYAD REIFANSYAH ARIF</t>
  </si>
  <si>
    <t>AL IRSYAD</t>
  </si>
  <si>
    <t>Jl. Permata Jingga AA 21</t>
  </si>
  <si>
    <t>Tunggul Wulung</t>
  </si>
  <si>
    <t>3km</t>
  </si>
  <si>
    <t>081358920833</t>
  </si>
  <si>
    <t>123 cm</t>
  </si>
  <si>
    <t>ARIEF SATRIA MARSUDI, S.T., M.T</t>
  </si>
  <si>
    <t>3507222209870003</t>
  </si>
  <si>
    <t>08563634118</t>
  </si>
  <si>
    <t>Pegawai BUMN</t>
  </si>
  <si>
    <t>Perum Jasa Tirta I</t>
  </si>
  <si>
    <t>Jl. Surabaya no 3 Malang</t>
  </si>
  <si>
    <t>Ariefsatria@gmail.com</t>
  </si>
  <si>
    <t>Ir. RAHMAH DARA LUFIRA, ST., MT</t>
  </si>
  <si>
    <t>3573054412870007</t>
  </si>
  <si>
    <t>Banda Aceh</t>
  </si>
  <si>
    <t>Jl. MT haryono 167</t>
  </si>
  <si>
    <t>Rahmahdara@gmail.com</t>
  </si>
  <si>
    <t>JLN. CANDI PANGGUNG INDAH NO. 1-3 MALANG</t>
  </si>
  <si>
    <t>3160158164</t>
  </si>
  <si>
    <t>3573056607160003</t>
  </si>
  <si>
    <t>ALMAHIRA ZAYYAN MAKAILA</t>
  </si>
  <si>
    <t>MAHIRA</t>
  </si>
  <si>
    <t>Permata Jingga Blok BB No. 31/16 Malang</t>
  </si>
  <si>
    <t>085232908990</t>
  </si>
  <si>
    <t>SAIFUL RIJAL, S.TP</t>
  </si>
  <si>
    <t>3513191101870001</t>
  </si>
  <si>
    <t>085234222665</t>
  </si>
  <si>
    <t>Pengembang Property, Rumah Kos-kosan, Depot Makan dan lain2</t>
  </si>
  <si>
    <t>Jln. Cengger Ayam No. 4 Malang</t>
  </si>
  <si>
    <t>50 jt</t>
  </si>
  <si>
    <t>almahirarizal@gmail.com</t>
  </si>
  <si>
    <t xml:space="preserve">DEWI ARDILLAH </t>
  </si>
  <si>
    <t>3513126108940002</t>
  </si>
  <si>
    <t>Di Rumah</t>
  </si>
  <si>
    <t>Perumahan Araya Graha Golf Utama No. 42 Malang</t>
  </si>
  <si>
    <t>Almahirarizal@gmail.com</t>
  </si>
  <si>
    <t>Dewi Ardillah A.Md. Keb</t>
  </si>
  <si>
    <t>TK AL JAUHAR</t>
  </si>
  <si>
    <t>PERUM PERMATA REGENCY KARANG PLOSO</t>
  </si>
  <si>
    <t>3167615922</t>
  </si>
  <si>
    <t>3507233004120011</t>
  </si>
  <si>
    <t>3507236306160002</t>
  </si>
  <si>
    <t>ARINA SALSABILA RAMADHANI</t>
  </si>
  <si>
    <t>ARINA</t>
  </si>
  <si>
    <t>Perum Permata Regency Blok 26 No 14</t>
  </si>
  <si>
    <t>085785792219</t>
  </si>
  <si>
    <t>HAMID ASNAN</t>
  </si>
  <si>
    <t>3517031907850002</t>
  </si>
  <si>
    <t>RS HERMINA GRAND WISATA</t>
  </si>
  <si>
    <t>Jl. Festival Boulevard Blok JA 1 No 1, Lambangsari, Kec. Tambun Sel., Kabupaten Bekasi, Jawa Barat 17510</t>
  </si>
  <si>
    <t>021-82651212</t>
  </si>
  <si>
    <t>hamidasnan197@gmail.com</t>
  </si>
  <si>
    <t>TRI ANJAR WINDARI</t>
  </si>
  <si>
    <t>3505036401820001</t>
  </si>
  <si>
    <t>085536359759</t>
  </si>
  <si>
    <t>RS HERMINA TANGKUBANPRAHU</t>
  </si>
  <si>
    <t>Jl. Tangkuban Perahu No.31-33, Kauman, Kec. Klojen, Kota Malang, Jawa Timur 65119</t>
  </si>
  <si>
    <t>0341-325082</t>
  </si>
  <si>
    <t>&lt;10.000.000</t>
  </si>
  <si>
    <t>anjararnan@gmail.com</t>
  </si>
  <si>
    <t>GRACIO KIDS</t>
  </si>
  <si>
    <t>JL SELAT MALAKA F3 NO 9</t>
  </si>
  <si>
    <t>3151644069</t>
  </si>
  <si>
    <t>3573032407140008</t>
  </si>
  <si>
    <t>3573030509150001</t>
  </si>
  <si>
    <t>ARKAIZAN MISHARY ADMAGRANDIS</t>
  </si>
  <si>
    <t>Jl Simpang Danau Limboto Timur 2/A5H22</t>
  </si>
  <si>
    <t>Sawojajar</t>
  </si>
  <si>
    <t>085646363936</t>
  </si>
  <si>
    <t>BIMA AZIZ MUTTAQI, S.AP</t>
  </si>
  <si>
    <t>3575011110860002</t>
  </si>
  <si>
    <t>Jl Simpang Danau Limboto Timur A5H21</t>
  </si>
  <si>
    <t>bimamuttaqi@gmail.com</t>
  </si>
  <si>
    <t>Rr. ADDINI ZEA PRAMESWARI, S.AB</t>
  </si>
  <si>
    <t>3573036506870002</t>
  </si>
  <si>
    <t>KONGHUCHU</t>
  </si>
  <si>
    <t>dinizea05@gmail.com</t>
  </si>
  <si>
    <t>TA GITA NANDA</t>
  </si>
  <si>
    <t>JALAN SUDIMORO NO.21A. MOJOLANGU. LOWOKWARU. MALANG</t>
  </si>
  <si>
    <t>0151898342</t>
  </si>
  <si>
    <t>3508101109150009</t>
  </si>
  <si>
    <t>3508101911150002</t>
  </si>
  <si>
    <t>ASGARDIO YUSUF</t>
  </si>
  <si>
    <t>ASGARD</t>
  </si>
  <si>
    <t>Perum Permata Regency 2 blok a5/4</t>
  </si>
  <si>
    <t>081331696837</t>
  </si>
  <si>
    <t>ANDY YUSUF</t>
  </si>
  <si>
    <t>3508102605920004</t>
  </si>
  <si>
    <t>081332659237</t>
  </si>
  <si>
    <t>Service Hp Malang</t>
  </si>
  <si>
    <t>Jalan Soekarno Hatta dalam kav.11. Mojolangu. Lowokwaru. Malang</t>
  </si>
  <si>
    <t>085731131167</t>
  </si>
  <si>
    <t>andy.coepz@gmail.com</t>
  </si>
  <si>
    <t>RAGIL TRI INDAH MAYASARI, S.AP</t>
  </si>
  <si>
    <t>3508214105930002</t>
  </si>
  <si>
    <t>Warung Genduk</t>
  </si>
  <si>
    <t>Jl. Raya GPA Blok C-3. Ngijo. Karangploso. Kab. Malang</t>
  </si>
  <si>
    <t>Aagilmungil@gmail.com</t>
  </si>
  <si>
    <t>Dra Anisah Utami</t>
  </si>
  <si>
    <t>+62 812-3092-5349</t>
  </si>
  <si>
    <t>PNS (pensiun)</t>
  </si>
  <si>
    <t>Jl Batanghari No 88</t>
  </si>
  <si>
    <t>Jogotrunan</t>
  </si>
  <si>
    <t>JL SUDIMORO NO 21A</t>
  </si>
  <si>
    <t>3156879940</t>
  </si>
  <si>
    <t>3573050611150009</t>
  </si>
  <si>
    <t>3573055212150002</t>
  </si>
  <si>
    <t>AYSKA AQILA ANDHATA</t>
  </si>
  <si>
    <t>AYSKA</t>
  </si>
  <si>
    <t>mutiara jingga residence b-25</t>
  </si>
  <si>
    <t>tunggul wulung</t>
  </si>
  <si>
    <t>081286333232</t>
  </si>
  <si>
    <t>089506153907</t>
  </si>
  <si>
    <t>SABDHA AGUNG TRILAKSANA, S.Farm,APt</t>
  </si>
  <si>
    <t>3573050807870002</t>
  </si>
  <si>
    <t>busdev</t>
  </si>
  <si>
    <t>pt kosme</t>
  </si>
  <si>
    <t>jl rungkut industri III no.9 kutisari, tenggilis mejoyo surabaya</t>
  </si>
  <si>
    <t>031-99860099</t>
  </si>
  <si>
    <t>sabdha.agung@gmail.com</t>
  </si>
  <si>
    <t>YURIKA VERDIANANTA</t>
  </si>
  <si>
    <t>3573056608870005</t>
  </si>
  <si>
    <t>di rumah</t>
  </si>
  <si>
    <t xml:space="preserve">tidak </t>
  </si>
  <si>
    <t>yurikave26@gmail.com</t>
  </si>
  <si>
    <t>Purwono, SH</t>
  </si>
  <si>
    <t>085655574943</t>
  </si>
  <si>
    <t>pensiun pns</t>
  </si>
  <si>
    <t>jl sudimoro no 9</t>
  </si>
  <si>
    <t>mojolangu</t>
  </si>
  <si>
    <t xml:space="preserve">TK ANAK SALEH MALANG </t>
  </si>
  <si>
    <t>3573050608071247</t>
  </si>
  <si>
    <t>3573054107150003</t>
  </si>
  <si>
    <t>DHINASTIA BESTARY</t>
  </si>
  <si>
    <t>DHISTY</t>
  </si>
  <si>
    <t xml:space="preserve">JLN. MT HARYONO VIII/ 1021 </t>
  </si>
  <si>
    <t>0341562080</t>
  </si>
  <si>
    <t>081334359000</t>
  </si>
  <si>
    <t>Dr. HERMAWAN, S.IP., M.Si</t>
  </si>
  <si>
    <t>3573050504720005</t>
  </si>
  <si>
    <t>081334724455</t>
  </si>
  <si>
    <t>FIA UNIVERSITAS BRAWIJAYA</t>
  </si>
  <si>
    <t>Jl. MT. Haryono No.163, Ketawanggede, Kec. Lowokwaru, Kota Malang, Jawa Timur 65145</t>
  </si>
  <si>
    <t>(0341) 553737</t>
  </si>
  <si>
    <t>masherma_one@yahoo.com</t>
  </si>
  <si>
    <t>dr. DHANTI ERMA WIDIASI, Sp.Rad</t>
  </si>
  <si>
    <t>3673054711800005</t>
  </si>
  <si>
    <t xml:space="preserve">FK UNIVERSITAS ISLAM MALANG </t>
  </si>
  <si>
    <t>Jl. MT. Haryono No.193, Dinoyo, Kec. Lowokwaru, Kota Malang, Jawa Timur 65144</t>
  </si>
  <si>
    <t>(0341) 558959</t>
  </si>
  <si>
    <t>dhanti_hermawan@yahoo.co.id</t>
  </si>
  <si>
    <t>PRIHARTINI</t>
  </si>
  <si>
    <t>081334534741</t>
  </si>
  <si>
    <t xml:space="preserve">JLN RAMBUTAN 03 KAUMREJO NGANTANG MALANG </t>
  </si>
  <si>
    <t>KAUMREJO</t>
  </si>
  <si>
    <t>NGANTANG</t>
  </si>
  <si>
    <t>0164295595</t>
  </si>
  <si>
    <t>3573052012110022</t>
  </si>
  <si>
    <t>3573055008160005</t>
  </si>
  <si>
    <t>FATIMAH AZZAHRA MARON</t>
  </si>
  <si>
    <t>FATIM</t>
  </si>
  <si>
    <t>Permata Jingga blok sawit no.19</t>
  </si>
  <si>
    <t>Tunggulwulung</t>
  </si>
  <si>
    <t>081334383728</t>
  </si>
  <si>
    <t>Wempi Maron</t>
  </si>
  <si>
    <t>1371102208770004</t>
  </si>
  <si>
    <t>Padang</t>
  </si>
  <si>
    <t>08127530378</t>
  </si>
  <si>
    <t>Direktorat pajak departemen keuangan</t>
  </si>
  <si>
    <t>Jl. Jend Gatot Subroto kav 40-42 jakarta selatan</t>
  </si>
  <si>
    <t>021- 5250208</t>
  </si>
  <si>
    <t>35juta</t>
  </si>
  <si>
    <t>rayhanmaron@yahoo.co.id</t>
  </si>
  <si>
    <t>Sofia, Amd</t>
  </si>
  <si>
    <t>1371105107770004</t>
  </si>
  <si>
    <t>zahiralif12@gmail.com</t>
  </si>
  <si>
    <t>JK. CANDI PANGGUNG</t>
  </si>
  <si>
    <t>3169355793</t>
  </si>
  <si>
    <t>3507231111090001</t>
  </si>
  <si>
    <t>3507231708160001</t>
  </si>
  <si>
    <t>FAWWAZ ZAMZAMY AL-MUSTHOFA</t>
  </si>
  <si>
    <t>FAWWAZ</t>
  </si>
  <si>
    <t>JL. PERTAMANAN V NO.03</t>
  </si>
  <si>
    <t>082137400643</t>
  </si>
  <si>
    <t>13 KG</t>
  </si>
  <si>
    <t>MUHAMMAD FIRMANSYAH, S.S, SPd.</t>
  </si>
  <si>
    <t>3507231204840001</t>
  </si>
  <si>
    <t>JL. ARUMBA NO. 31</t>
  </si>
  <si>
    <t>syahfillah99.mf88@gmail.com</t>
  </si>
  <si>
    <t>FILLA FARIDA</t>
  </si>
  <si>
    <t>3507236905840001</t>
  </si>
  <si>
    <t>081249035852</t>
  </si>
  <si>
    <t>AL-MAHIRA</t>
  </si>
  <si>
    <t>PERUMAHAN TIRTASANI</t>
  </si>
  <si>
    <t>JL. CANDI PANGGUNG INDAH NO 1-3</t>
  </si>
  <si>
    <t>3152189998</t>
  </si>
  <si>
    <t>3573051302130013</t>
  </si>
  <si>
    <t>3573050309150003</t>
  </si>
  <si>
    <t>GAUZAN AL KHALIFI PUTRAAYRA</t>
  </si>
  <si>
    <t>GAUZAN</t>
  </si>
  <si>
    <t>Jl. Akordion 128 A</t>
  </si>
  <si>
    <t>082143180118</t>
  </si>
  <si>
    <t>ARDHA ASTHOFA</t>
  </si>
  <si>
    <t>3507021404870001</t>
  </si>
  <si>
    <t>081333501077</t>
  </si>
  <si>
    <t>Lanal Malang</t>
  </si>
  <si>
    <t>Jl. Yos Sudarso No.14 Kasin, Kec. Klojen Kota Malang</t>
  </si>
  <si>
    <t>0341 326881</t>
  </si>
  <si>
    <t>YULAILY RIZA ANJANI, S.Kep., Ns</t>
  </si>
  <si>
    <t>3573054306890001</t>
  </si>
  <si>
    <t>SMK Kesehatan Adi Husada</t>
  </si>
  <si>
    <t xml:space="preserve">Jl. Terusan Danau Sentani No. 97 Madyopuro, Kec. Kedungkandang Kota Malang  </t>
  </si>
  <si>
    <t>yulaily.riza@gmail.com</t>
  </si>
  <si>
    <t>H. Samuki</t>
  </si>
  <si>
    <t>085100036679</t>
  </si>
  <si>
    <t>Jl. Akordion 192</t>
  </si>
  <si>
    <t>PAUD KAMILIA</t>
  </si>
  <si>
    <t>JL DANAU BRATAN RAYA C3/A15 SAWOJAJAR</t>
  </si>
  <si>
    <t>3158796176</t>
  </si>
  <si>
    <t>3573011703160014</t>
  </si>
  <si>
    <t>3573010602150005</t>
  </si>
  <si>
    <t>GIBRAN XAVIER KAMAL</t>
  </si>
  <si>
    <t>Perum Green Orchid Residence,cluster esmeralda blok F 03</t>
  </si>
  <si>
    <t>2,8km</t>
  </si>
  <si>
    <t>085791855554</t>
  </si>
  <si>
    <t>NODI PRANATA KAMAL</t>
  </si>
  <si>
    <t>3216090505920021</t>
  </si>
  <si>
    <t>Kutai</t>
  </si>
  <si>
    <t>081255281595</t>
  </si>
  <si>
    <t>Konsultan</t>
  </si>
  <si>
    <t>PT Jotun Indonesia</t>
  </si>
  <si>
    <t>Kawasan industri MM2100, Jl. Irian III Blok KK1, Cikarang barat. Kode Pos, 17520.</t>
  </si>
  <si>
    <t>02189982657</t>
  </si>
  <si>
    <t>Nodi.pk@gmail.com</t>
  </si>
  <si>
    <t>VEMINA SUTRANDARI, S.Kom</t>
  </si>
  <si>
    <t>3573015611890003</t>
  </si>
  <si>
    <t>Kendari</t>
  </si>
  <si>
    <t>Perum green orchid residence blok F 03 cluster esmeralda</t>
  </si>
  <si>
    <t>Vemmyqueen@gmail.com</t>
  </si>
  <si>
    <t>20 FEBRUARI 2025</t>
  </si>
  <si>
    <t xml:space="preserve">SD MUTIARA HARAPAN </t>
  </si>
  <si>
    <t>JL. MAYOR ABDULLAH NO. 28 LAWANG</t>
  </si>
  <si>
    <t>0158536323</t>
  </si>
  <si>
    <t>3507252105120003</t>
  </si>
  <si>
    <t>3507250606150001</t>
  </si>
  <si>
    <t>IZZUDIN AL KHAIZAN</t>
  </si>
  <si>
    <t>IZAN</t>
  </si>
  <si>
    <t>JL. LAWANG VIEW BARAT II-24</t>
  </si>
  <si>
    <t>081252483791</t>
  </si>
  <si>
    <t>JOKO PRIMANTO</t>
  </si>
  <si>
    <t>3507242803830003</t>
  </si>
  <si>
    <t>28 MARET 1983</t>
  </si>
  <si>
    <t>PT HM SAMPOERNA, Tbk</t>
  </si>
  <si>
    <t>JL. RAYA SURABAYA MALANG KM 51,4 SUKOREJO PASURUAN</t>
  </si>
  <si>
    <t>VIVI INDAH LAKSITA</t>
  </si>
  <si>
    <t>350725606150001</t>
  </si>
  <si>
    <t>03 MARET 1984</t>
  </si>
  <si>
    <t>081252268234</t>
  </si>
  <si>
    <t>PT. HM SAMPOERNA, Tbk</t>
  </si>
  <si>
    <t>JL. KALI RUNGKUT 9-11</t>
  </si>
  <si>
    <t>laksitavivi@gmail.com</t>
  </si>
  <si>
    <t>RINAH</t>
  </si>
  <si>
    <t xml:space="preserve">KAKAK KANDUNG AYAH IZAN </t>
  </si>
  <si>
    <t>085232527808</t>
  </si>
  <si>
    <t>SMK</t>
  </si>
  <si>
    <t>PETUNGWULUNG</t>
  </si>
  <si>
    <t>TOYOMARTO</t>
  </si>
  <si>
    <t xml:space="preserve">SDN MENDAWAI - 2 </t>
  </si>
  <si>
    <t>JL. TJILIK RIWUT NO. 203 SUKAMARA KALIMANTAN BARAT</t>
  </si>
  <si>
    <t>3573050107160012</t>
  </si>
  <si>
    <t>3315145010150003</t>
  </si>
  <si>
    <t xml:space="preserve">JINGGA JAZILA PERMANA </t>
  </si>
  <si>
    <t xml:space="preserve">JINGGA </t>
  </si>
  <si>
    <t>10 Oktober 2015</t>
  </si>
  <si>
    <t xml:space="preserve">WARGA NEGARA INDONESIA </t>
  </si>
  <si>
    <t xml:space="preserve">JL. KAHURIPAN NO. 01 </t>
  </si>
  <si>
    <t>081230032608</t>
  </si>
  <si>
    <t>dr. ADIN YAN PERMANA, S.POG</t>
  </si>
  <si>
    <t>3573051301880006</t>
  </si>
  <si>
    <t>081385895303</t>
  </si>
  <si>
    <t>RSSA (SPESIALIS OBSTETRI DAN GINEKOLOGI)</t>
  </si>
  <si>
    <t xml:space="preserve">13adinyanpermana@gmail.com </t>
  </si>
  <si>
    <t xml:space="preserve">IRA AGUNG KUNCOROWATI </t>
  </si>
  <si>
    <t>3315144704930001</t>
  </si>
  <si>
    <t xml:space="preserve">GROBOGAN </t>
  </si>
  <si>
    <t>D3</t>
  </si>
  <si>
    <t xml:space="preserve">BIDAN </t>
  </si>
  <si>
    <t xml:space="preserve">JL. KANJURUHAN NO. 1 </t>
  </si>
  <si>
    <t xml:space="preserve">iraagung10@gmail.com </t>
  </si>
  <si>
    <t>INSAN MULIA</t>
  </si>
  <si>
    <t>TIRTASANI ESTATE</t>
  </si>
  <si>
    <t>3151830989</t>
  </si>
  <si>
    <t>3507232012110005</t>
  </si>
  <si>
    <t>3507231208150002</t>
  </si>
  <si>
    <t>M. AL-AZIZI ZUBAYDI MAULANA</t>
  </si>
  <si>
    <t>IZAZ</t>
  </si>
  <si>
    <t>Jl tanjungsari no 3</t>
  </si>
  <si>
    <t>082244503581</t>
  </si>
  <si>
    <t>Bahasa jawa</t>
  </si>
  <si>
    <t>DAVIT MAULANA</t>
  </si>
  <si>
    <t>3507230412860004</t>
  </si>
  <si>
    <t>9/4/0086</t>
  </si>
  <si>
    <t>081249621919</t>
  </si>
  <si>
    <t>Berkah jual beli sapi</t>
  </si>
  <si>
    <t>Jl werkudoro kedawung ngijo karangploso</t>
  </si>
  <si>
    <t>SUKMA WILIS PARLINDUNGAN</t>
  </si>
  <si>
    <t>3507145005940004</t>
  </si>
  <si>
    <t>3157113593</t>
  </si>
  <si>
    <t>3507271009130001</t>
  </si>
  <si>
    <t>3507272009150001</t>
  </si>
  <si>
    <t>MUHAMMAD ASYRAF NIZHAMUDDIN</t>
  </si>
  <si>
    <t>NIZHAM</t>
  </si>
  <si>
    <t>Jl. Tanjungsari 4 Dusun Karangplosowetan</t>
  </si>
  <si>
    <t>3,1 km</t>
  </si>
  <si>
    <t>085646486445</t>
  </si>
  <si>
    <t>085646580664</t>
  </si>
  <si>
    <t>Radang</t>
  </si>
  <si>
    <t>SURYO ADHI WIDIYANTO, S.Pd</t>
  </si>
  <si>
    <t>3507271402840001</t>
  </si>
  <si>
    <t>081216578336</t>
  </si>
  <si>
    <t>Guru, penulis</t>
  </si>
  <si>
    <t>SDN MOJOLANGU 5</t>
  </si>
  <si>
    <t>Jl. Terusan Sudimoro RT 9 RW 7 Kelurahan Mojolangu Kecamatan Lowokwaru Kota Malang</t>
  </si>
  <si>
    <t>(0341)414050</t>
  </si>
  <si>
    <t>Rp3.643.100, Rp1.000.000</t>
  </si>
  <si>
    <t>suryoadhimuhammad@gmail.com</t>
  </si>
  <si>
    <t>HAFIDHOTUL MUKARROMAH</t>
  </si>
  <si>
    <t>3507265101910002</t>
  </si>
  <si>
    <t>Ibu rumah tangga, bisnis online</t>
  </si>
  <si>
    <t>Online</t>
  </si>
  <si>
    <t>Jl. Tanjungsari Gang 4 RT 24 RW 08 kelurahan Kepuharjo Kecamatan Karangploso Kabupaten Malang</t>
  </si>
  <si>
    <t>Tidak tetap</t>
  </si>
  <si>
    <t>TK ANNISA XIII</t>
  </si>
  <si>
    <t>JL CENDANA</t>
  </si>
  <si>
    <t>3151073685</t>
  </si>
  <si>
    <t>6403040807190002</t>
  </si>
  <si>
    <t>6402033110150003</t>
  </si>
  <si>
    <t>MUHAMMAD FARID TATTONG BUNGA</t>
  </si>
  <si>
    <t>FARID</t>
  </si>
  <si>
    <t>JEMBAYAN</t>
  </si>
  <si>
    <t>Jl.anggrek</t>
  </si>
  <si>
    <t>Bukit makmur</t>
  </si>
  <si>
    <t>Segah</t>
  </si>
  <si>
    <t>Berau</t>
  </si>
  <si>
    <t>0.5</t>
  </si>
  <si>
    <t>081253707228</t>
  </si>
  <si>
    <t>081222108643</t>
  </si>
  <si>
    <t>TATTONG BUNG</t>
  </si>
  <si>
    <t>6402031009870005</t>
  </si>
  <si>
    <t>Toraja</t>
  </si>
  <si>
    <t>Pt BAR</t>
  </si>
  <si>
    <t>Jl. Seroja rt.04 kelurahan bukit makmur kecamatan segah</t>
  </si>
  <si>
    <t>+-6000000</t>
  </si>
  <si>
    <t>Tattongbunga87@gmail.com</t>
  </si>
  <si>
    <t>ESA MAYASARI</t>
  </si>
  <si>
    <t>6402034707810009</t>
  </si>
  <si>
    <t>Emak farid catering</t>
  </si>
  <si>
    <t>Jl.anggrek rt.05 kelurahan bukit makmur kecamatan segah kabupaten berau</t>
  </si>
  <si>
    <t>08225178177</t>
  </si>
  <si>
    <t>+-50000000</t>
  </si>
  <si>
    <t>elsamay78@gmail.com</t>
  </si>
  <si>
    <t>Wiwin utami</t>
  </si>
  <si>
    <t>085335506621</t>
  </si>
  <si>
    <t>Jl. Akordion</t>
  </si>
  <si>
    <t>Lowok waru</t>
  </si>
  <si>
    <t>JL IKAN KAKAP</t>
  </si>
  <si>
    <t>3164705165</t>
  </si>
  <si>
    <t>3573052511100128</t>
  </si>
  <si>
    <t>3573050706160001</t>
  </si>
  <si>
    <t>MUHAMMAD HAFIDZ AL FATIH</t>
  </si>
  <si>
    <t>HAFIDZ</t>
  </si>
  <si>
    <t>Perum taman tasikmaduindah kavling 26</t>
  </si>
  <si>
    <t>Indonesia, jawa</t>
  </si>
  <si>
    <t>Wirawan bahari, ST., MT</t>
  </si>
  <si>
    <t>3573050409810011</t>
  </si>
  <si>
    <t>Pns</t>
  </si>
  <si>
    <t>Dinas PU kota malang</t>
  </si>
  <si>
    <t>Jl bingkil no 1</t>
  </si>
  <si>
    <t>Fitria oktarina kurniawati</t>
  </si>
  <si>
    <t>Asn</t>
  </si>
  <si>
    <t>Universitas brawijaya</t>
  </si>
  <si>
    <t>Jl veteran kota malang</t>
  </si>
  <si>
    <t>JALAN SAXOSOFON NO.25 MALANG</t>
  </si>
  <si>
    <t>0132929911</t>
  </si>
  <si>
    <t>3573012805063837</t>
  </si>
  <si>
    <t>3573012307150007</t>
  </si>
  <si>
    <t>MUHAMMAD MAHDI</t>
  </si>
  <si>
    <t>MAHDI</t>
  </si>
  <si>
    <t>PERUMAHAN GRIYA SAMPOERNA SEJAHTERA BLOK D 3/ NO. 7</t>
  </si>
  <si>
    <t>081931022906</t>
  </si>
  <si>
    <t>TIGA (3)</t>
  </si>
  <si>
    <t>ALWI, ST</t>
  </si>
  <si>
    <t>3573012006750007</t>
  </si>
  <si>
    <t>08123463062</t>
  </si>
  <si>
    <t>TOKO</t>
  </si>
  <si>
    <t>NAWIRAH., SE., MSA., Ak., CA</t>
  </si>
  <si>
    <t>3573014501860007</t>
  </si>
  <si>
    <t>JALAN GAJAYANA NO. 50 MALANG</t>
  </si>
  <si>
    <t>3.300.000</t>
  </si>
  <si>
    <t>nawirah@uin-malang.ac.id</t>
  </si>
  <si>
    <t>TAMAN PENDIDIKAN ANAK USIA DINI FIRDAUS</t>
  </si>
  <si>
    <t>JALAN DAWUHAN RT 16 RW 05 NO 224 TEGALGONDO KARANGPLOSO, MALANG</t>
  </si>
  <si>
    <t>0159717052</t>
  </si>
  <si>
    <t>3507230712150004</t>
  </si>
  <si>
    <t>3507232307150002</t>
  </si>
  <si>
    <t>MUHAMMAD ZIDANE ALFARIZQI</t>
  </si>
  <si>
    <t>ZIDANE</t>
  </si>
  <si>
    <t>DAWUHAN NO 26</t>
  </si>
  <si>
    <t>0341464982</t>
  </si>
  <si>
    <t>085755041144</t>
  </si>
  <si>
    <t>BAHASA INDONESIA, BAHASA JAWA</t>
  </si>
  <si>
    <t>ONIE PRATAMA ARIYANTO, A.Md</t>
  </si>
  <si>
    <t>3507221607910003</t>
  </si>
  <si>
    <t>082230507001</t>
  </si>
  <si>
    <t>PT GUDANG GARAM TBK</t>
  </si>
  <si>
    <t>DUSUN KALIPUTIH, DESA SUMBERSUKO KECAMATAN GEMPOL KABUPATEN PASURUAN, 67157</t>
  </si>
  <si>
    <t>0343-638888</t>
  </si>
  <si>
    <t>Rp. 5.000.000 ,-</t>
  </si>
  <si>
    <t>pratama.onie@gmail.com</t>
  </si>
  <si>
    <t>SULVI EKA YULIANSARI, S.Si</t>
  </si>
  <si>
    <t>PEGAWAI BUMD</t>
  </si>
  <si>
    <t>PERUMDA AIR MINUM TUGU TIRTA KOTA MALANG</t>
  </si>
  <si>
    <t>JALAN TERUSAN DANAU SENTANI NO 100 MADYOPURO KEDUNGKANDANG MALANG</t>
  </si>
  <si>
    <t>0341-715103</t>
  </si>
  <si>
    <t>Rp. 4.000.000 ,-</t>
  </si>
  <si>
    <t>sulvieka@gmail.com</t>
  </si>
  <si>
    <t>TK. PERMATA IMAN 2</t>
  </si>
  <si>
    <t>0151202681</t>
  </si>
  <si>
    <t>3515181003140029</t>
  </si>
  <si>
    <t>3515184503150001</t>
  </si>
  <si>
    <t>QUENAZAHRA LAVIOLA KIMORA YUARTA</t>
  </si>
  <si>
    <t>Perum. Madinah Town House No. 07 jl saxofone lowokwaru kota malang</t>
  </si>
  <si>
    <t>081331756434</t>
  </si>
  <si>
    <t>17kg</t>
  </si>
  <si>
    <t>Bahasa indonesia</t>
  </si>
  <si>
    <t>RAJINDRA LEO YUARTA, S.E</t>
  </si>
  <si>
    <t>3515182008820005</t>
  </si>
  <si>
    <t>Tulungagung</t>
  </si>
  <si>
    <t>BUMD</t>
  </si>
  <si>
    <t>Bank Jatim</t>
  </si>
  <si>
    <t>Capem turen Jl. Panglima sudirman no. 81 turen</t>
  </si>
  <si>
    <t>(0341) 828445</t>
  </si>
  <si>
    <t>dmimamora@gmail.com</t>
  </si>
  <si>
    <t>DINAR SETIA INDARTI, S.Sos</t>
  </si>
  <si>
    <t>3515185911860002</t>
  </si>
  <si>
    <t>Surabaya</t>
  </si>
  <si>
    <t>Irt</t>
  </si>
  <si>
    <t>JL. TERSAN CANDI PANGGUNG</t>
  </si>
  <si>
    <t>3163365735</t>
  </si>
  <si>
    <t>3573010707140015</t>
  </si>
  <si>
    <t>3573015602160003</t>
  </si>
  <si>
    <t>RAISA RATIFA DEWI</t>
  </si>
  <si>
    <t>RAISA</t>
  </si>
  <si>
    <t>Jl. Cakalang perum arcapadha kav 38</t>
  </si>
  <si>
    <t>Polowijen</t>
  </si>
  <si>
    <t>081235474780</t>
  </si>
  <si>
    <t>Jarang</t>
  </si>
  <si>
    <t>ROFIQ SETIAWAN, SE</t>
  </si>
  <si>
    <t>3573010406800009</t>
  </si>
  <si>
    <t>081334536789</t>
  </si>
  <si>
    <t>Jl. Letjen Sutoyo malang</t>
  </si>
  <si>
    <t>(0341)425450</t>
  </si>
  <si>
    <t>rofiqsetiawan680@gmail.com</t>
  </si>
  <si>
    <t>DEWI PURBASARI, S.Kom</t>
  </si>
  <si>
    <t>3577036907860002</t>
  </si>
  <si>
    <t>Manokwari</t>
  </si>
  <si>
    <t>081236474780</t>
  </si>
  <si>
    <t>dpurbasari29@gmail.com</t>
  </si>
  <si>
    <t xml:space="preserve">Dedy Prasetyo, </t>
  </si>
  <si>
    <t>081396180831</t>
  </si>
  <si>
    <t>Pegawai swasta</t>
  </si>
  <si>
    <t>Jl. Bendungan nawangan no 16</t>
  </si>
  <si>
    <t>JL. BATU PERMATA NO 9, TLOGOMAS</t>
  </si>
  <si>
    <t>3154540485</t>
  </si>
  <si>
    <t>3507222005140001</t>
  </si>
  <si>
    <t>3507227007150001</t>
  </si>
  <si>
    <t>SABRINA LAQUISHA YUSUF</t>
  </si>
  <si>
    <t>Perum. Bukit Cemara Tujuh, Blok H-3</t>
  </si>
  <si>
    <t>082234427759</t>
  </si>
  <si>
    <t>Yusuf, ST</t>
  </si>
  <si>
    <t>3520051205820002</t>
  </si>
  <si>
    <t>Magetan</t>
  </si>
  <si>
    <t>081233670500</t>
  </si>
  <si>
    <t>Pegawai Swasta</t>
  </si>
  <si>
    <t>PT. Bentoel Group</t>
  </si>
  <si>
    <t>Jl. Raya Singosari</t>
  </si>
  <si>
    <t>yusufyfaja@gmail.com</t>
  </si>
  <si>
    <t>Sekkar Mayangsari, SE</t>
  </si>
  <si>
    <t>3507224602840001</t>
  </si>
  <si>
    <t>cake_tart@yahoo.com</t>
  </si>
  <si>
    <t>Sri Hasiati</t>
  </si>
  <si>
    <t>Sumenep</t>
  </si>
  <si>
    <t>085259350937</t>
  </si>
  <si>
    <t>Perum. Bukit Cemara Tujuh Blok H-3</t>
  </si>
  <si>
    <t>JLN. CANDI PANGGUNG INDAH NO 1-3</t>
  </si>
  <si>
    <t>0164335703</t>
  </si>
  <si>
    <t>3573020803110003</t>
  </si>
  <si>
    <t>3573025702160003</t>
  </si>
  <si>
    <t>SALJU BUMI SAARISELKA</t>
  </si>
  <si>
    <t>SALJU</t>
  </si>
  <si>
    <t>Jl. Ikan Lodan II no 77</t>
  </si>
  <si>
    <t>081333184680</t>
  </si>
  <si>
    <t>HEPPY JUNDAN HENDRAWAN, M.Ds</t>
  </si>
  <si>
    <t>3304061806770005</t>
  </si>
  <si>
    <t>Banjarnegara</t>
  </si>
  <si>
    <t>085855217009</t>
  </si>
  <si>
    <t>Jl. Semarang no 5</t>
  </si>
  <si>
    <t>hengdjay@gmail.com</t>
  </si>
  <si>
    <t>USWATUN HASANAH, S.S</t>
  </si>
  <si>
    <t>3573025010880002</t>
  </si>
  <si>
    <t>Lampung</t>
  </si>
  <si>
    <t>PAUD Terpadu Anak Saleh</t>
  </si>
  <si>
    <t>Jl. Candi Panggung Indah no 1-3</t>
  </si>
  <si>
    <t>uswatunhasanah10@gmail.com</t>
  </si>
  <si>
    <t>VALENCIA GARDEN BB6/14</t>
  </si>
  <si>
    <t>3156913015</t>
  </si>
  <si>
    <t>3515163108150004</t>
  </si>
  <si>
    <t>SHAKA ABIMANYU ARGANTA</t>
  </si>
  <si>
    <t>BANYU</t>
  </si>
  <si>
    <t>Tirtasani Residence Cluster Royal Village R 7/14, Malang</t>
  </si>
  <si>
    <t>Ngenep</t>
  </si>
  <si>
    <t>081235752934 / 081235541077</t>
  </si>
  <si>
    <t>DEDIK SUDARMAWAN, S.T</t>
  </si>
  <si>
    <t>Dahayu Karya Nusantara</t>
  </si>
  <si>
    <t>Jl.Danau Limboto Utara A6/L3, Rt 01/, Rw 02, kel.Sawojajar, Kec.Kedungkandang, Malang</t>
  </si>
  <si>
    <t>Rp 30.000.000,-/bulan</t>
  </si>
  <si>
    <t>ESTI RAHAYU DIANI</t>
  </si>
  <si>
    <t>Banyubinar31@gmail.com</t>
  </si>
  <si>
    <t>Mina Andriani</t>
  </si>
  <si>
    <t>Jl.Gadang 2/34B Malang</t>
  </si>
  <si>
    <t>Gadang</t>
  </si>
  <si>
    <t xml:space="preserve">TK ANAK SALEH   </t>
  </si>
  <si>
    <t xml:space="preserve">MOJOLANGU, LOWOKWARU, MALANG       </t>
  </si>
  <si>
    <t>3159096116</t>
  </si>
  <si>
    <t>3573055807150004</t>
  </si>
  <si>
    <t>SYIFA ADIBA HASNA</t>
  </si>
  <si>
    <t xml:space="preserve">LOWOKWARU    </t>
  </si>
  <si>
    <t xml:space="preserve">KOTA MALANG            </t>
  </si>
  <si>
    <t xml:space="preserve">0,9 KM                                                                     </t>
  </si>
  <si>
    <t xml:space="preserve">0341 553559                  </t>
  </si>
  <si>
    <t xml:space="preserve">114 CM                                      </t>
  </si>
  <si>
    <t xml:space="preserve">15,5 KG                                  </t>
  </si>
  <si>
    <t xml:space="preserve">INDONESIA                                            </t>
  </si>
  <si>
    <t xml:space="preserve">JOHAN SANJAYA, S.T.                  </t>
  </si>
  <si>
    <t xml:space="preserve">PASURUAN          </t>
  </si>
  <si>
    <t xml:space="preserve">ISLAM        </t>
  </si>
  <si>
    <t xml:space="preserve">PT. ECCO INDONESIA                        </t>
  </si>
  <si>
    <t xml:space="preserve">JALAN RAYA BLIGO 17 SIDOARJO                    </t>
  </si>
  <si>
    <t xml:space="preserve">031 8964555                  </t>
  </si>
  <si>
    <t xml:space="preserve">6.944.619 RUPIAH                          </t>
  </si>
  <si>
    <t xml:space="preserve">josan.sanjaya@gmail.com </t>
  </si>
  <si>
    <t xml:space="preserve">SEBAGAI DOSEN     </t>
  </si>
  <si>
    <t xml:space="preserve">UNIVERSITAS BRAWIJAYA                   </t>
  </si>
  <si>
    <t xml:space="preserve">0341 567192                   </t>
  </si>
  <si>
    <t>Prof.Dr. Ir. HARTUTIK, M.P., IPU., ASEAN Eng.</t>
  </si>
  <si>
    <t xml:space="preserve">BLITAR               </t>
  </si>
  <si>
    <t xml:space="preserve">SEBAGAI DOSEN   </t>
  </si>
  <si>
    <t xml:space="preserve">LOWOKWARU  </t>
  </si>
  <si>
    <t xml:space="preserve">KOTA MALANG         </t>
  </si>
  <si>
    <t>0154939532</t>
  </si>
  <si>
    <t>3573056008150002</t>
  </si>
  <si>
    <t>ABIDAH KAMILA FAIZA</t>
  </si>
  <si>
    <t>4D</t>
  </si>
  <si>
    <t xml:space="preserve">Bumi Meranti Wangi Jl House of BMW blok B no. 23 Malang </t>
  </si>
  <si>
    <t>DEMAM, BATUK, PILEK, Asma</t>
  </si>
  <si>
    <t>ARIF FURQON, S.Hum</t>
  </si>
  <si>
    <t>Penerjemah</t>
  </si>
  <si>
    <t>TranslationLinker</t>
  </si>
  <si>
    <t>Bumi Meranti Wangi B-23 Rt 03 Rw 13 Kelurahan Pandanwangi Kecamatan Blimbing Kota Malang</t>
  </si>
  <si>
    <t>20 Juta</t>
  </si>
  <si>
    <t>MAWAR FIRDAUSI, S.S</t>
  </si>
  <si>
    <t>0816671870</t>
  </si>
  <si>
    <t>Bumi Meranti Wangi B 24 Rt 03 Rw 13 Kelurahan Pandanwangi Kecamatan Blimbing Kota Malang</t>
  </si>
  <si>
    <t>0166080678</t>
  </si>
  <si>
    <t>3174041910180028</t>
  </si>
  <si>
    <t>3174042302160007</t>
  </si>
  <si>
    <t>ABRAHAM GARRISON SANTOSO</t>
  </si>
  <si>
    <t>23 FEBRUARI 2016</t>
  </si>
  <si>
    <t>JL. BLIMBING INDAH TENGAH VIII / C2 NO. 27</t>
  </si>
  <si>
    <t>GIERDINO JULIAN</t>
  </si>
  <si>
    <t>KATHRIN CASUARINA</t>
  </si>
  <si>
    <t>3523145202930002</t>
  </si>
  <si>
    <t>12 FEBRUARI 1993</t>
  </si>
  <si>
    <t>PENATA RIAS</t>
  </si>
  <si>
    <t>JL. CANDI PANGGUNG JATIMULYO LOWOKWARU MALANG</t>
  </si>
  <si>
    <t>3158375403</t>
  </si>
  <si>
    <t>3573052108230007</t>
  </si>
  <si>
    <t>GHAZA</t>
  </si>
  <si>
    <t>HONGKONG</t>
  </si>
  <si>
    <t>Perum Permata Brantas Kav 61</t>
  </si>
  <si>
    <t>1.5 KM</t>
  </si>
  <si>
    <t>082266222329</t>
  </si>
  <si>
    <t>082266222328</t>
  </si>
  <si>
    <t>Jawa dan Indonesia</t>
  </si>
  <si>
    <t>ABDUL GHONI</t>
  </si>
  <si>
    <t>3523022606800004</t>
  </si>
  <si>
    <t>Perum pakisjajar permai blok F/7 pakisjajar pakis malang</t>
  </si>
  <si>
    <t>034179308</t>
  </si>
  <si>
    <t>abghon2011@gmail.com</t>
  </si>
  <si>
    <t>NURUL FAIDA</t>
  </si>
  <si>
    <t>3507035001810006</t>
  </si>
  <si>
    <t>Perum pakisajajar permai Blok F/7 pakisjajar pakis malang</t>
  </si>
  <si>
    <t>0341794308</t>
  </si>
  <si>
    <t>nurulfaida07@gmail.com</t>
  </si>
  <si>
    <t>3155976638</t>
  </si>
  <si>
    <t>35077231712150014</t>
  </si>
  <si>
    <t>35072316081500001</t>
  </si>
  <si>
    <t>ALLISTER CARLEON ISWANTOPO</t>
  </si>
  <si>
    <t>LEON</t>
  </si>
  <si>
    <t xml:space="preserve">Griya Permata Alam Jl intan X blok HK no 1 Ngijo Karangploso </t>
  </si>
  <si>
    <t>17.8</t>
  </si>
  <si>
    <t xml:space="preserve">Indonesia </t>
  </si>
  <si>
    <t>Dr. YUDITHIA DIAN PUTRA, M.Pd.,MM</t>
  </si>
  <si>
    <t>3507232004870001</t>
  </si>
  <si>
    <t>08980878087</t>
  </si>
  <si>
    <t xml:space="preserve">Universitas Negeri Malang </t>
  </si>
  <si>
    <t xml:space="preserve">Jl. Semarang no. 5 Kota Malang </t>
  </si>
  <si>
    <t>dith87@gmail.com</t>
  </si>
  <si>
    <t>INE LUNA DIANTI, M.Psi.</t>
  </si>
  <si>
    <t>3573014710870008</t>
  </si>
  <si>
    <t>081252526807</t>
  </si>
  <si>
    <t xml:space="preserve">STIE IBMT Surabaya </t>
  </si>
  <si>
    <t xml:space="preserve">Jl. Raya Kupang Baru no 8 Surabaya </t>
  </si>
  <si>
    <t xml:space="preserve">Lunadianti@gmail.com </t>
  </si>
  <si>
    <t>Nur Iswanto</t>
  </si>
  <si>
    <t xml:space="preserve">Jakarta </t>
  </si>
  <si>
    <t>Purna tugas</t>
  </si>
  <si>
    <t xml:space="preserve">Jl. Merpati no 87b kendalsari </t>
  </si>
  <si>
    <t>TK RESTU 2</t>
  </si>
  <si>
    <t>JL. PANDEGELANG</t>
  </si>
  <si>
    <t>0169697009</t>
  </si>
  <si>
    <t>3573020807080004</t>
  </si>
  <si>
    <t>3573025901160001</t>
  </si>
  <si>
    <t>ALMAHYRA KHALISA PUTRI</t>
  </si>
  <si>
    <t>ALMA</t>
  </si>
  <si>
    <t>Jl. Cerme 9</t>
  </si>
  <si>
    <t>Oro oro dowo</t>
  </si>
  <si>
    <t>Klojen</t>
  </si>
  <si>
    <t>4-5 km</t>
  </si>
  <si>
    <t>(0341)365540</t>
  </si>
  <si>
    <t>0818535990</t>
  </si>
  <si>
    <t>IQBAL IFRIZAL, S.H</t>
  </si>
  <si>
    <t>3573021891780004</t>
  </si>
  <si>
    <t>Banda aceh</t>
  </si>
  <si>
    <t>081233052020</t>
  </si>
  <si>
    <t>Kantor sendiri</t>
  </si>
  <si>
    <t>Jl. Wilis kav 4</t>
  </si>
  <si>
    <t>(0341)574592</t>
  </si>
  <si>
    <t>Iqbal_ifrizal@yahoo.com</t>
  </si>
  <si>
    <t>ANIDA FAJARWATI, S.H</t>
  </si>
  <si>
    <t>357302620980005</t>
  </si>
  <si>
    <t>Anida.fajarwati@gmail.com</t>
  </si>
  <si>
    <t>Wahyu Aditama ST</t>
  </si>
  <si>
    <t>08123328058</t>
  </si>
  <si>
    <t>Jl. Semeru 62</t>
  </si>
  <si>
    <t>TK AL FALAH KOTA BATU</t>
  </si>
  <si>
    <t>JL. P. B. SUDIRMAN RT. 02 RW. 06 DESA TLEKUNG KEC. JUNREJO KOTA BATU</t>
  </si>
  <si>
    <t>3151707666</t>
  </si>
  <si>
    <t>3579031208080002</t>
  </si>
  <si>
    <t>3579035512150001</t>
  </si>
  <si>
    <t>ALYA AFIQAH AZZAHRA</t>
  </si>
  <si>
    <t xml:space="preserve">Jl. Hasanudin No. 229 </t>
  </si>
  <si>
    <t>8km</t>
  </si>
  <si>
    <t>081331613013</t>
  </si>
  <si>
    <t>Dany Dian Widya Primanda</t>
  </si>
  <si>
    <t>3579032910840005</t>
  </si>
  <si>
    <t>081217404903</t>
  </si>
  <si>
    <t>Polri</t>
  </si>
  <si>
    <t>Polres Batu</t>
  </si>
  <si>
    <t>Jl. Raya Kacoeng Permadi No. 16 Batu</t>
  </si>
  <si>
    <t>0341-599045</t>
  </si>
  <si>
    <t>danydianwp@gmail.com</t>
  </si>
  <si>
    <t>Ika Febriana Sari</t>
  </si>
  <si>
    <t>3579036702830003</t>
  </si>
  <si>
    <t>TK AROFAH</t>
  </si>
  <si>
    <t xml:space="preserve">JALAN VINOLIA </t>
  </si>
  <si>
    <t>0158632321</t>
  </si>
  <si>
    <t>3502173112090003</t>
  </si>
  <si>
    <t>3502176511150003</t>
  </si>
  <si>
    <t>ARDANI DEWI MASITOH</t>
  </si>
  <si>
    <t>ARDA</t>
  </si>
  <si>
    <t>Jalan simpang candi panggung perum garden Palma inside kav 16 mojolangu Lowokwaru kota Malang</t>
  </si>
  <si>
    <t>081334307798</t>
  </si>
  <si>
    <t>SUWANDI</t>
  </si>
  <si>
    <t>3502170406790004</t>
  </si>
  <si>
    <t xml:space="preserve">Madiun </t>
  </si>
  <si>
    <t>081312782346</t>
  </si>
  <si>
    <t>Usaha mandiri</t>
  </si>
  <si>
    <t>Bagor nganjuk</t>
  </si>
  <si>
    <t>Suwandimlng@gmail.com</t>
  </si>
  <si>
    <t>DEWI MAKNUNI</t>
  </si>
  <si>
    <t>3502175907780002</t>
  </si>
  <si>
    <t>Ponorogo</t>
  </si>
  <si>
    <t>RSI Malang Unisma</t>
  </si>
  <si>
    <t>Jalan MT haryono no 139 Malang</t>
  </si>
  <si>
    <t>0341551356</t>
  </si>
  <si>
    <t>dmaknuni@gmail.com</t>
  </si>
  <si>
    <t xml:space="preserve">SDIT AL IHSAN </t>
  </si>
  <si>
    <t xml:space="preserve">JL. BAUNG, KEBAGUSAN, JAKARTA SELATAN </t>
  </si>
  <si>
    <t>3153529351</t>
  </si>
  <si>
    <t>3516152312150001</t>
  </si>
  <si>
    <t>3516151011150002</t>
  </si>
  <si>
    <t xml:space="preserve">BALYA AHMED AL-ARSY </t>
  </si>
  <si>
    <t xml:space="preserve">BALYA </t>
  </si>
  <si>
    <t>10 NOVEMBER 2015</t>
  </si>
  <si>
    <t xml:space="preserve">JL. APEL NO. 15 PENDEM </t>
  </si>
  <si>
    <t xml:space="preserve">PENDEM </t>
  </si>
  <si>
    <t xml:space="preserve">10 KM </t>
  </si>
  <si>
    <t>082111777693</t>
  </si>
  <si>
    <t xml:space="preserve">BATUK PILEK </t>
  </si>
  <si>
    <t xml:space="preserve">BAIHAQI AHMAD SAMODRA </t>
  </si>
  <si>
    <t>3579032106860001</t>
  </si>
  <si>
    <t xml:space="preserve">21 JUNI 1986 </t>
  </si>
  <si>
    <t>081211005786</t>
  </si>
  <si>
    <t xml:space="preserve">ASISSTANT DIRECTOR </t>
  </si>
  <si>
    <t xml:space="preserve">PT. AMS </t>
  </si>
  <si>
    <t xml:space="preserve">PERUM PESANGGRAHAN PRATAMA </t>
  </si>
  <si>
    <t>RP. 10.000.000</t>
  </si>
  <si>
    <t xml:space="preserve">baihaqi21@gmail.com </t>
  </si>
  <si>
    <t xml:space="preserve">ARISTHA ZHAHROTUL KHOIROH </t>
  </si>
  <si>
    <t>3516157112900013</t>
  </si>
  <si>
    <t xml:space="preserve">31 DESEMBER 1990 </t>
  </si>
  <si>
    <t xml:space="preserve">ata.aristha31@gmail.com </t>
  </si>
  <si>
    <t>0151106976</t>
  </si>
  <si>
    <t>3573051802150010</t>
  </si>
  <si>
    <t>3573010311120004</t>
  </si>
  <si>
    <t>DANESWARA KALEAQOBA</t>
  </si>
  <si>
    <t>DANES</t>
  </si>
  <si>
    <t>Jl ikan lodan no 58</t>
  </si>
  <si>
    <t>085646751313</t>
  </si>
  <si>
    <t>Tdk ada</t>
  </si>
  <si>
    <t>GOSSY AQOBA, S.TP</t>
  </si>
  <si>
    <t>085330482233</t>
  </si>
  <si>
    <t>PT Syngenta</t>
  </si>
  <si>
    <t>Araya blok K2</t>
  </si>
  <si>
    <t>7jt</t>
  </si>
  <si>
    <t>gossyaqo1@gmail.com</t>
  </si>
  <si>
    <t>ANASTASIA RATIH RATNA DEWI</t>
  </si>
  <si>
    <t>No</t>
  </si>
  <si>
    <t>TK RUMAH CERDAS</t>
  </si>
  <si>
    <t>JL. IKAN TOMBRO ( ZONA FUTSAL SM ), MOJOLANGU, KEC. LOWOKWARU, KOTA MALANG</t>
  </si>
  <si>
    <t>0152436013</t>
  </si>
  <si>
    <t>3507222403110001</t>
  </si>
  <si>
    <t>3507222907150001</t>
  </si>
  <si>
    <t>DWIPHA RAKAAJI</t>
  </si>
  <si>
    <t>Perum Serenia Garden No. A-11</t>
  </si>
  <si>
    <t>Tunjungtirto</t>
  </si>
  <si>
    <t>Singosari</t>
  </si>
  <si>
    <t>08155911910</t>
  </si>
  <si>
    <t>AZIZI AKNAS, S.E</t>
  </si>
  <si>
    <t>3573013011850002</t>
  </si>
  <si>
    <t>Kupang</t>
  </si>
  <si>
    <t>081233878786</t>
  </si>
  <si>
    <t>Kementerian Agama Kab. Malang</t>
  </si>
  <si>
    <t>Jl. Kolonel Sugiono No. 266, Gadang, Kec. Sukun, Kota Malang</t>
  </si>
  <si>
    <t>(0341) 081131</t>
  </si>
  <si>
    <t>aziziaknas@gmail.com</t>
  </si>
  <si>
    <t>AYU VIRGOYANTI, S.E</t>
  </si>
  <si>
    <t>3575014209860002</t>
  </si>
  <si>
    <t>Badung</t>
  </si>
  <si>
    <t>KPP Pratama Probolinggo</t>
  </si>
  <si>
    <t>Jl. Mastrip No. 169-171, Kanigaran, Kec. Kanigaran, Kota Probolinggo</t>
  </si>
  <si>
    <t>0335 420472</t>
  </si>
  <si>
    <t>virgomana02@gmail.com</t>
  </si>
  <si>
    <t>Witan Waskita Aji</t>
  </si>
  <si>
    <t>087757453104</t>
  </si>
  <si>
    <t>Mahasiswa</t>
  </si>
  <si>
    <t>PERMATA IMAN</t>
  </si>
  <si>
    <t>JALAN BATU PERMATA NO 09 TLOGOMAS LOWOKWARU MALANG</t>
  </si>
  <si>
    <t>3153320434</t>
  </si>
  <si>
    <t>3579032604170002</t>
  </si>
  <si>
    <t>3579035109150004</t>
  </si>
  <si>
    <t>GHEALSY AYUDYA RIZKI</t>
  </si>
  <si>
    <t>GHEALSY</t>
  </si>
  <si>
    <t xml:space="preserve">JL IR SOEKARNO GG 6 NO 15 </t>
  </si>
  <si>
    <t>081331321542</t>
  </si>
  <si>
    <t>134 cm</t>
  </si>
  <si>
    <t xml:space="preserve">25 KG </t>
  </si>
  <si>
    <t xml:space="preserve">BAHASA INDONESIA DAN JAWA </t>
  </si>
  <si>
    <t>RIZKI PRISTIAWAN,SM</t>
  </si>
  <si>
    <t>3510222607900003</t>
  </si>
  <si>
    <t>082242222766</t>
  </si>
  <si>
    <t>TOKO GHEALSYSHOESID</t>
  </si>
  <si>
    <t>Jalan raya jetis no 19 A mulyoagung dau malang</t>
  </si>
  <si>
    <t>PUTRI AYU FEBRIYANTI, S.ST</t>
  </si>
  <si>
    <t>3510096202920003</t>
  </si>
  <si>
    <t>Banywangi</t>
  </si>
  <si>
    <t xml:space="preserve">CV GEAMOORE </t>
  </si>
  <si>
    <t>Jalan diponegoro no 10 junrejo malang</t>
  </si>
  <si>
    <t>20 juta</t>
  </si>
  <si>
    <t>Putriayu_feb@yahoo.com</t>
  </si>
  <si>
    <t>3157705286</t>
  </si>
  <si>
    <t>3573051107150004</t>
  </si>
  <si>
    <t>IQBAL MINHAJUL ABIDIN PRIBADI</t>
  </si>
  <si>
    <t xml:space="preserve">Jl.tenis meja </t>
  </si>
  <si>
    <t xml:space="preserve">23 kg </t>
  </si>
  <si>
    <t xml:space="preserve">Jawa dan indonesia </t>
  </si>
  <si>
    <t>35730201037320002</t>
  </si>
  <si>
    <t xml:space="preserve">Dikantor </t>
  </si>
  <si>
    <t xml:space="preserve">Dwiga regency Blok A6/29 mojolangu Lowokwaru Malang </t>
  </si>
  <si>
    <t>0341485785</t>
  </si>
  <si>
    <t xml:space="preserve">Jl.tenis meja RT02/RW03 Tasikmadu Lowokwaru Malang </t>
  </si>
  <si>
    <t xml:space="preserve">1 juta </t>
  </si>
  <si>
    <t xml:space="preserve">Sutadji </t>
  </si>
  <si>
    <t xml:space="preserve">Dsn karang Rejo </t>
  </si>
  <si>
    <t xml:space="preserve">Dadapan  </t>
  </si>
  <si>
    <t>TK WALISONGO GEMPOL</t>
  </si>
  <si>
    <t>JL. CEMPAKA PUTIH NO.08 GEMPOL</t>
  </si>
  <si>
    <t>3158065132</t>
  </si>
  <si>
    <t>3514120610110012</t>
  </si>
  <si>
    <t>3514124209150003</t>
  </si>
  <si>
    <t>KAYYISAH AZKADINA PUTRI</t>
  </si>
  <si>
    <t>KEKE</t>
  </si>
  <si>
    <t>PERUM. JAWARA LAND NO 14 CLUSTER MAINROAD</t>
  </si>
  <si>
    <t>081385649069</t>
  </si>
  <si>
    <t>ARIF RAHMAN S.Kom., M.MT</t>
  </si>
  <si>
    <t>3514122801830001</t>
  </si>
  <si>
    <t>081283586401</t>
  </si>
  <si>
    <t>BENDAHARA LEMBAGA PENDIDIKAN/DOSEN</t>
  </si>
  <si>
    <t>YLPM WALISONGO GEMPOL-PASURUAN</t>
  </si>
  <si>
    <t>JL. CEMPAKA PUTIH NO.08 GEMPOL - PASURUAN</t>
  </si>
  <si>
    <t>0343-842170</t>
  </si>
  <si>
    <t>arifmailg@gmail.com</t>
  </si>
  <si>
    <t>DEWI SRI LESTARI. S.P</t>
  </si>
  <si>
    <t>3514126403840006</t>
  </si>
  <si>
    <t>KISARAN-SUMATRA UTARA</t>
  </si>
  <si>
    <t>PT. INFORSYS SOLUTION</t>
  </si>
  <si>
    <t>JL Pahlawan Seribu, BSD City, Perkantoran BSD Plaza Sektor IV Blok RD 65, Lengkong Wetan, Tangerang, Kota Tangerang Selatan</t>
  </si>
  <si>
    <t>0215379898</t>
  </si>
  <si>
    <t>7.400.000</t>
  </si>
  <si>
    <t>iiksudharno84@gmail.com</t>
  </si>
  <si>
    <t>26 JULI 2022</t>
  </si>
  <si>
    <t>MI NAHDLATUL ULAMA' TRATE PUTRI</t>
  </si>
  <si>
    <t>JL. KH. ABDUL KARIM 60 GRESIK</t>
  </si>
  <si>
    <t>0159819539</t>
  </si>
  <si>
    <t>3573052411100134</t>
  </si>
  <si>
    <t>3573057108150001</t>
  </si>
  <si>
    <t>KEIKO ADZKIYA FARZANA DEEBA</t>
  </si>
  <si>
    <t>KEIKO</t>
  </si>
  <si>
    <t>31 AGUSTUS 2015</t>
  </si>
  <si>
    <t>JL. CANDI BADUT I / 13</t>
  </si>
  <si>
    <t>PURWANTO, ST</t>
  </si>
  <si>
    <t>3573050609820001</t>
  </si>
  <si>
    <t>082199666657</t>
  </si>
  <si>
    <t xml:space="preserve">KEMENTERIAN PERHUBUNGAN </t>
  </si>
  <si>
    <t>MULIA, PUNCAK JAYA, PAPUA</t>
  </si>
  <si>
    <t>purwantoanika@gmail.com</t>
  </si>
  <si>
    <t>ANIKA KURNIAWATI, ST</t>
  </si>
  <si>
    <t>3573055111810002</t>
  </si>
  <si>
    <t>081233366663</t>
  </si>
  <si>
    <t>BMKG</t>
  </si>
  <si>
    <t>anikaksopgresik@gmail.com</t>
  </si>
  <si>
    <t>3153501405</t>
  </si>
  <si>
    <t>3573051108073992</t>
  </si>
  <si>
    <t>3573051511150005</t>
  </si>
  <si>
    <t>LALU ALTHAFURRAHMAN IRCYA PUTRA</t>
  </si>
  <si>
    <t>ALTHA</t>
  </si>
  <si>
    <t>Perum Griyashanta F 218</t>
  </si>
  <si>
    <t>081333574385</t>
  </si>
  <si>
    <t>LALU MUH YASIR MARWAZI</t>
  </si>
  <si>
    <t>3573051609820008</t>
  </si>
  <si>
    <t>Praya</t>
  </si>
  <si>
    <t>081803860437</t>
  </si>
  <si>
    <t>Perum Griyashanta F 218 Malang</t>
  </si>
  <si>
    <t xml:space="preserve">dr. ADECYA AMARYLLIS RISA PUTRI </t>
  </si>
  <si>
    <t>3573054104920002</t>
  </si>
  <si>
    <t>RSSA Malang</t>
  </si>
  <si>
    <t>Perum Griyashanta F 218 Malang RT 004 RW 016 Kelurahan Mojolangu Kecamatan Lowokwaru Kota Malang</t>
  </si>
  <si>
    <t>adecyaamaryllis@gmail.com</t>
  </si>
  <si>
    <t xml:space="preserve">JALAN IKAN KAKAP </t>
  </si>
  <si>
    <t>3163813851</t>
  </si>
  <si>
    <t>3573051404210003</t>
  </si>
  <si>
    <t>3507140603160001</t>
  </si>
  <si>
    <t>MALVIN AQUILA SAVA WIBOWO</t>
  </si>
  <si>
    <t>MALVIN</t>
  </si>
  <si>
    <t>PERUMAHAN DEPRIMA TUNGGULWULUNG BLOK AA NO 2</t>
  </si>
  <si>
    <t>1.5KM</t>
  </si>
  <si>
    <t>081332097097</t>
  </si>
  <si>
    <t>082332686164</t>
  </si>
  <si>
    <t>110cm</t>
  </si>
  <si>
    <t>INDONESIA JAWA</t>
  </si>
  <si>
    <t>ANDRI PRAMUDYO WIBOWO. S.T</t>
  </si>
  <si>
    <t>3507142805800001</t>
  </si>
  <si>
    <t>PERTAMINA EP CEPU</t>
  </si>
  <si>
    <t>Jln. Amak Khasim, Sidorukun, kec Gresik Kabupaten Gresik</t>
  </si>
  <si>
    <t>0312939159</t>
  </si>
  <si>
    <t>Andripramudyowibowo@yahoo.com</t>
  </si>
  <si>
    <t>SRI USMAWATI, SKom</t>
  </si>
  <si>
    <t>3507244809890003</t>
  </si>
  <si>
    <t>BANK BTN</t>
  </si>
  <si>
    <t>JALAN ADE IRMA SURYANI NO 2-4</t>
  </si>
  <si>
    <t>0341323956</t>
  </si>
  <si>
    <t>Uzhma.89@gmail.com</t>
  </si>
  <si>
    <t>3154038296</t>
  </si>
  <si>
    <t>3573042512150008</t>
  </si>
  <si>
    <t>MUHAMMAD WILDAN SYAMSUDIN</t>
  </si>
  <si>
    <t>WILDAN</t>
  </si>
  <si>
    <t xml:space="preserve">1 KM dr tempat tinggal (Karangploso) </t>
  </si>
  <si>
    <t>wilzata77@gmail.com</t>
  </si>
  <si>
    <t>0166128518</t>
  </si>
  <si>
    <t>357304060616001</t>
  </si>
  <si>
    <t>3573046305160001</t>
  </si>
  <si>
    <t>NAURA ALMEIRA PUTRI PUJI</t>
  </si>
  <si>
    <t>NAURA</t>
  </si>
  <si>
    <t>Jl.Candi 6c 309</t>
  </si>
  <si>
    <t>088217356393</t>
  </si>
  <si>
    <t>Naib pujiono</t>
  </si>
  <si>
    <t>35730426002800008</t>
  </si>
  <si>
    <t>0881036831508</t>
  </si>
  <si>
    <t>Seminari tinggi</t>
  </si>
  <si>
    <t>Jl bendungan sutami</t>
  </si>
  <si>
    <t xml:space="preserve">Ika wijayanti </t>
  </si>
  <si>
    <t>3573045105840004</t>
  </si>
  <si>
    <t xml:space="preserve">Yayasan Anak Saleh </t>
  </si>
  <si>
    <t xml:space="preserve">Jl.arumba </t>
  </si>
  <si>
    <t>Ikawijayanti@sekolahanaksaleh.id</t>
  </si>
  <si>
    <t>RAQ AL JAUHAR</t>
  </si>
  <si>
    <t>PERUM PERMATA REGENCY BLOK 21 NO 15-16, NGIJO. KARANGPLOSO. MALANG</t>
  </si>
  <si>
    <t>3156951255</t>
  </si>
  <si>
    <t>3510040110130010</t>
  </si>
  <si>
    <t>3510044608150001</t>
  </si>
  <si>
    <t>NAYYARA KEISYA JENNA</t>
  </si>
  <si>
    <t>PERUM KENCANA RESIDENCE NO.B1.19</t>
  </si>
  <si>
    <t>6,4km</t>
  </si>
  <si>
    <t>081334883987</t>
  </si>
  <si>
    <t>113cm</t>
  </si>
  <si>
    <t>ILHAM NADHIR, S.T</t>
  </si>
  <si>
    <t>3510041902790001</t>
  </si>
  <si>
    <t>081249809639</t>
  </si>
  <si>
    <t>PT</t>
  </si>
  <si>
    <t>PERUM KENCANA RESIDENCE NO.B1.15</t>
  </si>
  <si>
    <t>Bangun_cipta_mandiri@yahoo.com</t>
  </si>
  <si>
    <t>RETNO KUMALA DEWI</t>
  </si>
  <si>
    <t>3510045410870006</t>
  </si>
  <si>
    <t>Ilhamnadhir65@gmail.com</t>
  </si>
  <si>
    <t>PAUD NUR MADINAH</t>
  </si>
  <si>
    <t>JL. LETJEND SOETOYO IV NO.63, LOWOKWARU, KEC. LOWOKWARU, KOTA MALANG, JAWA TIMUR 65141</t>
  </si>
  <si>
    <t>0158120192</t>
  </si>
  <si>
    <t>3524253112102625</t>
  </si>
  <si>
    <t>RAFFAHLEVI PUTRA AL MAGHRIBI</t>
  </si>
  <si>
    <t>jalan kaca piring kav.24 mulyoagung</t>
  </si>
  <si>
    <t>mulyoagung</t>
  </si>
  <si>
    <t>kabupaten malang</t>
  </si>
  <si>
    <t>081333353093</t>
  </si>
  <si>
    <t>Riswanda Putra Perdana, S.H</t>
  </si>
  <si>
    <t>3524252507940002</t>
  </si>
  <si>
    <t>lamongan</t>
  </si>
  <si>
    <t>082229534837</t>
  </si>
  <si>
    <t>karyawan</t>
  </si>
  <si>
    <t>kementrian ATR BPN (badan pertanahan nasional) kota malang</t>
  </si>
  <si>
    <t>Jl. Danau Jonge I No.1, Madyopuro, Kec. Kedungkandang, Kota Malang, Jawa Timur 65138</t>
  </si>
  <si>
    <t>0341717016</t>
  </si>
  <si>
    <t>machfidha2gmail.com</t>
  </si>
  <si>
    <t>Rachmatika Lauchul Machfidha, S.P</t>
  </si>
  <si>
    <t>3524206707930001</t>
  </si>
  <si>
    <t>karyawan swasta</t>
  </si>
  <si>
    <t>PT. kusuma megh grup</t>
  </si>
  <si>
    <t>Jalan Kapi Sraba Raya Ruko 15A - 1D, Jl. Sawojajar II, Sawojajar A, Sekarpuro, Kec. Pakis, Kabupaten Malang, Jawa Timur 65139</t>
  </si>
  <si>
    <t>0341725369</t>
  </si>
  <si>
    <t>machfidha@gmail.com</t>
  </si>
  <si>
    <t xml:space="preserve">MOJOLANGU, LOWOKWARU, MALANG. </t>
  </si>
  <si>
    <t>3152293081</t>
  </si>
  <si>
    <t>3573051807150004</t>
  </si>
  <si>
    <t>RAFLI ALTHAF GHAISAN</t>
  </si>
  <si>
    <t>RAFLI</t>
  </si>
  <si>
    <t xml:space="preserve">0,9 KM.                                                                   </t>
  </si>
  <si>
    <t>0341 553559</t>
  </si>
  <si>
    <t>JOHAN SANJAYA, S.T.</t>
  </si>
  <si>
    <t xml:space="preserve">ISLAM    </t>
  </si>
  <si>
    <t>PT. ECCO INDONESIA</t>
  </si>
  <si>
    <t xml:space="preserve">JALAN RAYA BLIGO 17 SIDOARJO.                  </t>
  </si>
  <si>
    <t xml:space="preserve">031 8964555                                                        </t>
  </si>
  <si>
    <t xml:space="preserve">6.944.619 RUPIAH.                        </t>
  </si>
  <si>
    <t xml:space="preserve">josan.sanjaya@gmail.com            </t>
  </si>
  <si>
    <t xml:space="preserve">MALANG            </t>
  </si>
  <si>
    <t xml:space="preserve">UNIVERSITAS BRAWIJAYA           </t>
  </si>
  <si>
    <t xml:space="preserve">JALAN VETERAN MALANG                             </t>
  </si>
  <si>
    <t xml:space="preserve">0341 567192                                                    </t>
  </si>
  <si>
    <t xml:space="preserve">3.411.300 RUPIAH                     </t>
  </si>
  <si>
    <t>safitri.dwicahyani@gmail com</t>
  </si>
  <si>
    <t xml:space="preserve">BLITAR.            </t>
  </si>
  <si>
    <t>08123353006</t>
  </si>
  <si>
    <t>SEBAGAI DOSEN</t>
  </si>
  <si>
    <t xml:space="preserve">KOTA MALANG       </t>
  </si>
  <si>
    <t>TK PERTIWI TELADAN</t>
  </si>
  <si>
    <t>NGAGEL TAMA NO. 38 SURABAYA</t>
  </si>
  <si>
    <t>0162456876</t>
  </si>
  <si>
    <t>3578082104140010</t>
  </si>
  <si>
    <t>3578084204160002</t>
  </si>
  <si>
    <t>RALINA SIRAHLEXA WIJANARKO</t>
  </si>
  <si>
    <t>RALINA</t>
  </si>
  <si>
    <t>Karang menur I no 1</t>
  </si>
  <si>
    <t>Airlangga</t>
  </si>
  <si>
    <t>Gubeng</t>
  </si>
  <si>
    <t>08175057065</t>
  </si>
  <si>
    <t>119cm</t>
  </si>
  <si>
    <t>21kg</t>
  </si>
  <si>
    <t>RICKO WAHYU WIJARNAKO</t>
  </si>
  <si>
    <t>3525140804890002</t>
  </si>
  <si>
    <t>081232254068</t>
  </si>
  <si>
    <t>Perternakan</t>
  </si>
  <si>
    <t>Griya shanta J 216</t>
  </si>
  <si>
    <t>SONIA RANGGITA MARIAM</t>
  </si>
  <si>
    <t>3578096010880004</t>
  </si>
  <si>
    <t>Usaha kuliner</t>
  </si>
  <si>
    <t>Cipunegara no. 54 malang</t>
  </si>
  <si>
    <t>Nunik suhestari</t>
  </si>
  <si>
    <t>0818503465</t>
  </si>
  <si>
    <t>Semolowaru tengah III no 46</t>
  </si>
  <si>
    <t xml:space="preserve">Semolowaru </t>
  </si>
  <si>
    <t xml:space="preserve">Sukolilo </t>
  </si>
  <si>
    <t>03 Januari 2024</t>
  </si>
  <si>
    <t>SD AL IRSYAD BANYUWANGI</t>
  </si>
  <si>
    <t>JL. BASUKI RAHMAT NO. 79 BANYUWANGI KABUPATEN BANYUWANGI</t>
  </si>
  <si>
    <t>3524082210140001</t>
  </si>
  <si>
    <t>3524082309150001</t>
  </si>
  <si>
    <t>RASYID ISMAIL ABRISAM</t>
  </si>
  <si>
    <t>JL. PISANG KIPAS 30B</t>
  </si>
  <si>
    <t>19 MARET 1988</t>
  </si>
  <si>
    <t>22 JULI 1989</t>
  </si>
  <si>
    <t>0155209825</t>
  </si>
  <si>
    <t>3524121812150002</t>
  </si>
  <si>
    <t>3524121411150002</t>
  </si>
  <si>
    <t>SABIAN AZKA SETIAWAN</t>
  </si>
  <si>
    <t>Perum Jawara Land blok A13</t>
  </si>
  <si>
    <t>085791243967</t>
  </si>
  <si>
    <t>SUGENG SETIAWAN</t>
  </si>
  <si>
    <t>3573041407920001</t>
  </si>
  <si>
    <t>08819722944</t>
  </si>
  <si>
    <t>PT Home Center Indoneeia</t>
  </si>
  <si>
    <t>Jl. Kawi no. 24 Malang</t>
  </si>
  <si>
    <t>LILIS RACHMAWATI, S.Psi</t>
  </si>
  <si>
    <t>3524124202900004</t>
  </si>
  <si>
    <t>Jl. Candi Panggung Indah No. 1-3 Malang</t>
  </si>
  <si>
    <t>3158876423</t>
  </si>
  <si>
    <t>3573010104150010</t>
  </si>
  <si>
    <t>3573015112150002</t>
  </si>
  <si>
    <t>SALASIKA TASANEE</t>
  </si>
  <si>
    <t>SIKA</t>
  </si>
  <si>
    <t>Jl. Sulfat Indah I / 33 A</t>
  </si>
  <si>
    <t>085234476000</t>
  </si>
  <si>
    <t>CHANDRA ARIES WIBOWO, S.AB</t>
  </si>
  <si>
    <t>3573052004870009</t>
  </si>
  <si>
    <t>Nabire</t>
  </si>
  <si>
    <t>085239906000</t>
  </si>
  <si>
    <t>Karyawan BUMN</t>
  </si>
  <si>
    <t>BRI Unit Dau
Jl. Raya Sengkaling no 255, Kelurahan Mulyoagung, Kecamatan Dau, Kabupaten Malang</t>
  </si>
  <si>
    <t>0341 462282</t>
  </si>
  <si>
    <t>Rp 5.000.000,00</t>
  </si>
  <si>
    <t>chandra.aries20@gmail.com</t>
  </si>
  <si>
    <t>MERISKA YANA KARMINASARI, S.AB</t>
  </si>
  <si>
    <t>3510166908870003</t>
  </si>
  <si>
    <t>meriskayana@gmail.com</t>
  </si>
  <si>
    <t>Henny Ocviantie, SE</t>
  </si>
  <si>
    <t>085100686880</t>
  </si>
  <si>
    <t>13 Januari 2023</t>
  </si>
  <si>
    <t>SD ISLAM SABILILLAH MALANG</t>
  </si>
  <si>
    <t>JL. JENDERAL A. YANI NO. 15 MALANG</t>
  </si>
  <si>
    <t>07961914146</t>
  </si>
  <si>
    <t>3573052607110015</t>
  </si>
  <si>
    <t>3573056207150001</t>
  </si>
  <si>
    <t>SALSABILA PUTRI AZZAHRA</t>
  </si>
  <si>
    <t>JL. RAYA TLOGOMAS NO. 123</t>
  </si>
  <si>
    <t>ALI SODIKIN</t>
  </si>
  <si>
    <t>3573052006740012</t>
  </si>
  <si>
    <t>082333443309</t>
  </si>
  <si>
    <t>MAHKOTA GRAHA GENTENG MALANG</t>
  </si>
  <si>
    <t>JL. RAYA NGIJO NO. 02 NGIJO KARANGPLOSO</t>
  </si>
  <si>
    <t>PARMI</t>
  </si>
  <si>
    <t>3573054502790003</t>
  </si>
  <si>
    <t>082333955574</t>
  </si>
  <si>
    <t>JL CAKALANG 209A POLOWIJEN MALANG</t>
  </si>
  <si>
    <t>0155843900</t>
  </si>
  <si>
    <t>3573016507150005</t>
  </si>
  <si>
    <t>SANDHYA DAHAYU NARESWARI RIDYAN</t>
  </si>
  <si>
    <t>SANDHYA</t>
  </si>
  <si>
    <t>Jl Cakalang 178 Polowijen Malang</t>
  </si>
  <si>
    <t>081216517116</t>
  </si>
  <si>
    <t>RIDYAN DWITJAHJA PUTRA ARIEF, S.T</t>
  </si>
  <si>
    <t>Solo Jawa Tengah</t>
  </si>
  <si>
    <t>8/22/1072</t>
  </si>
  <si>
    <t>Radio Elfara dan Rumah</t>
  </si>
  <si>
    <t>Jl Tidar Barat no 1 Malang</t>
  </si>
  <si>
    <t>dwicahyaridyan@gmail.com</t>
  </si>
  <si>
    <t>YULIA RAHMAWATI, S.E</t>
  </si>
  <si>
    <t>Rias Pengantin</t>
  </si>
  <si>
    <t>Ruko Sumbersari Korner 89 c Malang</t>
  </si>
  <si>
    <t>Sumbersari 89 c Rt 007 Rw 003 kel Ketawanggede</t>
  </si>
  <si>
    <t>Yuliaelll@gmail.com</t>
  </si>
  <si>
    <t>TK AISYIYAH BUSTANUL ATHFAL 33</t>
  </si>
  <si>
    <t>PERUM GRIYASHANTA K-331</t>
  </si>
  <si>
    <t>0145300229</t>
  </si>
  <si>
    <t>3510060504120005</t>
  </si>
  <si>
    <t>3510061407140002</t>
  </si>
  <si>
    <t>ADIRAJADA WIRASENA UTOMO</t>
  </si>
  <si>
    <t>5A</t>
  </si>
  <si>
    <t xml:space="preserve">PERUM PERMATA JINGGA WEST AREA BLOK I/14 </t>
  </si>
  <si>
    <t>S1 TEKNIK MESIN</t>
  </si>
  <si>
    <t>PT PERTAMINA (PERSERO)</t>
  </si>
  <si>
    <t>KANTOR PUSAT INTERNAL AUDIT PERTAMINA (PERSERO) JL. KRAMAT 19 JAKARTA PUSAT</t>
  </si>
  <si>
    <t>adhen.utomo@gmail.com</t>
  </si>
  <si>
    <t>FITRI ARIFIYANTI</t>
  </si>
  <si>
    <t>S1 ILMU ADMINISTRASI</t>
  </si>
  <si>
    <t>fitri.arifiyanti@gmail.com</t>
  </si>
  <si>
    <t>JL IKAN KAKAP NO 90 TUNJUNGSEKAR - LOWOKWARU - MALANG</t>
  </si>
  <si>
    <t>0158248076</t>
  </si>
  <si>
    <t>3579012305170001</t>
  </si>
  <si>
    <t>3579015003150001</t>
  </si>
  <si>
    <t>AFAREEN QIDZAMA NAZHALEYA</t>
  </si>
  <si>
    <t>ALEYA</t>
  </si>
  <si>
    <t>20.20 KG</t>
  </si>
  <si>
    <t>DINAS TANAMAN PANGAN HORTIKULTURA DAN PERKEBUNAN</t>
  </si>
  <si>
    <t>JL SUMEDANG NO 28 KEPANJEN - MALANG</t>
  </si>
  <si>
    <t>0341396893</t>
  </si>
  <si>
    <t>BANK BTN KC MALANG</t>
  </si>
  <si>
    <t>JL ADE IRMA SURYANI NO 2-4 KLOJEN - MALANG</t>
  </si>
  <si>
    <t>JL TELUK GRAJAKAN NO 1B</t>
  </si>
  <si>
    <t>0146112432</t>
  </si>
  <si>
    <t>3573050301140007</t>
  </si>
  <si>
    <t>3573051006140001</t>
  </si>
  <si>
    <t>AHMAD WILDAN ALI FARZANI</t>
  </si>
  <si>
    <t>PERUM KENANGA JAYA NO A18, JL. KENANGA RAYA</t>
  </si>
  <si>
    <t>20KG</t>
  </si>
  <si>
    <t>105CM</t>
  </si>
  <si>
    <t>MUHAMMAD YAHYA</t>
  </si>
  <si>
    <t>081381202434</t>
  </si>
  <si>
    <t>JL KENANGA RAYA NO A18</t>
  </si>
  <si>
    <t>5000000-15000000</t>
  </si>
  <si>
    <t>VIDA AGUSTIN AMELIAWATI</t>
  </si>
  <si>
    <t>081381202434/087776572124</t>
  </si>
  <si>
    <t>JL KEPODANG NO 8 KOTA MALANG</t>
  </si>
  <si>
    <t>antara 6 juta - 25 juta rupiah</t>
  </si>
  <si>
    <t>drgvidaamelia@gmail.com</t>
  </si>
  <si>
    <t>JL. MARGOBASUKI 25A PERUM TAMAN EMBONG ANYAR II (0341) 531903 DAU</t>
  </si>
  <si>
    <t>0157299700</t>
  </si>
  <si>
    <t>3507221905040061</t>
  </si>
  <si>
    <t>3507225202150001</t>
  </si>
  <si>
    <t>AISYAH HAFIDZATUL HUSNA</t>
  </si>
  <si>
    <t>JL. SIDOMAKMUR 71</t>
  </si>
  <si>
    <t>A.TAUFANI IRAWAN</t>
  </si>
  <si>
    <t>3507222503860001</t>
  </si>
  <si>
    <t>081232454786</t>
  </si>
  <si>
    <t>S2 ARSITEKTUR</t>
  </si>
  <si>
    <t>JL. SEMARANG NO 6</t>
  </si>
  <si>
    <t>(0341) 551312</t>
  </si>
  <si>
    <t>a.taufani.i@gmail.com</t>
  </si>
  <si>
    <t>VINA BARIROTUR ROCHMAH</t>
  </si>
  <si>
    <t>3573016105860003</t>
  </si>
  <si>
    <t>S1 PENDIDIKAN FISIKA</t>
  </si>
  <si>
    <t>SMK NEGERI 2 SINGOSARI</t>
  </si>
  <si>
    <t>JL. PERUSAHAAN NO 20 TUNJUNGTIRTO</t>
  </si>
  <si>
    <t>(0341) 4345127</t>
  </si>
  <si>
    <t>vinabarirotur@gmail.com</t>
  </si>
  <si>
    <t>JL.CANDI PANGGUNG INDAH 1-3 MALANG</t>
  </si>
  <si>
    <t>0159460437</t>
  </si>
  <si>
    <t>3573011703110037</t>
  </si>
  <si>
    <t>3573012805150001</t>
  </si>
  <si>
    <t>ALARIC MUHAMMAD ADNICHO ROMADHONI</t>
  </si>
  <si>
    <t>ALARIC</t>
  </si>
  <si>
    <t xml:space="preserve">JL.SIMPANG TELUK GRAJAKAN 3 / 23 </t>
  </si>
  <si>
    <t>17,7 KG</t>
  </si>
  <si>
    <t>106 CM</t>
  </si>
  <si>
    <t>MUHAMAD ROMADHONI ASHARI</t>
  </si>
  <si>
    <t>3573011305860002</t>
  </si>
  <si>
    <t>02147483647</t>
  </si>
  <si>
    <t>ASN / PEMERIKSA BEA DAN CUKAI</t>
  </si>
  <si>
    <t>DIREKTORAT JENDERAL BEA DAN CUKAI</t>
  </si>
  <si>
    <t>JL.RAYA JUANDA NO.39 GEDANGAN - SEMAMBUNG - SIDOARJO</t>
  </si>
  <si>
    <t>0318675356</t>
  </si>
  <si>
    <t>dhoniashari@gmail.com</t>
  </si>
  <si>
    <t>WILDA CHOLIDA</t>
  </si>
  <si>
    <t>3573016809850003</t>
  </si>
  <si>
    <t>wilda.cholida@gmail.com</t>
  </si>
  <si>
    <t>AL AZHAR KID'S WORLD</t>
  </si>
  <si>
    <t>JL. RAYA LANGSEP NO. 18 MALANG</t>
  </si>
  <si>
    <t>0155218135</t>
  </si>
  <si>
    <t>3573051511170002</t>
  </si>
  <si>
    <t>3573050703150003</t>
  </si>
  <si>
    <t>ALTAF MARIO INDRABAYU</t>
  </si>
  <si>
    <t>PERUM PERMATA JINGGA KAVLING WEST NO E 21</t>
  </si>
  <si>
    <t>NYOMAN INDRA BAYU</t>
  </si>
  <si>
    <t>SPESIALIS</t>
  </si>
  <si>
    <t>0321490383</t>
  </si>
  <si>
    <t>OLIVIA ANGGRAENY</t>
  </si>
  <si>
    <t>FAKULTAS KEDOKTERAN</t>
  </si>
  <si>
    <t>0341569117</t>
  </si>
  <si>
    <t>RA. AL JIHAD</t>
  </si>
  <si>
    <t>JL. RAWA 46 KEL. BUNULREJO MALANG</t>
  </si>
  <si>
    <t>3573015607140002</t>
  </si>
  <si>
    <t>AMEERA HANA SHAKIRA RAMADHANI</t>
  </si>
  <si>
    <t>AMEERA</t>
  </si>
  <si>
    <t>JL.LESTI 2 NO. 12</t>
  </si>
  <si>
    <t>22 KG</t>
  </si>
  <si>
    <t>SYAHRONI HAMSYAH</t>
  </si>
  <si>
    <t>TENAGA HONORER</t>
  </si>
  <si>
    <t>KANTOR IMIGRASI KELAS I TPI MALANG</t>
  </si>
  <si>
    <t>JL.PANJI SUROSO 4 MALANG</t>
  </si>
  <si>
    <t>0341 491039</t>
  </si>
  <si>
    <t>hamsink27@gmail.com</t>
  </si>
  <si>
    <t>EVI DWI JAYANTI</t>
  </si>
  <si>
    <t>0838489305180</t>
  </si>
  <si>
    <t>GURU TK ANAK SALEH</t>
  </si>
  <si>
    <t>YAYASAN ANAK SALEH MALANG</t>
  </si>
  <si>
    <t>JL. CANDI PANGGUNG INDAH 1-3 MALANV</t>
  </si>
  <si>
    <t>0341 489966</t>
  </si>
  <si>
    <t>evidjayanti11@gmail.com</t>
  </si>
  <si>
    <t>15 Juni 2023</t>
  </si>
  <si>
    <t xml:space="preserve">SD ISLAM INTERNASIONAL AL ABIDIN BOYOLALI </t>
  </si>
  <si>
    <t xml:space="preserve">JL. RAYA BOYOLALI JATINOM BADRANREJO RT 7 RW 11, KEMIRI, MOJOSONGO, BOYOLALI </t>
  </si>
  <si>
    <t>0159407128</t>
  </si>
  <si>
    <t>3322166606150001</t>
  </si>
  <si>
    <t xml:space="preserve">AMIRA GHINA DIAJENG ASKHA </t>
  </si>
  <si>
    <t xml:space="preserve">AMIRA </t>
  </si>
  <si>
    <t>26 JUNI 2015</t>
  </si>
  <si>
    <t xml:space="preserve">9 th </t>
  </si>
  <si>
    <t xml:space="preserve">PERUM PURI BUNGA II A 27 TUNGGULWULUNG LOWOKWARU </t>
  </si>
  <si>
    <t xml:space="preserve">MUH DASRUL KHAFID, S.Pd I </t>
  </si>
  <si>
    <t xml:space="preserve">KAB. SEMARANG </t>
  </si>
  <si>
    <t>27 AGUSTUS 1986</t>
  </si>
  <si>
    <t xml:space="preserve">DIPLOMA/STRATA 1 </t>
  </si>
  <si>
    <t xml:space="preserve">PT. UNILEVER INDONESIA </t>
  </si>
  <si>
    <t>JL. GUNTUR NO. 27</t>
  </si>
  <si>
    <t xml:space="preserve">darsul.khafid@gmail.com </t>
  </si>
  <si>
    <t xml:space="preserve">PUJI ASTUTI </t>
  </si>
  <si>
    <t xml:space="preserve">DIPLOMA III/SARJANA MUDA </t>
  </si>
  <si>
    <t xml:space="preserve">SRI SUWARTINI </t>
  </si>
  <si>
    <t>085642045771</t>
  </si>
  <si>
    <t>D2</t>
  </si>
  <si>
    <t>TK AL KAUTSAR</t>
  </si>
  <si>
    <t>JL. CEMPAKA PUTIH NO. 7 KOTA MALANG</t>
  </si>
  <si>
    <t>0152988270</t>
  </si>
  <si>
    <t>3507282005140001</t>
  </si>
  <si>
    <t>3507280101150001</t>
  </si>
  <si>
    <t>BAGAS RAFIF PUTRA SENO</t>
  </si>
  <si>
    <t>BAGAS</t>
  </si>
  <si>
    <t>PERUM PERMATA REGENCY BLOK 41 NO. 19</t>
  </si>
  <si>
    <t>29KG</t>
  </si>
  <si>
    <t>MESENO</t>
  </si>
  <si>
    <t>3507281204830003</t>
  </si>
  <si>
    <t>087860633254</t>
  </si>
  <si>
    <t>SDN CEMOROKANDANG 1 KOTA MALANG</t>
  </si>
  <si>
    <t>JL. SAMPURNA NO.25, CEMOROKANDANG KOTA MALANG</t>
  </si>
  <si>
    <t>(0341) 725709</t>
  </si>
  <si>
    <t>meseno0412@gmail.com</t>
  </si>
  <si>
    <t>SRI SUBAKTI</t>
  </si>
  <si>
    <t>3573056412560005</t>
  </si>
  <si>
    <t>JL. ARUMBA NO. 31 KOTA MALANG</t>
  </si>
  <si>
    <t>subaktisri1@gmail.com</t>
  </si>
  <si>
    <t xml:space="preserve">SDIT AL MUBARAK </t>
  </si>
  <si>
    <t>JL. PRAMUKA SARI III/28, KOTA JAKARTA PUSAT, DKI JAKARTA</t>
  </si>
  <si>
    <t>0137455462</t>
  </si>
  <si>
    <t>3171081511100035</t>
  </si>
  <si>
    <t>3171080211131002</t>
  </si>
  <si>
    <t xml:space="preserve">BIMA PASHA ARIEFIANTO </t>
  </si>
  <si>
    <t xml:space="preserve">BIMA </t>
  </si>
  <si>
    <t xml:space="preserve">PERUM BUMI PALAPA BLOK E-30 </t>
  </si>
  <si>
    <t xml:space="preserve">BAYU ARIEFIANTO </t>
  </si>
  <si>
    <t>3174042703810013</t>
  </si>
  <si>
    <t>27 MARET 1981</t>
  </si>
  <si>
    <t>081212170022</t>
  </si>
  <si>
    <t xml:space="preserve">PT. AXINDO </t>
  </si>
  <si>
    <t xml:space="preserve">STC SENAYAN JAKARTA PUSAT </t>
  </si>
  <si>
    <t xml:space="preserve">bayu@ariefianto.com </t>
  </si>
  <si>
    <t xml:space="preserve">AGUSTINA DWI CAHYANI </t>
  </si>
  <si>
    <t>3174046708800011</t>
  </si>
  <si>
    <t>27 AGUSTUS 1980</t>
  </si>
  <si>
    <t>082110630477</t>
  </si>
  <si>
    <t xml:space="preserve">nina@ariefianto.com </t>
  </si>
  <si>
    <t>12 juli 2022</t>
  </si>
  <si>
    <t>MIS TERPADU AS-SALAM AMBON</t>
  </si>
  <si>
    <t>JL. AIR KUNING CENGKEH AMBON, SIRIMAU, KOTA AMBON, MALUKU</t>
  </si>
  <si>
    <t>3154510487</t>
  </si>
  <si>
    <t>3571012210100012</t>
  </si>
  <si>
    <t>3571016502150003</t>
  </si>
  <si>
    <t>CLARISHA ANINDYA AYU</t>
  </si>
  <si>
    <t>CLARA</t>
  </si>
  <si>
    <t>25 FEBRUARI 2015</t>
  </si>
  <si>
    <t>PERUM PESONA SINGOSARI BLOK C.12</t>
  </si>
  <si>
    <t>ARDIMULYO</t>
  </si>
  <si>
    <t>081252231763</t>
  </si>
  <si>
    <t>AGUS SUDARTO</t>
  </si>
  <si>
    <t>3571011505780007</t>
  </si>
  <si>
    <t>15 MEI 1978</t>
  </si>
  <si>
    <t>082187203320</t>
  </si>
  <si>
    <t>KODA MOA</t>
  </si>
  <si>
    <t>MOA AMBON</t>
  </si>
  <si>
    <t>3,000,000 - 5,000,000</t>
  </si>
  <si>
    <t>TRI RINDAWATI</t>
  </si>
  <si>
    <t>3571015802790011</t>
  </si>
  <si>
    <t>18 FEBRUARI 1979</t>
  </si>
  <si>
    <t>081323341979</t>
  </si>
  <si>
    <t>SITI AISYAH</t>
  </si>
  <si>
    <t>13  AGUSTUS 1984</t>
  </si>
  <si>
    <t>GURU SDM PAGENTAN SINGOSARI</t>
  </si>
  <si>
    <t xml:space="preserve">PERUM PESONA SINGOSARI BLOK C.12 </t>
  </si>
  <si>
    <t>JL. RAYA LANGSEP NO.18 MALANG</t>
  </si>
  <si>
    <t>0144138300</t>
  </si>
  <si>
    <t>3573052503140004</t>
  </si>
  <si>
    <t>3573052105140002</t>
  </si>
  <si>
    <t>HAYDE KEIZ ZIDAN</t>
  </si>
  <si>
    <t>HAYDE</t>
  </si>
  <si>
    <t>JL. KALIMAYA NO.5A</t>
  </si>
  <si>
    <t>119 CM</t>
  </si>
  <si>
    <t>KUSMARYANTO</t>
  </si>
  <si>
    <t>3504030804840004</t>
  </si>
  <si>
    <t>082141414589</t>
  </si>
  <si>
    <t>SARJANA HUKUM</t>
  </si>
  <si>
    <t>JL. KALIMAYA NO.5A MALANG, JL. MAYJEN PANJAITAN GANG XIII NO.9 MALANG, DAN JL. SIGURA-GURA PERUMAHAN POHARIN BLOK D NO.9 MALANG</t>
  </si>
  <si>
    <t>yayankusmar@gmail.com</t>
  </si>
  <si>
    <t>DWI SURI ELVINA</t>
  </si>
  <si>
    <t>3573057008880001</t>
  </si>
  <si>
    <t>SARJANA KOMPUTER DAN SARJANA HUKUM</t>
  </si>
  <si>
    <t>digabung dengan suami +- Rp 20.000.000,-</t>
  </si>
  <si>
    <t>dselvin4@gmail.com</t>
  </si>
  <si>
    <t>03 Januari 2023</t>
  </si>
  <si>
    <t>SD MUHAMMADIYAH 4 KOTA MALANG</t>
  </si>
  <si>
    <t>JL. SUDIMORO NO. 19 MOJOLANGU KOTA MALANG</t>
  </si>
  <si>
    <t>3133099842</t>
  </si>
  <si>
    <t>3573052802130010</t>
  </si>
  <si>
    <t>3573051712130001</t>
  </si>
  <si>
    <t>IBRAHIM GATHAN PRADANA</t>
  </si>
  <si>
    <t>17 DESEMBER 2013</t>
  </si>
  <si>
    <t xml:space="preserve">PERUM. GRIYASHANTA B-15 </t>
  </si>
  <si>
    <t>ADITYA FEBRIAN PRADANA, SE</t>
  </si>
  <si>
    <t>3573051002870002</t>
  </si>
  <si>
    <t>081333022044</t>
  </si>
  <si>
    <t>adit_sandy@yahoo.co.id</t>
  </si>
  <si>
    <t>MEGA NURI HERWANTI</t>
  </si>
  <si>
    <t>3507246207900001</t>
  </si>
  <si>
    <t>081336605833</t>
  </si>
  <si>
    <t>SD NEGERI 4 PENGANJURAN</t>
  </si>
  <si>
    <t>JL. JENDRAL AHMAD YANI NO. 29</t>
  </si>
  <si>
    <t>0154514785</t>
  </si>
  <si>
    <t>3572033103150002</t>
  </si>
  <si>
    <t>3572034303150003</t>
  </si>
  <si>
    <t>JILL ALYSHA ADZKIA AMANDA</t>
  </si>
  <si>
    <t>JILL</t>
  </si>
  <si>
    <t>03 MARET 2015</t>
  </si>
  <si>
    <t>JL. GUNOJOYO NO. 77</t>
  </si>
  <si>
    <t>DEMAM BERDARAH</t>
  </si>
  <si>
    <t>BATUK PILEK</t>
  </si>
  <si>
    <t>BAYU AMANDA</t>
  </si>
  <si>
    <t>3572030207870005</t>
  </si>
  <si>
    <t>02 JULI 1987</t>
  </si>
  <si>
    <t>085645649919</t>
  </si>
  <si>
    <t>PT. BANK BRI</t>
  </si>
  <si>
    <t>JL. AHMAD YANI NO. 12 PENGANJURAN BANYUWANGI</t>
  </si>
  <si>
    <t>RENY EKA NUR HANDAYANI</t>
  </si>
  <si>
    <t>16 FEBRUARI 1987</t>
  </si>
  <si>
    <t>NANANG SLAMET RIADI</t>
  </si>
  <si>
    <t>27 MEI 1989</t>
  </si>
  <si>
    <t>GURU SMKN 5 MALANG</t>
  </si>
  <si>
    <t>PERUM A. YANI RESIDENCE NO.25</t>
  </si>
  <si>
    <t>JL. KUTILANG NO. 99, DESA NGIJO, KEC. KARANGPLOSO, KAB. MALANG</t>
  </si>
  <si>
    <t>3507230401130009</t>
  </si>
  <si>
    <t>3507236901150001</t>
  </si>
  <si>
    <t>KAYSA IFFAH NAJICHA</t>
  </si>
  <si>
    <t>KAYSA</t>
  </si>
  <si>
    <t xml:space="preserve">DUSUN NGIJO </t>
  </si>
  <si>
    <t>AHMAD DHIAUL KHULUQ</t>
  </si>
  <si>
    <t>BALITTAS</t>
  </si>
  <si>
    <t>0341-490558</t>
  </si>
  <si>
    <t>RULY HAMIDA</t>
  </si>
  <si>
    <t>JL. RAYA KARANGPLOSO KM.4, MALANG</t>
  </si>
  <si>
    <t>h_mee_da@yahoo.com</t>
  </si>
  <si>
    <t>JL. BATU PERMATA NO. 9</t>
  </si>
  <si>
    <t>0143556012</t>
  </si>
  <si>
    <t>357903261114002</t>
  </si>
  <si>
    <t>MAHESWARA ALI WIJAYA</t>
  </si>
  <si>
    <t>MAHES</t>
  </si>
  <si>
    <t>JL. DAMUN NO. 27 DADAPTULIS DALAM</t>
  </si>
  <si>
    <t>JOKO PRIANTO, S.E., M.T</t>
  </si>
  <si>
    <t>28 DESEMBER 1975</t>
  </si>
  <si>
    <t>10 JUNI 1980</t>
  </si>
  <si>
    <t>TK ISLAM AL MUTTAQIEN</t>
  </si>
  <si>
    <t>JL. CANDI TROWULAN 65 A</t>
  </si>
  <si>
    <t>0157947337</t>
  </si>
  <si>
    <t>3529111908090059</t>
  </si>
  <si>
    <t>3529110101150002</t>
  </si>
  <si>
    <t>MAULANA NEIL AMJAD</t>
  </si>
  <si>
    <t>NEIL</t>
  </si>
  <si>
    <t xml:space="preserve">ISTANA BOROBUDUR AGUNG B8   </t>
  </si>
  <si>
    <t>33</t>
  </si>
  <si>
    <t>DARDIRI</t>
  </si>
  <si>
    <t>3529110210790002</t>
  </si>
  <si>
    <t>FH UB</t>
  </si>
  <si>
    <t>JL MT HARYONO 169 MALANG</t>
  </si>
  <si>
    <t>im_alhamda@yahoo.co.id</t>
  </si>
  <si>
    <t>SITTI NUR AINIYAH</t>
  </si>
  <si>
    <t>3529114410820002</t>
  </si>
  <si>
    <t>0812233553688</t>
  </si>
  <si>
    <t>ALHAMDA</t>
  </si>
  <si>
    <t>ISTANA BOROBUDUR AGUNG B8 RT 09 RW11 MOJOLANGU LOWOKWARU MALANG 65142</t>
  </si>
  <si>
    <t>812233553688</t>
  </si>
  <si>
    <t>dalilatulkhoiriyah84@gmail.com</t>
  </si>
  <si>
    <t>JALAN CANDI PANGGUNG INDAH NO 1-3 KOTA MALANG</t>
  </si>
  <si>
    <t>0141624602</t>
  </si>
  <si>
    <t>3507232212090007</t>
  </si>
  <si>
    <t>3574042206140003</t>
  </si>
  <si>
    <t>MUHAMMAD ARSHAKA RAYA WIBOWO</t>
  </si>
  <si>
    <t>SHAKA</t>
  </si>
  <si>
    <t>PERUMAHAN PERMATA REGENCY1 BLOK 25 NO 22 B</t>
  </si>
  <si>
    <t>113CM</t>
  </si>
  <si>
    <t>NOVIN FARID STYO WIBOWO</t>
  </si>
  <si>
    <t>3507231911840002</t>
  </si>
  <si>
    <t>085259555068</t>
  </si>
  <si>
    <t>MAGISTER (S2)</t>
  </si>
  <si>
    <t>JALAN RAYA TLOGOMAS 246 KAMPUS 3 UMM, MALANG</t>
  </si>
  <si>
    <t>0341464318</t>
  </si>
  <si>
    <t>novinwibowo@gmail.com</t>
  </si>
  <si>
    <t>OKTAVIA INDRIATININGTYAS</t>
  </si>
  <si>
    <t>3574045210850004</t>
  </si>
  <si>
    <t>SARJANA (S1)</t>
  </si>
  <si>
    <t>IBU RUMAH TANGGA (BISNIS ONLINE)</t>
  </si>
  <si>
    <t>TYASOLSHOP</t>
  </si>
  <si>
    <t>PERUMAHAN PERMATA REGENCY BLOK 25 NO 22B, NGIJO, KARANGPLOSO, MALANG</t>
  </si>
  <si>
    <t>indrietyas@gmail.com</t>
  </si>
  <si>
    <t>JL. BANDUNG NO.7D, MALANG</t>
  </si>
  <si>
    <t>3573042707090037</t>
  </si>
  <si>
    <t>3573041209140001</t>
  </si>
  <si>
    <t>MUHAMMAD AZZAM IRSYADY</t>
  </si>
  <si>
    <t>IRSYAD</t>
  </si>
  <si>
    <t>PERUM GADANG CAHAYA RAYA D-2</t>
  </si>
  <si>
    <t>YUDY SURYA IRAWAN, DR.ENG.</t>
  </si>
  <si>
    <t>3573041007750006</t>
  </si>
  <si>
    <t>085649776609</t>
  </si>
  <si>
    <t>UNIVERSITAS BRAWIJAYA FAKULTAS TEKNIK JURUSAN MESIN</t>
  </si>
  <si>
    <t>JL. MT. HARYONO 167, MALANG</t>
  </si>
  <si>
    <t>62341587710</t>
  </si>
  <si>
    <t>yudysir@ub.ac.id</t>
  </si>
  <si>
    <t>NANIN SAFI'IYAH, ST.,MT.</t>
  </si>
  <si>
    <t>3573046104830009</t>
  </si>
  <si>
    <t>085231155656</t>
  </si>
  <si>
    <t>FLOWER BUTIK</t>
  </si>
  <si>
    <t>PERUM GADANG CAHAYA RAYA D-2 RT.01, RW.08, KELURAHAN GADANG, KECAMATAN SUKUN, KOTA MALANG</t>
  </si>
  <si>
    <t>nan_yd@yahoo.co.id</t>
  </si>
  <si>
    <t>JL. CANDI PANGGUNG NO 1-3 MALANG</t>
  </si>
  <si>
    <t>0159017365</t>
  </si>
  <si>
    <t>3573052701150005</t>
  </si>
  <si>
    <t>MUHAMMAD AZZAM ZHAFRAN SAFARAZ</t>
  </si>
  <si>
    <t>AZZAM</t>
  </si>
  <si>
    <t xml:space="preserve">JL. KERTOSARIRO NO. 2 </t>
  </si>
  <si>
    <t>16,5</t>
  </si>
  <si>
    <t>RoneCakep@gmail.com</t>
  </si>
  <si>
    <t>UCIK SRIWAHYUNI</t>
  </si>
  <si>
    <t>081925111585</t>
  </si>
  <si>
    <t>0341487088</t>
  </si>
  <si>
    <t>TK NURUL FAJAR</t>
  </si>
  <si>
    <t>JL. LETJEN SUTOYO NO.21, LINGKUNGAN SUMBER PAK, KEBONSARI, KEC. SUMBERSARI, KABUPATEN JEMBER, JAWA TIMUR 68122</t>
  </si>
  <si>
    <t>3507230407140001</t>
  </si>
  <si>
    <t>MUHAMMAD HAYDAR SENNA RAMADHAN</t>
  </si>
  <si>
    <t>SENNA</t>
  </si>
  <si>
    <t xml:space="preserve">PERUM.GRIYA PERMATA ALAM BLOK KO.12 </t>
  </si>
  <si>
    <t>17.5</t>
  </si>
  <si>
    <t>MEKANIK</t>
  </si>
  <si>
    <t>PT. GUDANG GARAM TBK</t>
  </si>
  <si>
    <t>DUSUN KALIPUTIH, SUMBERSUKO, GEMPOL, SUMBER SUKO, SUMBERSUKO, KEC. GEMPOL, PASURUAN, JAWA TIMUR 6715</t>
  </si>
  <si>
    <t>(0343) 638888</t>
  </si>
  <si>
    <t>PT. BANK NEGARA INDONESIA(PERSERO) TBK</t>
  </si>
  <si>
    <t>JL.PB SUDIRMAN NO.9 JEMBER</t>
  </si>
  <si>
    <t>(0331)486697</t>
  </si>
  <si>
    <t>TK KEMALA BHAYANGKARI 10</t>
  </si>
  <si>
    <t>JL. AHMAD YANI NO. 57 MALANG</t>
  </si>
  <si>
    <t>0152240865</t>
  </si>
  <si>
    <t>3573012410080007</t>
  </si>
  <si>
    <t>3573012002150001</t>
  </si>
  <si>
    <t>MUHAMMAD NAFIZ FARIS ASYRAF</t>
  </si>
  <si>
    <t>NAFIZ</t>
  </si>
  <si>
    <t xml:space="preserve">JL. IKAN PIRANHA BLOK H NO. 6 </t>
  </si>
  <si>
    <t>0341 487736</t>
  </si>
  <si>
    <t>SUMARNO, S.PD., MH</t>
  </si>
  <si>
    <t>3573012309810004</t>
  </si>
  <si>
    <t>081334629908</t>
  </si>
  <si>
    <t>S-2</t>
  </si>
  <si>
    <t>SAMSAT KARANGPLOSO</t>
  </si>
  <si>
    <t>JL. RAYA NGIJO KARANGPLOSO, KEC. KARANGPLOSO KAB. MALANG</t>
  </si>
  <si>
    <t>0341 463334</t>
  </si>
  <si>
    <t>sumarno_2309@yahoo.com</t>
  </si>
  <si>
    <t>RISKI AKBARANI, SKM., M.KES</t>
  </si>
  <si>
    <t>3573014709830006</t>
  </si>
  <si>
    <t>STIKES KENDEDES MALANG</t>
  </si>
  <si>
    <t>JL. PANJI SUROSO NO. 6 MALANG</t>
  </si>
  <si>
    <t>0341 488762</t>
  </si>
  <si>
    <t>akbaraniriski@gmail.com</t>
  </si>
  <si>
    <t>JALAN CANDI PANGGUNG 1-3</t>
  </si>
  <si>
    <t>0157556238</t>
  </si>
  <si>
    <t>3573016404150001</t>
  </si>
  <si>
    <t>NABILA KHADZIQAH AULYA AZMI</t>
  </si>
  <si>
    <t>NABILA</t>
  </si>
  <si>
    <t>JALAN TELUK BAYUR NO 182</t>
  </si>
  <si>
    <t>18,4</t>
  </si>
  <si>
    <t>AKHMAD FARKHAN AZMI</t>
  </si>
  <si>
    <t>MAGISTER</t>
  </si>
  <si>
    <t>TELUK BAYUR 182</t>
  </si>
  <si>
    <t>afa.farkhan@gmail.com</t>
  </si>
  <si>
    <t>NANING SUGIARTI</t>
  </si>
  <si>
    <t>3573015807890002</t>
  </si>
  <si>
    <t>JL. SAWOJAJAR 17 B</t>
  </si>
  <si>
    <t>0131920226</t>
  </si>
  <si>
    <t>3573012708130007</t>
  </si>
  <si>
    <t>3573015212130008</t>
  </si>
  <si>
    <t>NAJWA KHADIJAH DAMIYA</t>
  </si>
  <si>
    <t>NAJWA</t>
  </si>
  <si>
    <t>JL. TONDANO BARAT A1 B22</t>
  </si>
  <si>
    <t>0341-713795</t>
  </si>
  <si>
    <t>BAYU TRI PRASETIO MUKTI</t>
  </si>
  <si>
    <t>3573012510820007</t>
  </si>
  <si>
    <t>STRATA II</t>
  </si>
  <si>
    <t>KPP PRATAMA MALANG UTARA</t>
  </si>
  <si>
    <t>JL. JAGUNG SUPRAPTO NO. 29-31 MALANG</t>
  </si>
  <si>
    <t>0341364270</t>
  </si>
  <si>
    <t>b.mukti@yahoo.com</t>
  </si>
  <si>
    <t>YURDHIKA INSIA</t>
  </si>
  <si>
    <t>3573034207850002</t>
  </si>
  <si>
    <t>DIPLOMA III</t>
  </si>
  <si>
    <t>0341713795</t>
  </si>
  <si>
    <t>yurinsa99@gmail.com</t>
  </si>
  <si>
    <t>TK DARUN NAJAH</t>
  </si>
  <si>
    <t>JALAN GRIYA SHANTA BLOK J 424</t>
  </si>
  <si>
    <t>3573054806150003</t>
  </si>
  <si>
    <t>RANIA MAZAYA FARKHANDAH</t>
  </si>
  <si>
    <t>JALAN SAXOFONE PERUM BUMI PALAPA BLOK J NO 5</t>
  </si>
  <si>
    <t>031000000</t>
  </si>
  <si>
    <t>phinoe0@gmail.com</t>
  </si>
  <si>
    <t>35730546038600112</t>
  </si>
  <si>
    <t>0341000000</t>
  </si>
  <si>
    <t>KB/BA RESTU 1</t>
  </si>
  <si>
    <t>JL. BANDUNG 7D MALANG</t>
  </si>
  <si>
    <t>3507222203170005</t>
  </si>
  <si>
    <t>3507224105140002</t>
  </si>
  <si>
    <t>SALSABILA ZUKHRUFI FIRDAUS</t>
  </si>
  <si>
    <t>BILA</t>
  </si>
  <si>
    <t xml:space="preserve">JL. JOYO AGUNG PERUMAHAN THE PANORAMA RESIDENCE B 8 </t>
  </si>
  <si>
    <t>AHMAD FAUZI</t>
  </si>
  <si>
    <t>3507221612860001</t>
  </si>
  <si>
    <t>082141702680</t>
  </si>
  <si>
    <t>KARYAWAN SWASTA / MANAJER SARPRAS TAZKIA IIBS</t>
  </si>
  <si>
    <t>PONDOK PESANTREN TAZKIA IIBS</t>
  </si>
  <si>
    <t>JL. TIRTO SENTONO NO. 15 LANDUNGSARI MALANG</t>
  </si>
  <si>
    <t>0341 463838</t>
  </si>
  <si>
    <t>afauzi.tazkia17@gmail.com</t>
  </si>
  <si>
    <t>DEWI AYU PUSPITA SARI</t>
  </si>
  <si>
    <t>1302086004860008</t>
  </si>
  <si>
    <t>08113770303</t>
  </si>
  <si>
    <t>KARYAWAN BUMN / PENGELOLA UNIT PEGADAIAN SENGKALING</t>
  </si>
  <si>
    <t>PT. PEGADAIAN (PERSERO) UPC SENGKALING</t>
  </si>
  <si>
    <t>JL. RAYA MULYOAGUNG DEPAN MASJID BAITURRAHMAN JETIS MULYOAGUNG DAU MALANG</t>
  </si>
  <si>
    <t>faotze1986@gmail.com</t>
  </si>
  <si>
    <t>KB- TK PEMBINA NEGERI 1 KOTA MALANG</t>
  </si>
  <si>
    <t>JL. TERUSAN CIKAMPEK NO.10 PENANGGUNGAN, KEC. KLOJEN. KOTA MALANG.</t>
  </si>
  <si>
    <t>0147410523</t>
  </si>
  <si>
    <t>3573022012110014</t>
  </si>
  <si>
    <t>3573022310140003</t>
  </si>
  <si>
    <t>YAFIQ ALTHAF ACHMAD</t>
  </si>
  <si>
    <t>YAFIQ</t>
  </si>
  <si>
    <t xml:space="preserve">JL. TATA SURYA 1. NO.8 A </t>
  </si>
  <si>
    <t>21KG</t>
  </si>
  <si>
    <t>114.5 CM</t>
  </si>
  <si>
    <t>ALVI TAMA HILMAN TAUFIQURRAHMAN, S.H.,M.HUM.</t>
  </si>
  <si>
    <t>3573022509800003</t>
  </si>
  <si>
    <t>BPD JATIM</t>
  </si>
  <si>
    <t>JL. BASUKI RAGHMAT NO.98- 104. KOTA SURABAYA</t>
  </si>
  <si>
    <t>0315310090</t>
  </si>
  <si>
    <t>alvitama1986@gmial.com</t>
  </si>
  <si>
    <t>NADIYA ANDROMEDA. S.PSI., M.PSI</t>
  </si>
  <si>
    <t>3505104908850006</t>
  </si>
  <si>
    <t>UNIVERSITAS WISNUWARDHANA MALANG</t>
  </si>
  <si>
    <t>JL. DANAU SENTANI. NO.99 MALANG</t>
  </si>
  <si>
    <t>0341723730</t>
  </si>
  <si>
    <t>diyasaja@gmail.com</t>
  </si>
  <si>
    <t>JL. CANDI PANGUNG INDAH NO 1-3</t>
  </si>
  <si>
    <t>0145379093</t>
  </si>
  <si>
    <t>3573052912100017</t>
  </si>
  <si>
    <t>3573051708140002</t>
  </si>
  <si>
    <t>AHMAD AVERROES HAKKY</t>
  </si>
  <si>
    <t>5B</t>
  </si>
  <si>
    <t>AVERROES</t>
  </si>
  <si>
    <t>JL. CANDI PANGGUNG 4D</t>
  </si>
  <si>
    <t>081334365000</t>
  </si>
  <si>
    <t>116 CM</t>
  </si>
  <si>
    <t>ABD HOLIK</t>
  </si>
  <si>
    <t>35072220103640002</t>
  </si>
  <si>
    <t>PASCA SARJANA</t>
  </si>
  <si>
    <t>CIVIL ENGINEER</t>
  </si>
  <si>
    <t>HAZAMA CORPORATION</t>
  </si>
  <si>
    <t>JAKARTA INDONESIA</t>
  </si>
  <si>
    <t>081224040464</t>
  </si>
  <si>
    <t>abdholik@gmail.com</t>
  </si>
  <si>
    <t>NAZLAH HASNI</t>
  </si>
  <si>
    <t>3507225609790002</t>
  </si>
  <si>
    <t>asniholik@gmail.com</t>
  </si>
  <si>
    <t>JL. CANDI PANGGUNG INDAH, NO. 1-3, KEL. MOJOLANGU, KEC. LOWOKWARU, KOTA MALANG</t>
  </si>
  <si>
    <t>0136703065</t>
  </si>
  <si>
    <t>6213011310090008</t>
  </si>
  <si>
    <t>7174022302130001</t>
  </si>
  <si>
    <t>AHMAD ZEIN AL FALAH</t>
  </si>
  <si>
    <t>KOTAMOBAGU</t>
  </si>
  <si>
    <t>PERUM PURI CEMPAKA PUTIH II BLOK AO 23A</t>
  </si>
  <si>
    <t>BUMIAYU</t>
  </si>
  <si>
    <t>126 M</t>
  </si>
  <si>
    <t>ARIEF ZEIN NOKTHAH, SH</t>
  </si>
  <si>
    <t>6213010506820003</t>
  </si>
  <si>
    <t>MUARA TEWEH</t>
  </si>
  <si>
    <t>082191855123</t>
  </si>
  <si>
    <t>STRATA SATU (S 1)</t>
  </si>
  <si>
    <t>KEJARI PASAMAN BARAT</t>
  </si>
  <si>
    <t>JL. SOEKARNO-HATTA NO.16, NAGARI LINGKUANG AUA, KEC. PASAMAN, KAB. PASAMAN BARAT</t>
  </si>
  <si>
    <t>081284000182</t>
  </si>
  <si>
    <t>minsatu@gmail.com</t>
  </si>
  <si>
    <t>SULTRIANA LAODE, S.IP</t>
  </si>
  <si>
    <t>7174024204860002</t>
  </si>
  <si>
    <t>STRATA SATU (S1)</t>
  </si>
  <si>
    <t>PEMKOT KOTA KOTAMOBAGU</t>
  </si>
  <si>
    <t>JL. RATAHAN NO.02, KEL KOTAMOBAGU, KEC. KOTAMOBAGU BARAT</t>
  </si>
  <si>
    <t>ria.ode@gmail.com</t>
  </si>
  <si>
    <t>JL. AKORDION BARAT 2 KELURAHAN TUNGGULWULUNG, MALANG</t>
  </si>
  <si>
    <t>0153528337</t>
  </si>
  <si>
    <t>3579030412140001</t>
  </si>
  <si>
    <t>3579031304150001</t>
  </si>
  <si>
    <t>ALARIC SHABAZ PRAVISTARA</t>
  </si>
  <si>
    <t>JL. SIMPANG KH YUSUF, KAV WAING 40</t>
  </si>
  <si>
    <t>108 CM</t>
  </si>
  <si>
    <t>DJOKO PRASETYO</t>
  </si>
  <si>
    <t>6472061509880004</t>
  </si>
  <si>
    <t>085755481250</t>
  </si>
  <si>
    <t>KONTRAKTOR</t>
  </si>
  <si>
    <t>CV RUANG LIMA PILAR</t>
  </si>
  <si>
    <t>PERUM PURI KARTIKA ASRI BLOK AA-5, BLIMBING, MALANG</t>
  </si>
  <si>
    <t>081232761788</t>
  </si>
  <si>
    <t>rlpconstructor@gmail.com</t>
  </si>
  <si>
    <t>LIVIE SUKMA TARISTANIA</t>
  </si>
  <si>
    <t>3579034206890002</t>
  </si>
  <si>
    <t>AAA STUDIO</t>
  </si>
  <si>
    <t>JL. SIMPANG KH YUSUF, KAV WAING 40, TASIKMADU, MALANG</t>
  </si>
  <si>
    <t>aaastudioarchitect@gmail.com</t>
  </si>
  <si>
    <t>ZZ</t>
  </si>
  <si>
    <t>JL CANDI PANGGUNG NO 1-3 KOTA MALANG</t>
  </si>
  <si>
    <t>0152874864</t>
  </si>
  <si>
    <t>357903190515002</t>
  </si>
  <si>
    <t>ALARIC VIRZHA FERDIANSYAH</t>
  </si>
  <si>
    <t>VIRZHA</t>
  </si>
  <si>
    <t>DUSUN MOJOREJO</t>
  </si>
  <si>
    <t>ROBBI SURYA FERDIANSYAH</t>
  </si>
  <si>
    <t>081233926350</t>
  </si>
  <si>
    <t>PT. BANK RAKYAT INDONESIA</t>
  </si>
  <si>
    <t>JL SOEKARNO HATTA RUKO GRIYA SHANTABLOK DR 11-12 MOJOLANGU KOTA MALANG</t>
  </si>
  <si>
    <t>0341-419283</t>
  </si>
  <si>
    <t>robbi.dian89@gmail.com</t>
  </si>
  <si>
    <t>LIA PERMANA SARI</t>
  </si>
  <si>
    <t>PT BANK CENTRAL ASIA</t>
  </si>
  <si>
    <t>JL SUROYO TISNONEGARAN KECAMATAN KANIGARAN KOTA PROBOLINGGO</t>
  </si>
  <si>
    <t>0335-421148</t>
  </si>
  <si>
    <t>TK KARTIKA XV PUSDIK ARHANUD</t>
  </si>
  <si>
    <t>PUSDIK ARHANUD</t>
  </si>
  <si>
    <t>0156799569</t>
  </si>
  <si>
    <t>3507231611120007</t>
  </si>
  <si>
    <t>3507236401150002</t>
  </si>
  <si>
    <t>ALESHA ZAHRA ARIE WICAKSONO</t>
  </si>
  <si>
    <t>SEKARPUTIH</t>
  </si>
  <si>
    <t>BAYU ARIE WICAKSONO</t>
  </si>
  <si>
    <t>2147483647</t>
  </si>
  <si>
    <t>0819898798</t>
  </si>
  <si>
    <t>S 1</t>
  </si>
  <si>
    <t>PT. XL AXIATA, TBK</t>
  </si>
  <si>
    <t>&lt;10000000</t>
  </si>
  <si>
    <t>bariewicaksono@gmail.com</t>
  </si>
  <si>
    <t>IKE SULASTYANINGTYAS</t>
  </si>
  <si>
    <t>3504036002930001</t>
  </si>
  <si>
    <t>Ikut suami</t>
  </si>
  <si>
    <t>ikestyas@gmail.com</t>
  </si>
  <si>
    <t>0141769035</t>
  </si>
  <si>
    <t>3573011911200010</t>
  </si>
  <si>
    <t>3574044109140001</t>
  </si>
  <si>
    <t>ALISHA SHAFIYAH AKBAR</t>
  </si>
  <si>
    <t>ALISHA</t>
  </si>
  <si>
    <t>JL. SIMPANG SULFAT BARAT I NO 31</t>
  </si>
  <si>
    <t>MUHAMMAD IQBAL AKBAR</t>
  </si>
  <si>
    <t>3573052410880001</t>
  </si>
  <si>
    <t>JL. SEMARANG NO 5</t>
  </si>
  <si>
    <t>iqbal.akbar.um@gmail.com</t>
  </si>
  <si>
    <t>INTAN HARIYANI</t>
  </si>
  <si>
    <t>3574046407880003</t>
  </si>
  <si>
    <t>D4/S1</t>
  </si>
  <si>
    <t>tyu2cute@yahoo.com</t>
  </si>
  <si>
    <t>03 Maret 2023</t>
  </si>
  <si>
    <t>SD SWASTA TELKOM PADANG</t>
  </si>
  <si>
    <t>JL. AUR DURI INDAH RAYA</t>
  </si>
  <si>
    <t>3573012201190007</t>
  </si>
  <si>
    <t>3573016711140004</t>
  </si>
  <si>
    <t>AMIRA RAISAH KALANI</t>
  </si>
  <si>
    <t>AMIRA</t>
  </si>
  <si>
    <t>27 NOVEMBER 2014</t>
  </si>
  <si>
    <t>PERUM GRAND MASYHUR RESIDENCE NO. E-10 JL. IKAN KAKAP</t>
  </si>
  <si>
    <t>AMIR SYARIFFUDIN</t>
  </si>
  <si>
    <t>3573010311820003</t>
  </si>
  <si>
    <t>0811515177</t>
  </si>
  <si>
    <t>JL. CITANDUI NO. 1 PURWANTORO, BLIMBING, KOTA MALANG</t>
  </si>
  <si>
    <t>amirs1234@yahoo.co.id</t>
  </si>
  <si>
    <t>EVELYN CYNTHIA ADINDA</t>
  </si>
  <si>
    <t>3578044310900003</t>
  </si>
  <si>
    <t>03 OKTOBER 1990</t>
  </si>
  <si>
    <t>085222255111</t>
  </si>
  <si>
    <t>adindaevelyn@gmail.com</t>
  </si>
  <si>
    <t>08 Juli 2024</t>
  </si>
  <si>
    <t xml:space="preserve">SDIT AL MANAR </t>
  </si>
  <si>
    <t xml:space="preserve">JL. H. MOESTA'LIM RT 16, MADUREJO, ARUT SELATAN, KABUPATEN KOTAWARINGIN BARAT </t>
  </si>
  <si>
    <t>0154533059</t>
  </si>
  <si>
    <t>6201021910090012</t>
  </si>
  <si>
    <t>6201024302150002</t>
  </si>
  <si>
    <t xml:space="preserve">ANNISA QOLLBIYYAH </t>
  </si>
  <si>
    <t xml:space="preserve">ANNISA </t>
  </si>
  <si>
    <t xml:space="preserve">KOTAWARINGIN BARAT </t>
  </si>
  <si>
    <t>03 FEBRUARI 2015</t>
  </si>
  <si>
    <t xml:space="preserve">PERUM PERMATA JINGGA BLOK ZAHARA J15, JL. SOEKARNO HATTA </t>
  </si>
  <si>
    <t xml:space="preserve">3 KM </t>
  </si>
  <si>
    <t xml:space="preserve">H. ARIFIN, ST, Map </t>
  </si>
  <si>
    <t>6201021505800010</t>
  </si>
  <si>
    <t xml:space="preserve">TANJUNG MARAWA </t>
  </si>
  <si>
    <t>15 MEI 1980</t>
  </si>
  <si>
    <t>081397211686</t>
  </si>
  <si>
    <t xml:space="preserve">PANGKALAN BUN, MADU REJO, ARUT SELATAN, KOTAWARINGIN BARAT </t>
  </si>
  <si>
    <t>Hj. ELY SUNARYA, SE</t>
  </si>
  <si>
    <t>6201024409810005</t>
  </si>
  <si>
    <t>081254420138</t>
  </si>
  <si>
    <t xml:space="preserve">elyaja194@gmail.com </t>
  </si>
  <si>
    <t>0151202505</t>
  </si>
  <si>
    <t>3507280101150002</t>
  </si>
  <si>
    <t>BAGUS RAFIF PUTRA SENO</t>
  </si>
  <si>
    <t>BAGUS</t>
  </si>
  <si>
    <t>33KG</t>
  </si>
  <si>
    <t>3573056412860005</t>
  </si>
  <si>
    <t>28 Juni 2023</t>
  </si>
  <si>
    <t xml:space="preserve">SDN KEBONAGUNG KOTA PASURUAN </t>
  </si>
  <si>
    <t xml:space="preserve">JL. PANGLIMA SUDIRMAN, KEBONAGUNG, KOTA PASURUAN </t>
  </si>
  <si>
    <t>0148922671</t>
  </si>
  <si>
    <t>3575031407140001</t>
  </si>
  <si>
    <t xml:space="preserve">DARI ILHAM RAMADHAN </t>
  </si>
  <si>
    <t>ILHAM</t>
  </si>
  <si>
    <t>14 JULI 2014</t>
  </si>
  <si>
    <t xml:space="preserve">8 TH 11 BULAN </t>
  </si>
  <si>
    <t xml:space="preserve">NEW VILLA BUKIT SENGKALING D12/01 </t>
  </si>
  <si>
    <t xml:space="preserve">LANDUNGSARI </t>
  </si>
  <si>
    <t xml:space="preserve">5,4KM </t>
  </si>
  <si>
    <t xml:space="preserve">ADITYA BAGUS PERMANA </t>
  </si>
  <si>
    <t xml:space="preserve">PASURUAN </t>
  </si>
  <si>
    <t>29 JULI 1987</t>
  </si>
  <si>
    <t>D-III</t>
  </si>
  <si>
    <t xml:space="preserve">SWASTA/OPERATOR MESIN </t>
  </si>
  <si>
    <t xml:space="preserve">PT. NESTLE </t>
  </si>
  <si>
    <t>0343421005</t>
  </si>
  <si>
    <t xml:space="preserve">dariilhamramadhan@gmail.com </t>
  </si>
  <si>
    <t xml:space="preserve">RIMA DEWI AVIANTI </t>
  </si>
  <si>
    <t xml:space="preserve">SWASTA/BENDAHARA </t>
  </si>
  <si>
    <t>JL. MT. HARYONO 167</t>
  </si>
  <si>
    <t>dayinta87@gmail.com</t>
  </si>
  <si>
    <t xml:space="preserve">LULUD MARDIANA </t>
  </si>
  <si>
    <t xml:space="preserve">NENEK KANDUNG </t>
  </si>
  <si>
    <t>081330109763</t>
  </si>
  <si>
    <t>BA RESTU 2</t>
  </si>
  <si>
    <t>JL. PANDEGLANG NO. 7</t>
  </si>
  <si>
    <t>3507240212200024</t>
  </si>
  <si>
    <t>3507242411140006</t>
  </si>
  <si>
    <t>EGY AL QARIS KEANDRE</t>
  </si>
  <si>
    <t>EGY</t>
  </si>
  <si>
    <t>PERUM BUMI MONDOROKO RAYA BLOK 6J V NO. 47</t>
  </si>
  <si>
    <t>ANDRIE HERMANTO</t>
  </si>
  <si>
    <t>DHIMARHAEN AVILA</t>
  </si>
  <si>
    <t>3510165011890004</t>
  </si>
  <si>
    <t>MANGGAR BELITUNG</t>
  </si>
  <si>
    <t xml:space="preserve">D3 </t>
  </si>
  <si>
    <t>JL.SAXOFONE 25 TUNGGULWULUNG MALANG</t>
  </si>
  <si>
    <t>0148719234</t>
  </si>
  <si>
    <t>3572032108140001</t>
  </si>
  <si>
    <t>GILLIAN ABIMANA SAPUTRA</t>
  </si>
  <si>
    <t>GILLIAN</t>
  </si>
  <si>
    <t xml:space="preserve">PERUM SAXOFONE LAND KAV 8 </t>
  </si>
  <si>
    <t>ARI KRISNA EKA SAPUTRA</t>
  </si>
  <si>
    <t>082234016638 / 08123368311</t>
  </si>
  <si>
    <t>PT.PEGADAIAN (PERSERO)</t>
  </si>
  <si>
    <t>LAWANG MALANG</t>
  </si>
  <si>
    <t>0341-426271</t>
  </si>
  <si>
    <t>FITRIYA YUNIARTI</t>
  </si>
  <si>
    <t>SAXOFONE LAND KAV 8</t>
  </si>
  <si>
    <t>YUNI13CHIU@GMAIL.COM</t>
  </si>
  <si>
    <t>JL CANDI PANGGUNG INDAH NO.1-3</t>
  </si>
  <si>
    <t>0142008035</t>
  </si>
  <si>
    <t>3573011207110014</t>
  </si>
  <si>
    <t>3573012005140003</t>
  </si>
  <si>
    <t>HAFIZH PUTRA ZALIA</t>
  </si>
  <si>
    <t>PERUM KENANGA JAYA NO.17</t>
  </si>
  <si>
    <t>0341-410250</t>
  </si>
  <si>
    <t>AFRIZAL ARIYANTO</t>
  </si>
  <si>
    <t>3573011002790001</t>
  </si>
  <si>
    <t>PAJAK</t>
  </si>
  <si>
    <t>KPP KREMBANGAN SURABAYA</t>
  </si>
  <si>
    <t>0313556881</t>
  </si>
  <si>
    <t>lazirfa@gmail.com</t>
  </si>
  <si>
    <t>YULIA TRI BOGOWANTI</t>
  </si>
  <si>
    <t>3573014507790001</t>
  </si>
  <si>
    <t>julea.bogo@gmail.com</t>
  </si>
  <si>
    <t>JL. CANDI PANGGUNG INDAH NO. 1-3 KELURAHAN MOJOLANGU KECAMATAN LOWOKWARU KOTA MALANG</t>
  </si>
  <si>
    <t>0158901246</t>
  </si>
  <si>
    <t>3579032709170001</t>
  </si>
  <si>
    <t>3573052604150004</t>
  </si>
  <si>
    <t>HAIKAL ZIDAN FACHREZI</t>
  </si>
  <si>
    <t xml:space="preserve">JL. PLUTO NO.15 </t>
  </si>
  <si>
    <t>FACHRURRAZI</t>
  </si>
  <si>
    <t>3573051210770001</t>
  </si>
  <si>
    <t>081233089089</t>
  </si>
  <si>
    <t>GLOBAL</t>
  </si>
  <si>
    <t>JL. PLUTO NO.15 MALANG</t>
  </si>
  <si>
    <t>thifannez80@gmail.com</t>
  </si>
  <si>
    <t>FATHIA ANNIS PRAMESTI</t>
  </si>
  <si>
    <t>3573056403800009</t>
  </si>
  <si>
    <t>DOKTER SPESIALIS SYARAF</t>
  </si>
  <si>
    <t>RSI UNISMA</t>
  </si>
  <si>
    <t>JL.MT HARYONO</t>
  </si>
  <si>
    <t>0341565448</t>
  </si>
  <si>
    <t>L. PERUMAHAN VILLA BUKIT TIDAR, MERJOSARI, KEC. LOWOKWARU, KOTA MALANG, JAWA TIMUR 65144</t>
  </si>
  <si>
    <t>0138065736</t>
  </si>
  <si>
    <t>3573041002150005</t>
  </si>
  <si>
    <t>MOH MIRZA FATIKHURROYAN</t>
  </si>
  <si>
    <t>MIRZA</t>
  </si>
  <si>
    <t>JL. VILLA BUKIT TIDAR E2 172</t>
  </si>
  <si>
    <t>KARYAWAN SWASTA/ DISTRICT MANAGER (MALANG)</t>
  </si>
  <si>
    <t>PT. SDM LAB.</t>
  </si>
  <si>
    <t>JL. RUNGKUT INDUSTRI III/ 44 SURABAYA</t>
  </si>
  <si>
    <t>(031) 8495506</t>
  </si>
  <si>
    <t>m.iqbal@sdm-mkt.com</t>
  </si>
  <si>
    <t>352095102860003</t>
  </si>
  <si>
    <t>JL. MT HARYONO 193</t>
  </si>
  <si>
    <t>(0341) 580547</t>
  </si>
  <si>
    <t>JL. LETJEND SUTOYO IV NO. 63</t>
  </si>
  <si>
    <t>0145771163</t>
  </si>
  <si>
    <t>3573031808070605</t>
  </si>
  <si>
    <t>3573030707140001</t>
  </si>
  <si>
    <t>MUHAMMAD ATHAR RIZKY ATHAYA</t>
  </si>
  <si>
    <t xml:space="preserve">PATRALAND PLACE C7-15 </t>
  </si>
  <si>
    <t>26KG</t>
  </si>
  <si>
    <t>122 CM</t>
  </si>
  <si>
    <t>NUR ARIF HIDAYAT</t>
  </si>
  <si>
    <t>3573031008770002</t>
  </si>
  <si>
    <t>PT. NINDYA KARYA</t>
  </si>
  <si>
    <t>JL. LETJEND HARYONO MT KAV 22 JAKARTA</t>
  </si>
  <si>
    <t>nurarifhidayat7@gmail.com</t>
  </si>
  <si>
    <t>IKA KUSUMA WARDHANI</t>
  </si>
  <si>
    <t>3573034307810009</t>
  </si>
  <si>
    <t>HL. JAKSA AGUNG SUPRAPTO NO. 2 MALANG</t>
  </si>
  <si>
    <t>0341362101</t>
  </si>
  <si>
    <t>ichabb3@gmail.com</t>
  </si>
  <si>
    <t>0146584380</t>
  </si>
  <si>
    <t>3318182802140003</t>
  </si>
  <si>
    <t>MUHAMMAD BILAL ABQARI SANJAYA</t>
  </si>
  <si>
    <t xml:space="preserve">JL. NOTOJOYO NO. 2A DUSUN GONDANG </t>
  </si>
  <si>
    <t>12 JULI 1982</t>
  </si>
  <si>
    <t>2218185806830005</t>
  </si>
  <si>
    <t>18 JUNI 1983</t>
  </si>
  <si>
    <t>PAUD FIRDAUS</t>
  </si>
  <si>
    <t>JL. DAWUHAN TEGALGONDO, KEC. KARANGPLOSO, KAB. MALANG</t>
  </si>
  <si>
    <t>3507230804090002</t>
  </si>
  <si>
    <t>3507233010140001</t>
  </si>
  <si>
    <t>MUHAMMAD NIZAR ZULMI</t>
  </si>
  <si>
    <t>NIZAR</t>
  </si>
  <si>
    <t>PERUM IKIP TEGALGONDO ASRI BLOK 2F NO. 2</t>
  </si>
  <si>
    <t>MUHAMMAD RODHI FAIZ</t>
  </si>
  <si>
    <t>JL SEMARANG, KOTA MALANG</t>
  </si>
  <si>
    <t>TRI KUMALA HAYATI</t>
  </si>
  <si>
    <t xml:space="preserve">SDIT BALIKPAPAN ISLAMIC SCHOOL </t>
  </si>
  <si>
    <t xml:space="preserve">JL. ALAMANDA SELATAN BLOK L5 NO. 18, BALIKPAPAN SELATAN, BALIKPAPAN, KALIMANTAN TIMUR </t>
  </si>
  <si>
    <t>0157377699</t>
  </si>
  <si>
    <t>6471042972140013</t>
  </si>
  <si>
    <t xml:space="preserve">MUHAMMAD RAIHAN BAGASKARA YAZDI </t>
  </si>
  <si>
    <t xml:space="preserve">RAIHAN </t>
  </si>
  <si>
    <t xml:space="preserve">BALIKPAPAN </t>
  </si>
  <si>
    <t>13 MARET 2015</t>
  </si>
  <si>
    <t xml:space="preserve">MUTIARA JINGGA RESIDENCE BLOK B21 </t>
  </si>
  <si>
    <t xml:space="preserve">IRFAN APRIYAN YAZDI, ST </t>
  </si>
  <si>
    <t xml:space="preserve">JAKARATA </t>
  </si>
  <si>
    <t xml:space="preserve">BANK MANDIRI AREA PALANGKARAYA </t>
  </si>
  <si>
    <t xml:space="preserve">LANGKAL, PAHANDUT, PALANGKARAYA </t>
  </si>
  <si>
    <t xml:space="preserve">irfan.apriyan@gmail.com </t>
  </si>
  <si>
    <t xml:space="preserve">TRISIA OKTA UTAMI, SH </t>
  </si>
  <si>
    <t>21 OKTOBER 1987</t>
  </si>
  <si>
    <t xml:space="preserve">trisia.okta@gmail.com </t>
  </si>
  <si>
    <t xml:space="preserve">YONNE RINAWATI, S.Psi </t>
  </si>
  <si>
    <t>24 JUNI 1979</t>
  </si>
  <si>
    <t>081347189703</t>
  </si>
  <si>
    <t xml:space="preserve">IRT </t>
  </si>
  <si>
    <t>MUTIARA JINGGA RESIDENCE BLOK B66</t>
  </si>
  <si>
    <t>JL. BAIDURI PANDAN I NO.2, TLOGOMAS, MALANG</t>
  </si>
  <si>
    <t>0145444814</t>
  </si>
  <si>
    <t>3507220606120004</t>
  </si>
  <si>
    <t>3507225908140003</t>
  </si>
  <si>
    <t>NARESWARI ZHAFIRASYA FAJRIN</t>
  </si>
  <si>
    <t>ARIN</t>
  </si>
  <si>
    <t>JL. RAYA DERMO NO.09</t>
  </si>
  <si>
    <t>0341-462520</t>
  </si>
  <si>
    <t>MUHAMMAD RIZKY FAJRIN</t>
  </si>
  <si>
    <t>3507221709860003</t>
  </si>
  <si>
    <t>MABES TNI AU, CILANGKAP, JAKARTA TIMUR</t>
  </si>
  <si>
    <t>rheinz.aau08@gmail.com</t>
  </si>
  <si>
    <t>AGNESTIYAN PUTRI ILMAWATI</t>
  </si>
  <si>
    <t>3507224808870001</t>
  </si>
  <si>
    <t>BALITTAS, KEMENTERIAN PERTANIAN</t>
  </si>
  <si>
    <t>JL. KARANGPLOSO KM. 4 MALANG</t>
  </si>
  <si>
    <t>0341491447</t>
  </si>
  <si>
    <t>rheinz.bluered@gmail.com</t>
  </si>
  <si>
    <t>PAUD TERPADU ZAM ZAM</t>
  </si>
  <si>
    <t>JL. CAKALANG 209A, POLOWIJEN, BLIMBING, MALANG</t>
  </si>
  <si>
    <t>0149517007</t>
  </si>
  <si>
    <t>3573051607130012</t>
  </si>
  <si>
    <t>3573056604140004</t>
  </si>
  <si>
    <t>NAYLA TANISHA PRIADINI</t>
  </si>
  <si>
    <t>NAYLA</t>
  </si>
  <si>
    <t xml:space="preserve">PERUM TAMAN KUSUMA II NO. D-22 </t>
  </si>
  <si>
    <t>111</t>
  </si>
  <si>
    <t>AGUS PRIADI, SP</t>
  </si>
  <si>
    <t>3505140509800004</t>
  </si>
  <si>
    <t>081554972501</t>
  </si>
  <si>
    <t>SARJANA PERTANIAN</t>
  </si>
  <si>
    <t>WIRASWASTA / PEMILIK</t>
  </si>
  <si>
    <t>CV. PATRIA SEED INDONESIA</t>
  </si>
  <si>
    <t>DSN. BENDILPUTIH DS. TUMPANG RT. 02 RW. 01 KEC. TALUN KAB. BLITAR</t>
  </si>
  <si>
    <t>priadiagus30@yahoo.com</t>
  </si>
  <si>
    <t>INDAH KURNIAWATI, Amd.Keb</t>
  </si>
  <si>
    <t>3514216509800001</t>
  </si>
  <si>
    <t>082234340898</t>
  </si>
  <si>
    <t>DINAS KESEHATAN KOTA MALANG (PUSKESMAS MOJOLANGU)</t>
  </si>
  <si>
    <t>JL. SUDIMORO NO. 17A MOJOLANGU LOWOKWARU MALANG</t>
  </si>
  <si>
    <t>(0341) 482905</t>
  </si>
  <si>
    <t>naylatanisha2014@gmail</t>
  </si>
  <si>
    <t>JL. A. YANI NO. 57 KEC. BLIMBING KOTA MALANG</t>
  </si>
  <si>
    <t>0151064692</t>
  </si>
  <si>
    <t>3573040810140007</t>
  </si>
  <si>
    <t>3573042801150001</t>
  </si>
  <si>
    <t>RASENDRIYA AGHA PRASETIAWAN</t>
  </si>
  <si>
    <t xml:space="preserve">JL. MONDOROKO IV ASRAMA POLISI BLOK A2 </t>
  </si>
  <si>
    <t>IRWAN BAKTI PPRASETIAWAN, SH.</t>
  </si>
  <si>
    <t>3518102912870001</t>
  </si>
  <si>
    <t>08113585654</t>
  </si>
  <si>
    <t>S-1</t>
  </si>
  <si>
    <t>JL. RADEN INTAN NO. 5 KEC. BLIMBING KOTA MALANG</t>
  </si>
  <si>
    <t>0341491304</t>
  </si>
  <si>
    <t>IRWAN.BAKTI09@GMAIL.COM</t>
  </si>
  <si>
    <t>NOVITA AYU PURWANTI</t>
  </si>
  <si>
    <t>3573045011890003</t>
  </si>
  <si>
    <t>082132600026</t>
  </si>
  <si>
    <t>JL. MONDOROKO IV ASRAMA POLISI BLOK A-2</t>
  </si>
  <si>
    <t>NOVITAAGHA89@GMAIL.COM</t>
  </si>
  <si>
    <t>Jl. BANDUNG 7D MALANG</t>
  </si>
  <si>
    <t>3573011105150006</t>
  </si>
  <si>
    <t>3573016307150005</t>
  </si>
  <si>
    <t>SHAKILLA NAURA AZZAHRA</t>
  </si>
  <si>
    <t>JL. ZAENAL ZAKSE II NO 2511</t>
  </si>
  <si>
    <t>JODIPAN</t>
  </si>
  <si>
    <t>IMAM TURMUDZI</t>
  </si>
  <si>
    <t>3573030706880002</t>
  </si>
  <si>
    <t>081232567488/087856888584</t>
  </si>
  <si>
    <t>SWASTA/DIREKTUR OPS.</t>
  </si>
  <si>
    <t>JL.PLN DURENTIGA NO.19 JAKARTA SELATAN</t>
  </si>
  <si>
    <t>Imamvws@gmail.com</t>
  </si>
  <si>
    <t>VINA WULAN SARI</t>
  </si>
  <si>
    <t>3573015011890001</t>
  </si>
  <si>
    <t>087856888584</t>
  </si>
  <si>
    <t>IBU RUMAH TANGA</t>
  </si>
  <si>
    <t>vinna.una@gmail.com</t>
  </si>
  <si>
    <t>TKI ISLAM KARAKTER AS-SYAFI'I MEULABOH</t>
  </si>
  <si>
    <t>MEULABOH,ACEH BARAT</t>
  </si>
  <si>
    <t>1105010706150001</t>
  </si>
  <si>
    <t>TEUKU MUHAMMAD AMMAR ALHAZEEQ</t>
  </si>
  <si>
    <t>KUAJA</t>
  </si>
  <si>
    <t>PERUM ARJOWINANGUN GREEN PARK NO. B17</t>
  </si>
  <si>
    <t>ARJOWINANGUN</t>
  </si>
  <si>
    <t>23 KG</t>
  </si>
  <si>
    <t>121 CM</t>
  </si>
  <si>
    <t>MON IKEUN</t>
  </si>
  <si>
    <t>muda.pahlawan@gmail.com</t>
  </si>
  <si>
    <t>ACEH BESAR</t>
  </si>
  <si>
    <t>S1 PROFESI DOKTER</t>
  </si>
  <si>
    <t>nurul.fadhilazaki@gmail.com</t>
  </si>
  <si>
    <t>3573050703120010</t>
  </si>
  <si>
    <t>3573055001150002</t>
  </si>
  <si>
    <t>THARA KAYLITIA SINDU</t>
  </si>
  <si>
    <t>KAILY</t>
  </si>
  <si>
    <t>JL. BUNGA TRULI NO. 8</t>
  </si>
  <si>
    <t>SORI SINDUTOMO</t>
  </si>
  <si>
    <t>3573050805838004</t>
  </si>
  <si>
    <t>DUMAI</t>
  </si>
  <si>
    <t>RR. PUTRIE TIARANINGTIYAS</t>
  </si>
  <si>
    <t>357204259830002</t>
  </si>
  <si>
    <t>TK BALI PERMATA HATI</t>
  </si>
  <si>
    <t>JL. TUNJUNG SARI NO. 17 X, PADANG SAMBIAN KAJA, KEC. DENPASAR BARAT - BALI</t>
  </si>
  <si>
    <t>0141371447</t>
  </si>
  <si>
    <t>3579032707060404</t>
  </si>
  <si>
    <t>3579035910140001</t>
  </si>
  <si>
    <t>TIFFANY ALMEIRA PRAWORO PUTRI</t>
  </si>
  <si>
    <t>FANNY</t>
  </si>
  <si>
    <t>JL. SULFAT PERUM. BUMI MERANTI WANGI V NO. H-13</t>
  </si>
  <si>
    <t>TERRY INDRA PRAWORO PUTRA</t>
  </si>
  <si>
    <t>3579030306900000</t>
  </si>
  <si>
    <t>08113134299</t>
  </si>
  <si>
    <t>JL. SULFAT PERUM. BUMI MERANTI WANGI V NO. H-13, PANDANWANGI, KEC. BLIMBING</t>
  </si>
  <si>
    <t>terryindra33@outlook.com</t>
  </si>
  <si>
    <t>VITRI YULIANI</t>
  </si>
  <si>
    <t>anggi.bellyanti@yahoo.com</t>
  </si>
  <si>
    <t>JL. TAMAN SENGKALING I/1 PERUM VILLA SENGKALING MULYOAGUNG DAU</t>
  </si>
  <si>
    <t>3507230408150005</t>
  </si>
  <si>
    <t>3507236002150002</t>
  </si>
  <si>
    <t>ADELINA MAHESWARI ADIA</t>
  </si>
  <si>
    <t>5C</t>
  </si>
  <si>
    <t>ADIA</t>
  </si>
  <si>
    <t>PERUMAHAN TERRA REGENCY NO. C6</t>
  </si>
  <si>
    <t>17,5 KG</t>
  </si>
  <si>
    <t>PERUMAHAN TERRA REGENCY NO C 6</t>
  </si>
  <si>
    <t>andhika.gilang87@gmail.com</t>
  </si>
  <si>
    <t>PT PEGADAIAN (PERSERO)</t>
  </si>
  <si>
    <t>JL. BOROBUDUR NO 10</t>
  </si>
  <si>
    <t>0341414226</t>
  </si>
  <si>
    <t>febria.wulan@gmail.com</t>
  </si>
  <si>
    <t>SD ISLAM TERPADU YABIS BONTANG</t>
  </si>
  <si>
    <t>JL. BRIGJEND KATAMSO NO. 40 BONTANG KALIMANTAN TIMUR</t>
  </si>
  <si>
    <t>0143316829</t>
  </si>
  <si>
    <t>6474010203200009</t>
  </si>
  <si>
    <t>6309064506140001</t>
  </si>
  <si>
    <t>ADZKIA KHANZA SHAUFA ANGGARA</t>
  </si>
  <si>
    <t>TABALONG</t>
  </si>
  <si>
    <t>05 JUNI 2014</t>
  </si>
  <si>
    <t>JL. GUNUNG MERBABU NO. 8 PERUM BSD</t>
  </si>
  <si>
    <t>GUNUNG ELAI</t>
  </si>
  <si>
    <t>BONTANG UTARA</t>
  </si>
  <si>
    <t>KOTA BONTANG</t>
  </si>
  <si>
    <t>AGUNG ANGGARAB DWI OKTAVIANTO</t>
  </si>
  <si>
    <t>3573052710860001</t>
  </si>
  <si>
    <t>27 OKTOBER 1986</t>
  </si>
  <si>
    <t>HERLINDA</t>
  </si>
  <si>
    <t>HERLINDAH</t>
  </si>
  <si>
    <t>6309066406880004</t>
  </si>
  <si>
    <t>MUARA UYA</t>
  </si>
  <si>
    <t>24 JUNI 1988</t>
  </si>
  <si>
    <t>0145505312</t>
  </si>
  <si>
    <t>3573052708100003</t>
  </si>
  <si>
    <t>3573056310140004</t>
  </si>
  <si>
    <t>AFIFAH NUR SYAKIRA</t>
  </si>
  <si>
    <t>IFAH</t>
  </si>
  <si>
    <t xml:space="preserve">JL. IKAN MAS VI NO. 16 </t>
  </si>
  <si>
    <t>19.8 KG</t>
  </si>
  <si>
    <t>127 CM</t>
  </si>
  <si>
    <t>WIJANG ABDILLAH</t>
  </si>
  <si>
    <t>3573050303750005</t>
  </si>
  <si>
    <t>081217481973</t>
  </si>
  <si>
    <t>BEA DAN CUKAI</t>
  </si>
  <si>
    <t>KALIMANTAN BARAT</t>
  </si>
  <si>
    <t>wijankbaik@gmail.com</t>
  </si>
  <si>
    <t>SULASTRI</t>
  </si>
  <si>
    <t>3573056706750004</t>
  </si>
  <si>
    <t>syakiraalmadani54@gmail.com</t>
  </si>
  <si>
    <t>KB/TK PERMATA IMAN 2</t>
  </si>
  <si>
    <t>0158950857</t>
  </si>
  <si>
    <t>3573050909130024</t>
  </si>
  <si>
    <t>3573052901150004</t>
  </si>
  <si>
    <t>ARYA DIWANGKARA BUANA</t>
  </si>
  <si>
    <t xml:space="preserve">GREEN VIEW REGENCY RUKO KAV 8/125 </t>
  </si>
  <si>
    <t xml:space="preserve"> TASIKMADU</t>
  </si>
  <si>
    <t>MOHAMMAD REZA</t>
  </si>
  <si>
    <t>3278011304820003</t>
  </si>
  <si>
    <t>082244942515</t>
  </si>
  <si>
    <t>SEDANG MENJALANI PROGRAM DOKTOR</t>
  </si>
  <si>
    <t>DOSEN UNIVERSITAS SHASTA</t>
  </si>
  <si>
    <t>INSTITUT TEKNOLOGI NASIONAL (ITN) MALANG</t>
  </si>
  <si>
    <t>JL. SIGURA-GURA NO. 2, SUMBERSARI - LOWOKWARU - MALANG</t>
  </si>
  <si>
    <t>(0341) 551431</t>
  </si>
  <si>
    <t>3000000-5000000</t>
  </si>
  <si>
    <t>rz_abang@gmail.com</t>
  </si>
  <si>
    <t>LINDA HINDASAH</t>
  </si>
  <si>
    <t>3278016704810002</t>
  </si>
  <si>
    <t>ADEEM TOURS &amp; TRAVEL CABANG MALANG</t>
  </si>
  <si>
    <t>IDEM ALAMAT RUMAH</t>
  </si>
  <si>
    <t>0822 4494 2515</t>
  </si>
  <si>
    <t>2 - 4 Juta (di masa non-pandemi covid19)</t>
  </si>
  <si>
    <t>linda.hindasah@gmail.com</t>
  </si>
  <si>
    <t>TK AL GHAFFAR</t>
  </si>
  <si>
    <t>JL. BUMI ASRI SENGKALING NO.MOR 53, SENGKALING, MULYOAGUNG, KEC. DAU, MALANG, JAWA TIMUR 65151</t>
  </si>
  <si>
    <t>0143442052</t>
  </si>
  <si>
    <t>3507220703130001</t>
  </si>
  <si>
    <t>3507221212140001</t>
  </si>
  <si>
    <t>ASWIN BAGASKARA FIRMANDA</t>
  </si>
  <si>
    <t xml:space="preserve">PERUM OMA CAMPUS BLOK A-13 NO. 5 </t>
  </si>
  <si>
    <t>ALDRIN YUSUF FIRMANSYAH</t>
  </si>
  <si>
    <t>3523161808770001</t>
  </si>
  <si>
    <t>JL. GAJAYANA NO. 50 MALANG. 65144</t>
  </si>
  <si>
    <t>0341558933</t>
  </si>
  <si>
    <t>aldrinfirmansyah@yahoo.co.id</t>
  </si>
  <si>
    <t>ASRINI SEPRIYANTI</t>
  </si>
  <si>
    <t>6171035809840007</t>
  </si>
  <si>
    <t>081352681278</t>
  </si>
  <si>
    <t>sepririni@gmail.com</t>
  </si>
  <si>
    <t>TK CAHAYA PERMATA</t>
  </si>
  <si>
    <t>PERUM PUNCAK PERMATA SENGKALING, D-8, SEMANDING, SUMBERSEKAR, DAU</t>
  </si>
  <si>
    <t>0141798609</t>
  </si>
  <si>
    <t>3515185411140000</t>
  </si>
  <si>
    <t>AURA GWENALESHA DISTIRA</t>
  </si>
  <si>
    <t>AURA</t>
  </si>
  <si>
    <t xml:space="preserve">JL. MARTOREJO NO 17 </t>
  </si>
  <si>
    <t>KRAJAN, RANDUAGUNG, KEC SINGOSARI</t>
  </si>
  <si>
    <t>(0341)-490000</t>
  </si>
  <si>
    <t>KB/RA IMPIANKU</t>
  </si>
  <si>
    <t>JL. TOMBRO SELATAN IGANG 2 NO.100</t>
  </si>
  <si>
    <t>0145332046</t>
  </si>
  <si>
    <t>3573050510200007</t>
  </si>
  <si>
    <t>3518034310140001</t>
  </si>
  <si>
    <t>DIANDRA ARUMI ANWAR</t>
  </si>
  <si>
    <t>ARUMI</t>
  </si>
  <si>
    <t>PERUMAHAN TAMAN KUSUMA 1 KAVLING 3</t>
  </si>
  <si>
    <t>MOHAMMAD CHAIRIL ANWAR</t>
  </si>
  <si>
    <t>3518030212830004</t>
  </si>
  <si>
    <t>081235456235 / 08563619599 (WA)</t>
  </si>
  <si>
    <t>S1 PERTANIAN</t>
  </si>
  <si>
    <t>BPJS KETENAGAKERJAAN</t>
  </si>
  <si>
    <t>JL. MAYOR BISMO NO.34, SEMAMPIR, KOTA KEDIRI</t>
  </si>
  <si>
    <t>achay333@gmail.com</t>
  </si>
  <si>
    <t>RATIH RAMADHANI</t>
  </si>
  <si>
    <t>3518035303840002</t>
  </si>
  <si>
    <t>081235456235 / 08563619599</t>
  </si>
  <si>
    <t>ramadhani.ratih1303@gmail.com</t>
  </si>
  <si>
    <t>JL. SUDIMORO NO 21.A MOJOLANGU LOWOKWARU MALANG</t>
  </si>
  <si>
    <t>3573051106140001</t>
  </si>
  <si>
    <t>ELJUNNA SAKYA KENDA</t>
  </si>
  <si>
    <t>JUNNA</t>
  </si>
  <si>
    <t>BOROBUDUR AGUNG BARAT IV NO 6</t>
  </si>
  <si>
    <t>DHANI FAYUMI ASYHAR</t>
  </si>
  <si>
    <t>ENGINEERING</t>
  </si>
  <si>
    <t>02129921828</t>
  </si>
  <si>
    <t>IKE DANIA PUTRI</t>
  </si>
  <si>
    <t>3573051701130000</t>
  </si>
  <si>
    <t>SEKRETARIAT DAERAH</t>
  </si>
  <si>
    <t>TUGU NO 1</t>
  </si>
  <si>
    <t>0341320978</t>
  </si>
  <si>
    <t>`TK ANAK SALEH</t>
  </si>
  <si>
    <t>0155658698</t>
  </si>
  <si>
    <t>3504010306140004</t>
  </si>
  <si>
    <t>3504011805150004</t>
  </si>
  <si>
    <t>FATHAN ALFARIZQY MARTASUNDJAYA</t>
  </si>
  <si>
    <t>FATHAN</t>
  </si>
  <si>
    <t>PERUMAHAN PERMATA JINGGA BLOK WEST NO B6</t>
  </si>
  <si>
    <t>20.3 KG</t>
  </si>
  <si>
    <t>R. HADI MARTASUNDJAYA, SE</t>
  </si>
  <si>
    <t>KANTOR PELAYANAN PAJAK MADYA MALANG</t>
  </si>
  <si>
    <t>KOMPLEK ARAYA BUSINESS CENTER KAV 1 JL RADEN PANJI SUROSO KEC BLIMBING KOTA MALANG 65126</t>
  </si>
  <si>
    <t>0341402021</t>
  </si>
  <si>
    <t>martasundjaya725@gmail.com</t>
  </si>
  <si>
    <t>SANTI PUSPA RINI</t>
  </si>
  <si>
    <t>JL TERUSAN BOROBUDUR NO 16A MALANG</t>
  </si>
  <si>
    <t>0341498622</t>
  </si>
  <si>
    <t>KARTIKA PRADANA</t>
  </si>
  <si>
    <t>0147186060</t>
  </si>
  <si>
    <t>3573051508130008</t>
  </si>
  <si>
    <t>3673050301140000</t>
  </si>
  <si>
    <t>HABIBIE AL FATIH</t>
  </si>
  <si>
    <t>HABIBIE</t>
  </si>
  <si>
    <t>JL SIMPANG CANDI PANGGUNG 134</t>
  </si>
  <si>
    <t>1 (satu)</t>
  </si>
  <si>
    <t>113 CM</t>
  </si>
  <si>
    <t>NUR SYAEDI</t>
  </si>
  <si>
    <t>3573040407830013</t>
  </si>
  <si>
    <t>081558359393</t>
  </si>
  <si>
    <t>JALAN RAYA PASURUAN - MALANG KM. 9.5</t>
  </si>
  <si>
    <t>0343-421005</t>
  </si>
  <si>
    <t>nur.syaedi@gmail.com</t>
  </si>
  <si>
    <t>IKA RACHMAWATININGSIH</t>
  </si>
  <si>
    <t>3573055207860005</t>
  </si>
  <si>
    <t>083834343828</t>
  </si>
  <si>
    <t>langit.biru009@gmail.com</t>
  </si>
  <si>
    <t>JL. PANDEGLANG MALANG</t>
  </si>
  <si>
    <t>0143212829</t>
  </si>
  <si>
    <t>3573031007130012</t>
  </si>
  <si>
    <t>3573030911140003</t>
  </si>
  <si>
    <t>HAIKAL YANUAR RAHMAN</t>
  </si>
  <si>
    <t>PERUM ISTANA CAKALANG KAV 27</t>
  </si>
  <si>
    <t>140</t>
  </si>
  <si>
    <t>IMAM KHAIRI</t>
  </si>
  <si>
    <t>JL. CANDI PANGGUNG INDAH NO. 1-3 KOTA MALANG</t>
  </si>
  <si>
    <t>0143761619</t>
  </si>
  <si>
    <t>373052404130012</t>
  </si>
  <si>
    <t>3573051909140005</t>
  </si>
  <si>
    <t>HARUN MUHAMMAD DIPA</t>
  </si>
  <si>
    <t>HARUN</t>
  </si>
  <si>
    <t>JL. VINOLIA PERUM PURI BUNGA B-19</t>
  </si>
  <si>
    <t>34 KG</t>
  </si>
  <si>
    <t>D3 ELEKTRO</t>
  </si>
  <si>
    <t>PENGAWAS</t>
  </si>
  <si>
    <t>DOHA - QATAR</t>
  </si>
  <si>
    <t>mhd_suhadi@gmail.com</t>
  </si>
  <si>
    <t>D3 INDUSTRI</t>
  </si>
  <si>
    <t>0146486595</t>
  </si>
  <si>
    <t>357305300819009</t>
  </si>
  <si>
    <t>3521092706140002</t>
  </si>
  <si>
    <t>KEENAN RAMADHANA NANDADHIVA</t>
  </si>
  <si>
    <t>KEENAN</t>
  </si>
  <si>
    <t xml:space="preserve">PATRALAND C.3-8 </t>
  </si>
  <si>
    <t>ADHI THRISTYA DHINAR (ALM.)</t>
  </si>
  <si>
    <t>IVARILLY YUNALINDA</t>
  </si>
  <si>
    <t>BANK WOORI SAUDARA KC MALANG</t>
  </si>
  <si>
    <t>JL. LETJEN SUTOYO 27 KOTA MALANG</t>
  </si>
  <si>
    <t>(0341) 421906</t>
  </si>
  <si>
    <t>KARANGPLOSO KABUPATEN MALANG</t>
  </si>
  <si>
    <t>0153329503</t>
  </si>
  <si>
    <t>3507230910090002</t>
  </si>
  <si>
    <t>3507234206150001</t>
  </si>
  <si>
    <t>KEYSHA DEVINA FITRI</t>
  </si>
  <si>
    <t>KEYSHA</t>
  </si>
  <si>
    <t xml:space="preserve">JL. RAYA KARANGAN </t>
  </si>
  <si>
    <t>M. SAIFUL YANANTO</t>
  </si>
  <si>
    <t>3507230912810001</t>
  </si>
  <si>
    <t>INDUSTRI</t>
  </si>
  <si>
    <t>VIDYA MONA RIMBAWATY</t>
  </si>
  <si>
    <t>3507236007810006</t>
  </si>
  <si>
    <t>TK INSAN MULIA</t>
  </si>
  <si>
    <t>PERUMAHAN TIRTASANI ESTATE B1 RT 01 RW 11 GEMBRUNG TUNJUNGTIRTO SINGOSARI MALANG</t>
  </si>
  <si>
    <t>0147276289</t>
  </si>
  <si>
    <t>3507232603140008</t>
  </si>
  <si>
    <t>3507236411140003</t>
  </si>
  <si>
    <t>KHANZA OTYLIA ROSYIDI</t>
  </si>
  <si>
    <t xml:space="preserve">PERUM BPTP BLOK E NO.1 </t>
  </si>
  <si>
    <t>082330646933</t>
  </si>
  <si>
    <t>16,6</t>
  </si>
  <si>
    <t>AGUS MAS'AD ROSYIDI</t>
  </si>
  <si>
    <t>3523162305810003</t>
  </si>
  <si>
    <t>PERUM BPTP BLOK E NO1 KEPUHARJO KARANGPLOSO MALANG</t>
  </si>
  <si>
    <t>agusjamur9@gmail.con</t>
  </si>
  <si>
    <t>ERICHA NURVIA ALAMI</t>
  </si>
  <si>
    <t>3523164705830001</t>
  </si>
  <si>
    <t>BPTP JATIM</t>
  </si>
  <si>
    <t>(0341)485056</t>
  </si>
  <si>
    <t>ericha.keycha@gmail.com</t>
  </si>
  <si>
    <t>0142945940</t>
  </si>
  <si>
    <t>3573010411140006</t>
  </si>
  <si>
    <t>MUHAMMAD ALIF NABIL AL FATIH</t>
  </si>
  <si>
    <t>ALIF</t>
  </si>
  <si>
    <t>JL. IKAN NILA II PERUM CITRA IKAN NILA NO. 19</t>
  </si>
  <si>
    <t>BI MALANG</t>
  </si>
  <si>
    <t>341366054</t>
  </si>
  <si>
    <t>LESTA_BEAUTY</t>
  </si>
  <si>
    <t>JL. IKAN NILA LL PERUM CITRA IKAN NILA NO. 19</t>
  </si>
  <si>
    <t>TK TERPADU FUTURE ISLAMIC SCHOOL</t>
  </si>
  <si>
    <t>JL. TUANKU TAMBUSAI PEKANBARU</t>
  </si>
  <si>
    <t>0156147041</t>
  </si>
  <si>
    <t>3525101601150000</t>
  </si>
  <si>
    <t>3525100201150001</t>
  </si>
  <si>
    <t>MUHAMMAD JIBRAN AR RAYYAN</t>
  </si>
  <si>
    <t>JIBRAN</t>
  </si>
  <si>
    <t>PERUMAHAN ARUMBA UTAMA RESIDENCE A4</t>
  </si>
  <si>
    <t>081225370549</t>
  </si>
  <si>
    <t>AGUS TRIMANTO</t>
  </si>
  <si>
    <t>3374061308830009</t>
  </si>
  <si>
    <t>081330229277</t>
  </si>
  <si>
    <t>UPDL</t>
  </si>
  <si>
    <t>KEDUNG MUNDU</t>
  </si>
  <si>
    <t>agustrimanto@gmail.com</t>
  </si>
  <si>
    <t>RATIH ESTIANI SAFITRI</t>
  </si>
  <si>
    <t>3525096505880001</t>
  </si>
  <si>
    <t>ratih_estiani_safitri@yahoo.com</t>
  </si>
  <si>
    <t>TK AKADEMIKA AL-ARSYAD GPA NGIJO</t>
  </si>
  <si>
    <t>JALAN PIRUS BLOK KB NO 8, GRIYA PERMATA ALAM NGIJO KARANGPLOSO MALANG</t>
  </si>
  <si>
    <t>0147388310</t>
  </si>
  <si>
    <t>3507231601140005</t>
  </si>
  <si>
    <t>3507231507140002</t>
  </si>
  <si>
    <t>MUHAMMAD NAUFAL RAMADHAN ANTARA</t>
  </si>
  <si>
    <t xml:space="preserve">PERUM GRIYA PERMATA ALAM BLOK F NO 26 </t>
  </si>
  <si>
    <t>123 CM</t>
  </si>
  <si>
    <t>YUDI ANTARA</t>
  </si>
  <si>
    <t>3518081002910001</t>
  </si>
  <si>
    <t>PELAUT/ STAWARD</t>
  </si>
  <si>
    <t>PT SODEXO INDONESIA</t>
  </si>
  <si>
    <t>THE MANHATTAN SQUARE, MID TOWER 11 TH FLOOR UNIT A-C &amp; H -- JALAN TB SIMATUPANG KAV 1S, JAKARTA 12560</t>
  </si>
  <si>
    <t>yudiantara91@yahoo.co.id</t>
  </si>
  <si>
    <t>DINA PUTRI HANIFAH</t>
  </si>
  <si>
    <t>3507235712900002</t>
  </si>
  <si>
    <t>hanifah_dina@yahoo.com</t>
  </si>
  <si>
    <t>TK. SITI HAJAR</t>
  </si>
  <si>
    <t>JL. AMPEL PRATAMA V BLOK E2/IX PERUM PESANGGRAHAN PRATAMA KEC. KARANGPLOSO KAB. MALANG</t>
  </si>
  <si>
    <t>0142449340</t>
  </si>
  <si>
    <t>3507232511100001</t>
  </si>
  <si>
    <t>3507230110140000</t>
  </si>
  <si>
    <t>MUHAMMAD PUTRA WIRASENA SANJAYA</t>
  </si>
  <si>
    <t>JL. PANDE NO. 17  KASIN</t>
  </si>
  <si>
    <t>GUNARDIANTO</t>
  </si>
  <si>
    <t>3579022108810004</t>
  </si>
  <si>
    <t>085103550677</t>
  </si>
  <si>
    <t>PERTANIAN</t>
  </si>
  <si>
    <t>JL. IMAM SUJONO NO. 58 DUSUN GINTUNG DESA BULUKERTO KECAMATAN BUMIAJI KOTA BATU</t>
  </si>
  <si>
    <t>081291376497</t>
  </si>
  <si>
    <t>gunardiantosanjaya@gmail.com</t>
  </si>
  <si>
    <t>UNUN MULIYANA SANJAYA</t>
  </si>
  <si>
    <t>3507236603830001</t>
  </si>
  <si>
    <t>MANAGER PPIC</t>
  </si>
  <si>
    <t>PT. DELTAMAS PRIMA SENTOSA</t>
  </si>
  <si>
    <t>JL. SUMBER PASIR NO. 166 KECAMATAN PAKIS KABUPATEN MALANG</t>
  </si>
  <si>
    <t>03413052179</t>
  </si>
  <si>
    <t>meswa.sanjaya@gmail.com</t>
  </si>
  <si>
    <t>12 JULI 2022</t>
  </si>
  <si>
    <t>SDIT AL UMMAH</t>
  </si>
  <si>
    <t>JL. KAPTEN TENDEAN IV NO. 4 SENGON JOMBANG</t>
  </si>
  <si>
    <t>0148398425</t>
  </si>
  <si>
    <t>3515170307150005</t>
  </si>
  <si>
    <t>3515171512140001</t>
  </si>
  <si>
    <t>MUHAMMAD YUSRIL ZAIN AL ARSY</t>
  </si>
  <si>
    <t>YUSRIL</t>
  </si>
  <si>
    <t>15 DESEMBER 2014</t>
  </si>
  <si>
    <t>GRAND ALEENA BLOK 68</t>
  </si>
  <si>
    <t>6,8 KM</t>
  </si>
  <si>
    <t>ALBAIT LAU DZIKRILLAH</t>
  </si>
  <si>
    <t>3515170412870002</t>
  </si>
  <si>
    <t>04 DESEMBER 1987</t>
  </si>
  <si>
    <t>08113637554</t>
  </si>
  <si>
    <t>PT. LESAFFRE SARI NUSA</t>
  </si>
  <si>
    <t>JL. RAYA BULUPAYUNG NO. 1 KREBET BULULAWANG</t>
  </si>
  <si>
    <t>albaitlaudzikrillah@gmail.com</t>
  </si>
  <si>
    <t>DINI ANDAYANI</t>
  </si>
  <si>
    <t>3525164509900001</t>
  </si>
  <si>
    <t>085732503171</t>
  </si>
  <si>
    <t>diniandayani.d@gmail.com</t>
  </si>
  <si>
    <t>JL. TERUSAN CIKAMPEK NO.10, PENANGGUNGAN, KEC. KLOJEN, KOTA MALANG, JAWA TIMUR 65113</t>
  </si>
  <si>
    <t>0146549920</t>
  </si>
  <si>
    <t>3507221006150002</t>
  </si>
  <si>
    <t>3573032911140002</t>
  </si>
  <si>
    <t>MUHAMMAD ZAFRAN AL JAZARI</t>
  </si>
  <si>
    <t>JL. RAYA JETIS NO. 68</t>
  </si>
  <si>
    <t>MOCHAMMAD HANNATS HANAFI ICHSAN</t>
  </si>
  <si>
    <t>3507222912880001</t>
  </si>
  <si>
    <t>082334050999</t>
  </si>
  <si>
    <t>FAKULTAS ILMU KOMPUTER, UNIVERSITAS BRAWIJAYA</t>
  </si>
  <si>
    <t>JL. VETERAN, KETAWANGGEDE, KEC. LOWOKWARU, KOTA MALANG, JAWA TIMUR 65145</t>
  </si>
  <si>
    <t>(0341) 577911</t>
  </si>
  <si>
    <t>hanas.hanafi@ub.ac.id</t>
  </si>
  <si>
    <t>AISSHAH ROESIANA DEWI</t>
  </si>
  <si>
    <t>3573034312870002</t>
  </si>
  <si>
    <t>085231184999</t>
  </si>
  <si>
    <t>aisshah.roesiana@gmail.com</t>
  </si>
  <si>
    <t>0157805359</t>
  </si>
  <si>
    <t>3573051806190004</t>
  </si>
  <si>
    <t>6471030701150003</t>
  </si>
  <si>
    <t>NARARYA FARIH BUMI CAHYONO</t>
  </si>
  <si>
    <t>BUMI</t>
  </si>
  <si>
    <t>GREEN ORCHID RESIDENCE NO.A28 JL.PUNCAK BOROBUDUR</t>
  </si>
  <si>
    <t>HERI CAHYONO</t>
  </si>
  <si>
    <t>6471031209770000</t>
  </si>
  <si>
    <t>MAINTENANCE SUPERVISOR</t>
  </si>
  <si>
    <t>PERTAMINA HULU MAHAKAM</t>
  </si>
  <si>
    <t>JL.YOS SUDARSO NO.1 BALIKPAPAN KALIMANTAN TIMUR</t>
  </si>
  <si>
    <t>0542535338</t>
  </si>
  <si>
    <t>hericahy1209@gmail.com</t>
  </si>
  <si>
    <t>GITA AVENA</t>
  </si>
  <si>
    <t>6471035806800005</t>
  </si>
  <si>
    <t>D1</t>
  </si>
  <si>
    <t>gita.avena@gmail.com</t>
  </si>
  <si>
    <t>JALAN MAGELANG</t>
  </si>
  <si>
    <t>3507232703140007</t>
  </si>
  <si>
    <t>3507231705142221</t>
  </si>
  <si>
    <t>NAUFAL RAFANINO INDRAGUNA</t>
  </si>
  <si>
    <t>GREENHILLS RESIDENCE JALAN RAYA BUKIT KAMBOJA NO.6</t>
  </si>
  <si>
    <t>40</t>
  </si>
  <si>
    <t>TRI SAKTI INDRA GUNA</t>
  </si>
  <si>
    <t>KAPTEN KAPAL / MASTER DPO</t>
  </si>
  <si>
    <t>PT. TANJUNG PERDANA CEMERLANG</t>
  </si>
  <si>
    <t>HARTON TOWER, LANTAI 7 UNIT 7D JL. SENTRA BISNIS ARTHA GADING, BLOK D KAV 3, KELAPA GADING JAKARTA UTARA 14240 - INDONESIA TLP +62 21 2452 1455 FAX +62 21 2452 1456</t>
  </si>
  <si>
    <t>02124521455</t>
  </si>
  <si>
    <t>trisakti10@gmail.com</t>
  </si>
  <si>
    <t>DIAN PARAMITA LISTYA PUTRI</t>
  </si>
  <si>
    <t>PURWOREJO</t>
  </si>
  <si>
    <t>DIPLOMA</t>
  </si>
  <si>
    <t>JALAN RAYA BUKIT KAMBOJA NO.6, GREEN HILLS RESIDENCE</t>
  </si>
  <si>
    <t>dianindra27aja@gmail.com</t>
  </si>
  <si>
    <t xml:space="preserve">SD ISLAM ROUSHAN FIKR JOMBANG </t>
  </si>
  <si>
    <t xml:space="preserve">JL. KAPTEN TENDEAN GG. SERUNI PULOLOR JOMBANG </t>
  </si>
  <si>
    <t>0147650998</t>
  </si>
  <si>
    <t>3517090707150011</t>
  </si>
  <si>
    <t>9271016108140001</t>
  </si>
  <si>
    <t xml:space="preserve">NAYLA AINUN HUMAIRA </t>
  </si>
  <si>
    <t xml:space="preserve">SORONG </t>
  </si>
  <si>
    <t>12 AGUSTUS 2014</t>
  </si>
  <si>
    <t xml:space="preserve">9TH 7 BULAN </t>
  </si>
  <si>
    <t xml:space="preserve">PERUMAHAN GRAND ARUMBA </t>
  </si>
  <si>
    <t xml:space="preserve">300 METER </t>
  </si>
  <si>
    <t>085244013444</t>
  </si>
  <si>
    <t xml:space="preserve">DEMAM, BATUK, PILEK </t>
  </si>
  <si>
    <t xml:space="preserve">JAUHARI IBNU HAMDANI </t>
  </si>
  <si>
    <t>927101153850008</t>
  </si>
  <si>
    <t>15 MARET 1985</t>
  </si>
  <si>
    <t>081217611351</t>
  </si>
  <si>
    <t xml:space="preserve">KPP MADYA MALANG </t>
  </si>
  <si>
    <t xml:space="preserve">JL. RADEN PANJI SUROSO, BLIMBING, MALANG </t>
  </si>
  <si>
    <t>RP. 15.000.000</t>
  </si>
  <si>
    <t xml:space="preserve">jojoetiwi@gmail.com </t>
  </si>
  <si>
    <t xml:space="preserve">EMA PRATIWI </t>
  </si>
  <si>
    <t>9271015209860007</t>
  </si>
  <si>
    <t xml:space="preserve">DIPLOMA I </t>
  </si>
  <si>
    <t xml:space="preserve">KPP MADYA SIDOARJO </t>
  </si>
  <si>
    <t xml:space="preserve">JL. RAYA JUANDA NO. 37 </t>
  </si>
  <si>
    <t xml:space="preserve">ema.tiwi2321@gmail.com </t>
  </si>
  <si>
    <t>TK MUSLIMAT NU 1 RAUDLATUL ULUM</t>
  </si>
  <si>
    <t>JL. RAYA NGIJO, KARANGPLOSO, KAB. MALANG</t>
  </si>
  <si>
    <t>0145366569</t>
  </si>
  <si>
    <t>3507231908140002</t>
  </si>
  <si>
    <t>3507230107140001</t>
  </si>
  <si>
    <t>REVAL AKMAL EL-AZZAM</t>
  </si>
  <si>
    <t>REVAL</t>
  </si>
  <si>
    <t>MISBACHUL ANWAR</t>
  </si>
  <si>
    <t>3507251710890001</t>
  </si>
  <si>
    <t>PT. TIRTA FRESINDO JAYA</t>
  </si>
  <si>
    <t>4502070</t>
  </si>
  <si>
    <t>misbachulanwar89@gmail.com</t>
  </si>
  <si>
    <t>SILVIA WULANDARI</t>
  </si>
  <si>
    <t>3507234406900003</t>
  </si>
  <si>
    <t>RS. PERTAMA BUNDA</t>
  </si>
  <si>
    <t>487487</t>
  </si>
  <si>
    <t>JL CANDI PANGGUNG no. 1-3</t>
  </si>
  <si>
    <t>0149645414</t>
  </si>
  <si>
    <t>3507241312100009</t>
  </si>
  <si>
    <t>3507245801140003</t>
  </si>
  <si>
    <t>SEKAR WILUJENG LARASATI</t>
  </si>
  <si>
    <t>SEKAR</t>
  </si>
  <si>
    <t xml:space="preserve">PERUM TIRTASANI ESTATE BLOK F NO 14 </t>
  </si>
  <si>
    <t>ADI ENDRA NOVIANTO</t>
  </si>
  <si>
    <t>3520060708780001</t>
  </si>
  <si>
    <t>S 1 TEKNIK SIPIL</t>
  </si>
  <si>
    <t>STAF BUMN KONSTRUKSI</t>
  </si>
  <si>
    <t>BUMN PT PP</t>
  </si>
  <si>
    <t>PELABUHAN PERAK SURABAYA</t>
  </si>
  <si>
    <t>adiendra@gmail.com</t>
  </si>
  <si>
    <t>IKASARI PUDJI KURNIAWATI</t>
  </si>
  <si>
    <t>3573054502790002</t>
  </si>
  <si>
    <t>S1 FARMASI APOTEKER</t>
  </si>
  <si>
    <t>PNS APOTEKER</t>
  </si>
  <si>
    <t>RS JIWA DR. RADJIMAN WEDIODININGRAT LAWANG MALANG</t>
  </si>
  <si>
    <t>JL.A YANI DESA SUMBER PORONG KEC LAWANG KAB MALANG</t>
  </si>
  <si>
    <t>0341426015</t>
  </si>
  <si>
    <t>ikasaripudjikurniawati@gmail.com</t>
  </si>
  <si>
    <t>TK AL FALAH</t>
  </si>
  <si>
    <t>JL. PB.SUDIRMAN RT.2 RW.6 DESA TLEKUNG KEC. JUNREJO. KOTA BATU</t>
  </si>
  <si>
    <t>0141128539</t>
  </si>
  <si>
    <t>3579032407080013</t>
  </si>
  <si>
    <t>3579031507140001</t>
  </si>
  <si>
    <t>ACHMAD PRABU REVOLUSI</t>
  </si>
  <si>
    <t>5D</t>
  </si>
  <si>
    <t>REVO</t>
  </si>
  <si>
    <t>JL. DIPONEGORO NO.46</t>
  </si>
  <si>
    <t>117CM</t>
  </si>
  <si>
    <t>3579030106700001</t>
  </si>
  <si>
    <t>081332410516</t>
  </si>
  <si>
    <t>DAGANG</t>
  </si>
  <si>
    <t>TB. WANDI JAYA</t>
  </si>
  <si>
    <t>JL.DIPONEGORO NO.46 RT.1 RW.1 JUNREJO KOTA BATU</t>
  </si>
  <si>
    <t>085100766798</t>
  </si>
  <si>
    <t>revosuwandi1@gmail.com</t>
  </si>
  <si>
    <t>KASMIATI</t>
  </si>
  <si>
    <t>3579036707710004</t>
  </si>
  <si>
    <t>081235138885</t>
  </si>
  <si>
    <t>kasmiatimami3@gmail.com</t>
  </si>
  <si>
    <t>0158870507</t>
  </si>
  <si>
    <t>3504013103059532</t>
  </si>
  <si>
    <t>3504016406150002</t>
  </si>
  <si>
    <t>ALIYYA NAUFALYN RAMADHINA</t>
  </si>
  <si>
    <t>JL SAXOPHONE, PERUM PURI BUNGA II BLOK A2</t>
  </si>
  <si>
    <t>93 CM</t>
  </si>
  <si>
    <t>MUHAMMAD MURSYIDI</t>
  </si>
  <si>
    <t>3573050303860010</t>
  </si>
  <si>
    <t>085649794938</t>
  </si>
  <si>
    <t>DIPLOMA 4</t>
  </si>
  <si>
    <t>KARYAWAN SWASTA -ENGINEER</t>
  </si>
  <si>
    <t>PT ORGANON PHARMA INDONESIA TBK</t>
  </si>
  <si>
    <t>JL RAYA PANDAAN KM 48</t>
  </si>
  <si>
    <t>03160040702</t>
  </si>
  <si>
    <t>muhammad.mursyidi@organon.com</t>
  </si>
  <si>
    <t>NURUL AMALIA RIZKI</t>
  </si>
  <si>
    <t>3504015209870001</t>
  </si>
  <si>
    <t>085649629639</t>
  </si>
  <si>
    <t>SARJANA - PROFESI</t>
  </si>
  <si>
    <t>PERSADA HOSPITAL</t>
  </si>
  <si>
    <t>ARAYA BUSINESS KOMPLEK, MALANG</t>
  </si>
  <si>
    <t>0341 2891111</t>
  </si>
  <si>
    <t>dr.nurulamaliarizki@gmail.com</t>
  </si>
  <si>
    <t>JL. RAYA KARANGJUWET, NO.118, RT.31/RW.08, KARANGJUWET, BONOWARIH, KARANG PLOSO, MALANG,</t>
  </si>
  <si>
    <t>0146991115</t>
  </si>
  <si>
    <t>3579032505150002</t>
  </si>
  <si>
    <t>3518075007140002</t>
  </si>
  <si>
    <t>ALMIRA ZAFIRAH WIDODO</t>
  </si>
  <si>
    <t>PERUMAHAN SEKARPUTIH PERMAI NO. 37</t>
  </si>
  <si>
    <t>102</t>
  </si>
  <si>
    <t>NURJATI WIDODO</t>
  </si>
  <si>
    <t>3518072901830001</t>
  </si>
  <si>
    <t>082142890550</t>
  </si>
  <si>
    <t>FAKULTAS ILMU ADMINISTRASI UB, JALAN MT HARYONO 163 MALANG</t>
  </si>
  <si>
    <t>0341553737</t>
  </si>
  <si>
    <t>nurjati_fia@ub.ac.id</t>
  </si>
  <si>
    <t>FITRI HANDAYANI</t>
  </si>
  <si>
    <t>3518076605870003</t>
  </si>
  <si>
    <t>081249773366</t>
  </si>
  <si>
    <t>fitrihandayaniwidodo@gmail.com</t>
  </si>
  <si>
    <t>TK PLUS AL KAUTSAR</t>
  </si>
  <si>
    <t>JL. LAKSDA ADI SUCIPTO 99 MALANG 65125</t>
  </si>
  <si>
    <t>0145396667</t>
  </si>
  <si>
    <t>3573011402180022</t>
  </si>
  <si>
    <t>3573010105140005</t>
  </si>
  <si>
    <t>ALVINO GIOVANI SIREGAR</t>
  </si>
  <si>
    <t xml:space="preserve">JL. PANJI SUROSO PERUM PLAOSAN GARDEN BLOK J4 </t>
  </si>
  <si>
    <t>26 KG</t>
  </si>
  <si>
    <t>MUSA SIREGAR</t>
  </si>
  <si>
    <t>3573011210720002</t>
  </si>
  <si>
    <t>PEMATANG SIANTAR</t>
  </si>
  <si>
    <t>081252526877</t>
  </si>
  <si>
    <t>S1-HUKUM</t>
  </si>
  <si>
    <t>MANAGER HRD</t>
  </si>
  <si>
    <t>WEARNES EDUCATION CENTER</t>
  </si>
  <si>
    <t>JL. JAKARTA 38 MALANG</t>
  </si>
  <si>
    <t>0341-587844</t>
  </si>
  <si>
    <t>10.000.000 - 15.000.000</t>
  </si>
  <si>
    <t>siregarmusa97@gmail.com</t>
  </si>
  <si>
    <t>FAJAR RAHMAWATI</t>
  </si>
  <si>
    <t>3573015311850002</t>
  </si>
  <si>
    <t>D1-AKUNTANSI</t>
  </si>
  <si>
    <t>fajar.rahmah.rf@gmail.com</t>
  </si>
  <si>
    <t>05 JUNI 2025</t>
  </si>
  <si>
    <t>3515132210190004</t>
  </si>
  <si>
    <t>3509215702150003</t>
  </si>
  <si>
    <t>17 FEBRUARI 2015</t>
  </si>
  <si>
    <t>08113505236</t>
  </si>
  <si>
    <t>081135005236</t>
  </si>
  <si>
    <t>3509211407740005</t>
  </si>
  <si>
    <t>14 JULI 1974</t>
  </si>
  <si>
    <t>PERUMAHAN TIRTASANI ESTATE B 1 RT01 RW 11 SINGOSARI</t>
  </si>
  <si>
    <t>0159680191</t>
  </si>
  <si>
    <t>3507230711140010</t>
  </si>
  <si>
    <t>3507236407150001</t>
  </si>
  <si>
    <t>ARUNA CARIENTRA</t>
  </si>
  <si>
    <t>UNA</t>
  </si>
  <si>
    <t xml:space="preserve">TIRTASANI ROYAL RESORT PARK ROYAL PR 15 NO.18 </t>
  </si>
  <si>
    <t>103</t>
  </si>
  <si>
    <t>CAHYO KUSBIYANTORO</t>
  </si>
  <si>
    <t>3577013012850001</t>
  </si>
  <si>
    <t>082233523050</t>
  </si>
  <si>
    <t>PT INDONESIA POWER</t>
  </si>
  <si>
    <t>JL. RAYA SURABAYA-PROBOLINGGO KM.73, LEKOK, PASIR PANJANG, PASURUAN, JAWA TIMUR</t>
  </si>
  <si>
    <t>0343 413582</t>
  </si>
  <si>
    <t>Cahyokusbiyantoro@gmail.com</t>
  </si>
  <si>
    <t>FITRAH ARIEN SILVIAH</t>
  </si>
  <si>
    <t>3276105404890003</t>
  </si>
  <si>
    <t>ariensilviah@gmail.com</t>
  </si>
  <si>
    <t>JL CANDI PANGGUNG NO 1-3 MALANG</t>
  </si>
  <si>
    <t>3573051110190000</t>
  </si>
  <si>
    <t>3505174305140000</t>
  </si>
  <si>
    <t>ATHIYAH PUTRI ALMIRA</t>
  </si>
  <si>
    <t>ATHIYAH</t>
  </si>
  <si>
    <t xml:space="preserve">PERMATA SAXOFONE KAV G7 </t>
  </si>
  <si>
    <t>NURCAHYA AGUNG ELLYADI</t>
  </si>
  <si>
    <t>3574040412860000</t>
  </si>
  <si>
    <t>KALIMANTAN TENGAH</t>
  </si>
  <si>
    <t>SITI MAHMUDAH</t>
  </si>
  <si>
    <t>3505174412860000</t>
  </si>
  <si>
    <t>ONLINEHOP</t>
  </si>
  <si>
    <t>PERMATA SAXOFONE KAV G7 MALANG</t>
  </si>
  <si>
    <t>03414374639</t>
  </si>
  <si>
    <t>JL. BATU PERMATA NO 9 MALANG</t>
  </si>
  <si>
    <t>0142887273</t>
  </si>
  <si>
    <t>3507220208140001</t>
  </si>
  <si>
    <t>DANISH AHZA ARZACHEL</t>
  </si>
  <si>
    <t>DANISH</t>
  </si>
  <si>
    <t>JL. DURIAN NO 14 DERMO</t>
  </si>
  <si>
    <t>0341-460414</t>
  </si>
  <si>
    <t>DONNY WAHYU WIJAYA</t>
  </si>
  <si>
    <t>KELURAHAN KEBONSARI KECAMATAN SUKUN</t>
  </si>
  <si>
    <t>JL. S. SUPRIADI NO 15 MALANG</t>
  </si>
  <si>
    <t>0341801925</t>
  </si>
  <si>
    <t>5.000.000 - 7.500.000</t>
  </si>
  <si>
    <t>ASWIDATI RAHAYUNINGTYAS</t>
  </si>
  <si>
    <t>PT. MERCK SHARP DOHME PHARMA</t>
  </si>
  <si>
    <t>JL. RAYA PANDAAN KM 48 PANDAAN KAB. PASURUAN</t>
  </si>
  <si>
    <t>TK AL-MADANI</t>
  </si>
  <si>
    <t>JL. KOMUD ABD SALEH NO 58 ASRIKATON KECAMATAN PAKIS KAB. MALANG</t>
  </si>
  <si>
    <t>3373035612140000</t>
  </si>
  <si>
    <t>FATHIYYA ALMIRA ORLIN</t>
  </si>
  <si>
    <t>ORLIN</t>
  </si>
  <si>
    <t xml:space="preserve">PERUMAHAN PAKIS KEMBAR INSIDE NO B8 </t>
  </si>
  <si>
    <t>JL DIPONEGORO NO 1 PANGGUNGREJO KOTA PASURUAN</t>
  </si>
  <si>
    <t>0343 424335</t>
  </si>
  <si>
    <t>fidny.sungkar@gmail.com</t>
  </si>
  <si>
    <t>TK SEKOLAH ALAM INSAN MULIA SURABAYA</t>
  </si>
  <si>
    <t>JALAN MEDOKAN SEMAMPIR INDAH NO.99-101 SUKOLILO SURABAYA</t>
  </si>
  <si>
    <t>3211171109140012</t>
  </si>
  <si>
    <t>3211170610140002</t>
  </si>
  <si>
    <t>HANAN RAZIQ ANGKASA</t>
  </si>
  <si>
    <t>TIRTA BROMELIA 39</t>
  </si>
  <si>
    <t>GRAHA TIRTA</t>
  </si>
  <si>
    <t>082128444989</t>
  </si>
  <si>
    <t>23.8 KG</t>
  </si>
  <si>
    <t>RICAD ARDANA</t>
  </si>
  <si>
    <t>3273030902780002</t>
  </si>
  <si>
    <t>08113494989</t>
  </si>
  <si>
    <t>PT.PALLADIUM</t>
  </si>
  <si>
    <t>ricadardana@gmail.com</t>
  </si>
  <si>
    <t>YUSKA ANNUR FIQRINA</t>
  </si>
  <si>
    <t>3204156504900014</t>
  </si>
  <si>
    <t>yuskaannurfiqrina@gmail.com</t>
  </si>
  <si>
    <t>TK SABILILLAH SIDOARJO</t>
  </si>
  <si>
    <t>JL. SEKOLAHAN NO.1, CANGKRING, SIDOKARE, KEC. SIDOARJO, KABUPATEN SIDOARJO, JAWA TIMUR 61214</t>
  </si>
  <si>
    <t>0149808440</t>
  </si>
  <si>
    <t>3275016806140006</t>
  </si>
  <si>
    <t>JIHAN AQILA KHANZA DUSKI</t>
  </si>
  <si>
    <t>PERUMAHAN GRAHA MULIA CLUSTER DIAMOND BLOK O NO 27</t>
  </si>
  <si>
    <t>PT TELKOMSEL</t>
  </si>
  <si>
    <t>PT TELKOMSEL, TELKOM LANDMARK TOWER SURABAYA</t>
  </si>
  <si>
    <t>jali.husein@gmail.com</t>
  </si>
  <si>
    <t>imaywahyu.s@gmail.com</t>
  </si>
  <si>
    <t>TK PERWANIDA MAN 3 KEDIRI</t>
  </si>
  <si>
    <t>JL. LETJEND. SUPRAPTO 58, KEDIRI, JAWA TIMUR</t>
  </si>
  <si>
    <t>0145282462</t>
  </si>
  <si>
    <t>3506042809140004</t>
  </si>
  <si>
    <t>KENZIE HAMIZAN ZAMZAMI</t>
  </si>
  <si>
    <t>KENZIE</t>
  </si>
  <si>
    <t xml:space="preserve">PERUM. PATRA GARDEN RESIDENCE BLOK EDELWEISS NO. 32 </t>
  </si>
  <si>
    <t>31 KG</t>
  </si>
  <si>
    <t>TAUFAN AZWAR ZAMZAMI</t>
  </si>
  <si>
    <t>KPP PRATAMA TULUNGAGUNG</t>
  </si>
  <si>
    <t>JL. KI MANGUN SARKORO NO 17, TULUNGAGUNG</t>
  </si>
  <si>
    <t>(0355)336668</t>
  </si>
  <si>
    <t>SILVIA RAHMI EKASARI</t>
  </si>
  <si>
    <t>CPNS DOSEN</t>
  </si>
  <si>
    <t>JL. SOEKARNO HATTA 09 MALANG 65144</t>
  </si>
  <si>
    <t>(0341) 404424</t>
  </si>
  <si>
    <t>TK AR-RIDLO MALANG</t>
  </si>
  <si>
    <t>JALAN TUMENGGUNG SURYO</t>
  </si>
  <si>
    <t>3507232305160001</t>
  </si>
  <si>
    <t>350723630115002</t>
  </si>
  <si>
    <t>KIANDRA ALYA NAULI HARAHAP</t>
  </si>
  <si>
    <t>PERUMAHAN PINAYUNGAN ASRI C12 DUSUN KETANGI</t>
  </si>
  <si>
    <t>DR. SURYA PARLAUNGAN HARAHAP, SP.THT-KL</t>
  </si>
  <si>
    <t>3275081209860023</t>
  </si>
  <si>
    <t>PROGRAM SPESIALIS-1/S-2</t>
  </si>
  <si>
    <t>DOKTER SPESIALIS THT-KL</t>
  </si>
  <si>
    <t>RSUD PAMBALAH BATUNG AMUNTAI</t>
  </si>
  <si>
    <t>AMUNTAI HULU SUNGAI UTARA</t>
  </si>
  <si>
    <t>052761041</t>
  </si>
  <si>
    <t>suryaparlaungan@gmail.com</t>
  </si>
  <si>
    <t>DR. MAYA RISKITA SARI</t>
  </si>
  <si>
    <t>3515147003860003</t>
  </si>
  <si>
    <t>PUSKESMAS CISADEA MALANG</t>
  </si>
  <si>
    <t>JALAN CISADEA MALANG</t>
  </si>
  <si>
    <t>0341489540</t>
  </si>
  <si>
    <t>mayariskita@gmail.com</t>
  </si>
  <si>
    <t>JLN CANDI PANGGUNG INDAH 1-3</t>
  </si>
  <si>
    <t>0145658336</t>
  </si>
  <si>
    <t>3507185708140002</t>
  </si>
  <si>
    <t>LAINNA CEVIRA KUSUMAHADI</t>
  </si>
  <si>
    <t>GREEN WOOD GOLF IV NO 52 A ARAYA</t>
  </si>
  <si>
    <t>1 METER 18 CM</t>
  </si>
  <si>
    <t>NAYAKA</t>
  </si>
  <si>
    <t>JLN TENAGA</t>
  </si>
  <si>
    <t>03417092402</t>
  </si>
  <si>
    <t>damayantivivi88@gmail.com</t>
  </si>
  <si>
    <t>PERUM GRIYA PERMATA ALAM BLOK KB-08 NGIJO KARANGPLOSO MALANG</t>
  </si>
  <si>
    <t>0141988402</t>
  </si>
  <si>
    <t>3507230101040534</t>
  </si>
  <si>
    <t>3507230510140003</t>
  </si>
  <si>
    <t>M. FERNANDO ADELARD ADHA DF</t>
  </si>
  <si>
    <t>NANDO</t>
  </si>
  <si>
    <t xml:space="preserve">PERUM GRIYA PERMATA ALAM BLOK G-17/18 </t>
  </si>
  <si>
    <t>M. LUTFI IMAM FUADI</t>
  </si>
  <si>
    <t>3507232910730002</t>
  </si>
  <si>
    <t>TEGAL</t>
  </si>
  <si>
    <t>08123365906</t>
  </si>
  <si>
    <t>PT. WIDHA KONSULTAN</t>
  </si>
  <si>
    <t>JL. PROF. H. SOEDARTO, SH NO. 58 SEMARANG</t>
  </si>
  <si>
    <t>062247464680</t>
  </si>
  <si>
    <t>winsfuadi@gmail.com</t>
  </si>
  <si>
    <t>WINARTI</t>
  </si>
  <si>
    <t>3507234209780002</t>
  </si>
  <si>
    <t>082232142654</t>
  </si>
  <si>
    <t>PPAI DARUN NAJAH</t>
  </si>
  <si>
    <t>JL. PESANTREN NO. 51 NGIJO KARANGPLOSO MALANG</t>
  </si>
  <si>
    <t>0341 5034501</t>
  </si>
  <si>
    <t>Winsfuadi@gmail.com</t>
  </si>
  <si>
    <t>RA MUSLIMAT NU 18</t>
  </si>
  <si>
    <t>JL MASJID LANGLANG SINGOSARI</t>
  </si>
  <si>
    <t>3507243105160002</t>
  </si>
  <si>
    <t>3507246401150003</t>
  </si>
  <si>
    <t>MIRANDA ADDARIA YASHA ASHILA</t>
  </si>
  <si>
    <t>MIRANDA</t>
  </si>
  <si>
    <t xml:space="preserve">JALAN MASJID NO 4 </t>
  </si>
  <si>
    <t>LANGLANG</t>
  </si>
  <si>
    <t>DARUL SAM SUUD</t>
  </si>
  <si>
    <t>3507230708920003</t>
  </si>
  <si>
    <t>TB JAYA MAKMUR</t>
  </si>
  <si>
    <t>JL CURAH KEMBANG. NGENEP. KARANGPLOSO</t>
  </si>
  <si>
    <t>5000000-8000000</t>
  </si>
  <si>
    <t>darulsamsuud@gmail.com</t>
  </si>
  <si>
    <t>RISKA AUDINA</t>
  </si>
  <si>
    <t>3507244406960006</t>
  </si>
  <si>
    <t>JL CURAH KEMBANG NGENEP KARANGPLOSO</t>
  </si>
  <si>
    <t>riskaaudina38@gmail.com</t>
  </si>
  <si>
    <t>3573032707150009</t>
  </si>
  <si>
    <t>3573021608150005</t>
  </si>
  <si>
    <t>MUHAMMAD ABRIZAM LYFANDRA TSAQIF</t>
  </si>
  <si>
    <t>BADUNG</t>
  </si>
  <si>
    <t>JL. LESANPURO II A / 4</t>
  </si>
  <si>
    <t>LESANPURO</t>
  </si>
  <si>
    <t>TRIYO IFANTO</t>
  </si>
  <si>
    <t>3573632710870002</t>
  </si>
  <si>
    <t>NUR LAILY SAFITRI</t>
  </si>
  <si>
    <t>357361409890007</t>
  </si>
  <si>
    <t>TK MAMBAUL HIKMAH</t>
  </si>
  <si>
    <t>3573020908120009</t>
  </si>
  <si>
    <t>3573020901150005</t>
  </si>
  <si>
    <t>MUHAMMAD ADZKHAN PRAWIRA NEGARA HARIYADI</t>
  </si>
  <si>
    <t>ADZKHAN</t>
  </si>
  <si>
    <t>JL. MAYJEN PANJAITAN XVII-A/2</t>
  </si>
  <si>
    <t>PENANGGUNGAN</t>
  </si>
  <si>
    <t>MOKHAMAD AMIN HARIYADI</t>
  </si>
  <si>
    <t>3573021801670003</t>
  </si>
  <si>
    <t>PNS / DOSEN</t>
  </si>
  <si>
    <t>UIN MAULANA MALIK IBRAHIM</t>
  </si>
  <si>
    <t>JL. GAJAYANA NO. 50 DINOYO</t>
  </si>
  <si>
    <t>0551354</t>
  </si>
  <si>
    <t>adyt2002@gmail.com</t>
  </si>
  <si>
    <t>EVA YUSTINA</t>
  </si>
  <si>
    <t>3507235309860001</t>
  </si>
  <si>
    <t>JL. PANGLIMA SUDIRMAN NO. 507 BATU</t>
  </si>
  <si>
    <t>0512554</t>
  </si>
  <si>
    <t>momyadznay@gmail.com</t>
  </si>
  <si>
    <t>10 Juli 2023</t>
  </si>
  <si>
    <t xml:space="preserve">SDIT NURUL ANSHAR </t>
  </si>
  <si>
    <t xml:space="preserve">JL. IJEN NO. 1, MIMBAAN, PANJI, SITUBONDO </t>
  </si>
  <si>
    <t>0141909332</t>
  </si>
  <si>
    <t>3511162909160002</t>
  </si>
  <si>
    <t>35111620008140001</t>
  </si>
  <si>
    <t xml:space="preserve">MUHAMMAD AFKAR RIFQI </t>
  </si>
  <si>
    <t xml:space="preserve">RIFQI </t>
  </si>
  <si>
    <t>20 AGUSTUS 2014</t>
  </si>
  <si>
    <t xml:space="preserve">8TH 10 BULAN </t>
  </si>
  <si>
    <t>JL. SASANDO 294</t>
  </si>
  <si>
    <t xml:space="preserve">ALERGI DINGIN </t>
  </si>
  <si>
    <t xml:space="preserve">MUHAMMAD HABIB MUZZAKI </t>
  </si>
  <si>
    <t xml:space="preserve">KEDIRI </t>
  </si>
  <si>
    <t>12 FEBRUARI 1981</t>
  </si>
  <si>
    <t>MAGISTER KESEHATAN</t>
  </si>
  <si>
    <t xml:space="preserve">PUSKESMAS CERME </t>
  </si>
  <si>
    <t xml:space="preserve">BONDOWOSO </t>
  </si>
  <si>
    <t>Rp. 15.000.000</t>
  </si>
  <si>
    <t xml:space="preserve">ulima0803@gmail.com </t>
  </si>
  <si>
    <t xml:space="preserve">LAILY ABIDA </t>
  </si>
  <si>
    <t>18 DESEMBER 1983</t>
  </si>
  <si>
    <t xml:space="preserve">S3 PSIKOLOGI </t>
  </si>
  <si>
    <t xml:space="preserve">PSIKOLOG, DOSEN </t>
  </si>
  <si>
    <t xml:space="preserve">STAI AL HIKAM, ARUNA PSIKOLOGI </t>
  </si>
  <si>
    <t xml:space="preserve">CENGGER AYAM 25 MALANG </t>
  </si>
  <si>
    <t>Rp. 6.000.000</t>
  </si>
  <si>
    <t xml:space="preserve">abidaulima83@gmail.com </t>
  </si>
  <si>
    <t xml:space="preserve">MUTAMMIMAH HASYIM </t>
  </si>
  <si>
    <t xml:space="preserve">PGA </t>
  </si>
  <si>
    <t>TK ALFALAH KOTA BATU</t>
  </si>
  <si>
    <t>JALAN RAYA TLEKUNG RT2 RW 6 DESA TLEKUNG KEC. JUNREJO KOTA BATU</t>
  </si>
  <si>
    <t>0145442367</t>
  </si>
  <si>
    <t>3579031501150002</t>
  </si>
  <si>
    <t>3579030312140001</t>
  </si>
  <si>
    <t>MUHAMMAD ARKAN HARITH PUTRA</t>
  </si>
  <si>
    <t>PERUM JUNREJO INDAH NO. 10A</t>
  </si>
  <si>
    <t>ARIF MAULUDI ANSARI</t>
  </si>
  <si>
    <t>3579010601830004</t>
  </si>
  <si>
    <t>081333842437</t>
  </si>
  <si>
    <t>D III KEPERAWATAN</t>
  </si>
  <si>
    <t>POLISI</t>
  </si>
  <si>
    <t>POLSEK JUNREJO</t>
  </si>
  <si>
    <t>JL RAYA TLEKUNG NO 234</t>
  </si>
  <si>
    <t>0341 599045</t>
  </si>
  <si>
    <t>rennywulansari3564@gmail.com</t>
  </si>
  <si>
    <t>RENNY SEPTINING WULANSARI</t>
  </si>
  <si>
    <t>3579036706860003</t>
  </si>
  <si>
    <t>PUSKESMAS KENDALKEREP</t>
  </si>
  <si>
    <t>JL RAYA SULFAT NO 100</t>
  </si>
  <si>
    <t>0341 484477</t>
  </si>
  <si>
    <t>3573011610080029</t>
  </si>
  <si>
    <t>3573011506140001</t>
  </si>
  <si>
    <t>MUHAMMAD RAFDANY KURNIAWAN</t>
  </si>
  <si>
    <t>RAFDANY</t>
  </si>
  <si>
    <t xml:space="preserve">JL PAHLAWAN THE BALEARJOSARI RESIDENCE B-20 </t>
  </si>
  <si>
    <t>29.65 KG</t>
  </si>
  <si>
    <t>DENNY KURNIAWAN, ST., MT</t>
  </si>
  <si>
    <t>3573010912830007</t>
  </si>
  <si>
    <t>085231630071</t>
  </si>
  <si>
    <t>PT. NESTLE INDONESIA KEJAYAN FACTORY</t>
  </si>
  <si>
    <t>JL. RAYA PASURUAN MALANG KM 9.5 KEJAYAN PASURUAN</t>
  </si>
  <si>
    <t>0343 421007</t>
  </si>
  <si>
    <t>master.denny.kurniawan@gmail.com</t>
  </si>
  <si>
    <t>FIRA DWIJAYANTI, A.MD FARM</t>
  </si>
  <si>
    <t>3573016803850009</t>
  </si>
  <si>
    <t>PUSKESMAS JANTI</t>
  </si>
  <si>
    <t>JL JANTI BARAT NO 88 MALANG</t>
  </si>
  <si>
    <t>0341 352203</t>
  </si>
  <si>
    <t>fira.dwi.j@gmail.com</t>
  </si>
  <si>
    <t>TK MUSLIMAT NU 8</t>
  </si>
  <si>
    <t>JL SIMPANG LA SUCIPTO NO 26</t>
  </si>
  <si>
    <t>0156083430</t>
  </si>
  <si>
    <t>3573010911070723</t>
  </si>
  <si>
    <t>3579110905150001</t>
  </si>
  <si>
    <t>MUHAMMAD RAFFAZA ALTHAF BAIHAQI</t>
  </si>
  <si>
    <t>FAZA</t>
  </si>
  <si>
    <t>PANDANWANGI ROYAL PARK BLOK E 42</t>
  </si>
  <si>
    <t>AHMAD BAIHAQI, ST</t>
  </si>
  <si>
    <t>3515182006850000</t>
  </si>
  <si>
    <t>081220906485</t>
  </si>
  <si>
    <t>PERUM PERUMNAS</t>
  </si>
  <si>
    <t>KEMAYORAN JAKARTA</t>
  </si>
  <si>
    <t>021-8194807</t>
  </si>
  <si>
    <t>haqi17@gmail.com</t>
  </si>
  <si>
    <t>DESY GALUH INDARKO</t>
  </si>
  <si>
    <t>357811421285002</t>
  </si>
  <si>
    <t>PDAM KOTA MALANG</t>
  </si>
  <si>
    <t>JL TERUSAN DANAU SENTANI NO 100</t>
  </si>
  <si>
    <t>desyindarko@gmail.com</t>
  </si>
  <si>
    <t>JL. SAXOFONE NO.25 TUNGGULWULUNG MALANG</t>
  </si>
  <si>
    <t>0143195312</t>
  </si>
  <si>
    <t>3175100609101012</t>
  </si>
  <si>
    <t>3175101111141012</t>
  </si>
  <si>
    <t>MUHAMMAD XIZA HARIRI ASSYAUQI</t>
  </si>
  <si>
    <t>XIZA</t>
  </si>
  <si>
    <t>JL. MASJID BABAAN</t>
  </si>
  <si>
    <t>16,5KG</t>
  </si>
  <si>
    <t>115CM</t>
  </si>
  <si>
    <t>HERY BUDIYANTO</t>
  </si>
  <si>
    <t>3175100909750002</t>
  </si>
  <si>
    <t>D3 NAUTIKA</t>
  </si>
  <si>
    <t>PELAUT/CHIEF OFFICER</t>
  </si>
  <si>
    <t>JL. PLUMPANG SEMPER KAV. KAMPUNG MANGGA BLOK 4IV/20 TUGU UTARA, KOTA JAKARTA UTARA</t>
  </si>
  <si>
    <t>02143931265</t>
  </si>
  <si>
    <t>herybudiyanto75@yahoo.com</t>
  </si>
  <si>
    <t>RIKA NOOR PERMANASARI</t>
  </si>
  <si>
    <t>3175106402861001</t>
  </si>
  <si>
    <t>S1 ADM. PUBLIK</t>
  </si>
  <si>
    <t>IRT-ONLINESHOP</t>
  </si>
  <si>
    <t>MADIZA KIDSSHOP</t>
  </si>
  <si>
    <t>rika.permanasi88@gmail.com</t>
  </si>
  <si>
    <t>TK BLKI SINGOSARI</t>
  </si>
  <si>
    <t>SINGOSARI KABUPATEN MALANG</t>
  </si>
  <si>
    <t>0153572419</t>
  </si>
  <si>
    <t>3507242909140005</t>
  </si>
  <si>
    <t>3507244901150002</t>
  </si>
  <si>
    <t>NAURA DZAKIRA ANNAYLA</t>
  </si>
  <si>
    <t>ASRAMA DIVIF 2 KOSTRAD</t>
  </si>
  <si>
    <t>HENDIK WIDIANTO</t>
  </si>
  <si>
    <t>3576010501880001</t>
  </si>
  <si>
    <t>081233629253</t>
  </si>
  <si>
    <t>DIVIF 2 KOSTRAD</t>
  </si>
  <si>
    <t>ASRAMA DIVIF 2 KOSTRAD KEC SINGOSARI KABUPATEN MALANG</t>
  </si>
  <si>
    <t>www.widiantohendik@gmail.com</t>
  </si>
  <si>
    <t>AN'AM MARIYAH ULFAH</t>
  </si>
  <si>
    <t>3514134102880001</t>
  </si>
  <si>
    <t>081234007192</t>
  </si>
  <si>
    <t>PUSKESMAS DINOYO</t>
  </si>
  <si>
    <t>JL.MT HARYONO IX/13</t>
  </si>
  <si>
    <t>anammaria01@gmail.com</t>
  </si>
  <si>
    <t>13 JULI 2022</t>
  </si>
  <si>
    <t>SDIT GHILMANI SURABAYA</t>
  </si>
  <si>
    <t>JL. KETINTANG BARAT I/27 SURABAYA</t>
  </si>
  <si>
    <t>0149454078</t>
  </si>
  <si>
    <t>3578222907210004</t>
  </si>
  <si>
    <t>357822280140003</t>
  </si>
  <si>
    <t>RAFA AUFA ATHALLAH BAKHTIAR</t>
  </si>
  <si>
    <t>RAFA / AUFA</t>
  </si>
  <si>
    <t>28 JUNI 2014</t>
  </si>
  <si>
    <t>PERUMAHAN PERMATA SAXOPHONE A6</t>
  </si>
  <si>
    <t>082233922610</t>
  </si>
  <si>
    <t>DEMAM BATUK PILEK</t>
  </si>
  <si>
    <t>ANDY BAKHTIAR AKHMAD (ALM)</t>
  </si>
  <si>
    <t>5 FEBRUARI 1976</t>
  </si>
  <si>
    <t>MANAGER SALES PELAYARAN</t>
  </si>
  <si>
    <t>PEMERINTAH SAMUDERA INDONESIA</t>
  </si>
  <si>
    <t>PERAK BARAT 100 SURABAYA</t>
  </si>
  <si>
    <t>YUYUN AYNA YAQIN, SS</t>
  </si>
  <si>
    <t>3578054707780002</t>
  </si>
  <si>
    <t>07 JULI 1978</t>
  </si>
  <si>
    <t xml:space="preserve">OWNER (WIRASWASTA) </t>
  </si>
  <si>
    <t>SWA GROUP</t>
  </si>
  <si>
    <t>JL. IKAN SEPAT 6 NO. 19 PERAK KREMBANGAN SURABAYA</t>
  </si>
  <si>
    <t>yu2nswa@gmail.com</t>
  </si>
  <si>
    <t>JL. LETJEND SUTOYO IV/63 MALANG</t>
  </si>
  <si>
    <t>3573053103150018</t>
  </si>
  <si>
    <t>3522155610140001</t>
  </si>
  <si>
    <t>RAJWA SALSABILA KURNIAWAN</t>
  </si>
  <si>
    <t>RAJWA</t>
  </si>
  <si>
    <t>JL BANTARAN I NO 19 A</t>
  </si>
  <si>
    <t>27 KG</t>
  </si>
  <si>
    <t>KURNIAWAN AGUS SANTOSO</t>
  </si>
  <si>
    <t>3308210111810001</t>
  </si>
  <si>
    <t>082139029083</t>
  </si>
  <si>
    <t>KARYAWAN / STAFF KEUANGAN</t>
  </si>
  <si>
    <t>PT ASURANSI JASA INDONESIA (JASINDO)</t>
  </si>
  <si>
    <t>JL LETJEND SUTOYO 89 MALANG</t>
  </si>
  <si>
    <t>0341 495304</t>
  </si>
  <si>
    <t>kurasant@yahoo.com</t>
  </si>
  <si>
    <t>INDARTI INDAH OKTANINGRUM</t>
  </si>
  <si>
    <t>3522155410840001</t>
  </si>
  <si>
    <t>PEGAWAI BANK / BRANCH MANAGER</t>
  </si>
  <si>
    <t>BANK SYARIAH MANDIRI</t>
  </si>
  <si>
    <t>JL AHMAD YANI 199 NGANJUK</t>
  </si>
  <si>
    <t>0358 324700</t>
  </si>
  <si>
    <t>indahokta84@gmail.com</t>
  </si>
  <si>
    <t>0147454253</t>
  </si>
  <si>
    <t>3503122410160001</t>
  </si>
  <si>
    <t>3503121808140002</t>
  </si>
  <si>
    <t>REYHAN PURNAMA AL FATIH</t>
  </si>
  <si>
    <t>REYHAN</t>
  </si>
  <si>
    <t>JL. SUKARNO HATTA INDAH IV NO. 23</t>
  </si>
  <si>
    <t>PETER PURNAMA PUTRA</t>
  </si>
  <si>
    <t>3507242408840001</t>
  </si>
  <si>
    <t>082232999384/082257210416</t>
  </si>
  <si>
    <t>JADDA TOUR AND TRAVEL</t>
  </si>
  <si>
    <t>JL.SUKARNO HATTA INDAH IV NO. 23 MALANG</t>
  </si>
  <si>
    <t>082257210416</t>
  </si>
  <si>
    <t>Peter1984ok@gmail.com</t>
  </si>
  <si>
    <t>ALIM YULIWINARLIN</t>
  </si>
  <si>
    <t>3503125707840005</t>
  </si>
  <si>
    <t>082232999384</t>
  </si>
  <si>
    <t>PT. TRINUSA EMERALD ABADI</t>
  </si>
  <si>
    <t>JL. TENAGA BARU 1 NO. 15 MALANG</t>
  </si>
  <si>
    <t>0341494221</t>
  </si>
  <si>
    <t>alimyulie@gmail.com</t>
  </si>
  <si>
    <t>JL BATU PERMATA NO 9 TLOGOMAS</t>
  </si>
  <si>
    <t>3507230110140001</t>
  </si>
  <si>
    <t>TRISTAN AVICENNA ATTILA AHMAD</t>
  </si>
  <si>
    <t>TRISTAN</t>
  </si>
  <si>
    <t xml:space="preserve">PERUMAHAN TIRTASANI ROYAL RESORT BLOK HH NO.28 </t>
  </si>
  <si>
    <t>08132720020</t>
  </si>
  <si>
    <t>STAF PROYEK</t>
  </si>
  <si>
    <t>JL BANDARA JUANDA NO 17 SEMAMBUNG SIDOARJO</t>
  </si>
  <si>
    <t>0318548391</t>
  </si>
  <si>
    <t>hafidz_pk@pjbservices.com</t>
  </si>
  <si>
    <t>JL. J.A. SUPRAPTO MALANG NO 2, KLOJEN,MALANG</t>
  </si>
  <si>
    <t>0341346818</t>
  </si>
  <si>
    <t>novikurnianingsih@yahoo.com</t>
  </si>
  <si>
    <t>6A</t>
  </si>
  <si>
    <t>YUSUF</t>
  </si>
  <si>
    <t>3513101405100010</t>
  </si>
  <si>
    <t>3573050911090006</t>
  </si>
  <si>
    <t>6B</t>
  </si>
  <si>
    <t>JL. AKORDION BARAT NO. 2 MALANG</t>
  </si>
  <si>
    <t>LEA</t>
  </si>
  <si>
    <t>RAMA</t>
  </si>
  <si>
    <t>3507222703140001</t>
  </si>
  <si>
    <t>6C</t>
  </si>
  <si>
    <t>6D</t>
  </si>
  <si>
    <t>OWNER</t>
  </si>
  <si>
    <t xml:space="preserve">RAYYAN </t>
  </si>
  <si>
    <t>3176671668</t>
  </si>
  <si>
    <t>3271042503170001</t>
  </si>
  <si>
    <t>3271042605170003</t>
  </si>
  <si>
    <t>085723086974</t>
  </si>
  <si>
    <t>3271041511890004</t>
  </si>
  <si>
    <t>3271064601910001</t>
  </si>
  <si>
    <t>087780117105</t>
  </si>
  <si>
    <t>12 JUNI 2025</t>
  </si>
  <si>
    <t>3172027067</t>
  </si>
  <si>
    <t>3573012506130005</t>
  </si>
  <si>
    <t>3573010312170001</t>
  </si>
  <si>
    <t>3 DESEMBER 2017</t>
  </si>
  <si>
    <t>089699789137</t>
  </si>
  <si>
    <t>3573011006870003</t>
  </si>
  <si>
    <t>10 JUNI 1987</t>
  </si>
  <si>
    <t>081294664774</t>
  </si>
  <si>
    <t>3507225708820002</t>
  </si>
  <si>
    <t>17 AGUSTUS 1982</t>
  </si>
  <si>
    <t>Data Peserta Didik SD ANAK SALEH</t>
  </si>
  <si>
    <t>Nama Kelas</t>
  </si>
  <si>
    <t>Kelas Terperinci</t>
  </si>
  <si>
    <t>Jml Siswa @ kelas</t>
  </si>
  <si>
    <t>INKLUSI</t>
  </si>
  <si>
    <t>WALI KELAS</t>
  </si>
  <si>
    <t>GURU KELAS</t>
  </si>
  <si>
    <t>GPK</t>
  </si>
  <si>
    <t>GPQ</t>
  </si>
  <si>
    <t>Romadhoniar Fitri Aini, S.Pd.I.</t>
  </si>
  <si>
    <t>1A</t>
  </si>
  <si>
    <t>Gita Noviria, S.Pd</t>
  </si>
  <si>
    <t>1B</t>
  </si>
  <si>
    <t>Aning Masyrufatin Furoida, S.Pd.I., S.Pd.Gr</t>
  </si>
  <si>
    <t>Irma Wahyu Putri Yoditya, S.Pd</t>
  </si>
  <si>
    <t>Afriska Nur Azizah, S.Pd</t>
  </si>
  <si>
    <t>C</t>
  </si>
  <si>
    <t>1C</t>
  </si>
  <si>
    <t>Aisyah Ani Rosita, S.E</t>
  </si>
  <si>
    <t>Rikha Dwi Rachmawati, S.Psi</t>
  </si>
  <si>
    <t>D</t>
  </si>
  <si>
    <t>1D</t>
  </si>
  <si>
    <t>Irdayus Melindra, S.Pd</t>
  </si>
  <si>
    <t>Desilfa Dwi Nursavitri, S.Psi</t>
  </si>
  <si>
    <t>Hurul Jinani, S.Pd</t>
  </si>
  <si>
    <t>Selvi Dwi Wahyuni, M.Pd</t>
  </si>
  <si>
    <t>Jml Siswa @ Level</t>
  </si>
  <si>
    <t>Ika Su'udia, S.Si.Gr</t>
  </si>
  <si>
    <t>Dini Eko Wulandari, S.Psi</t>
  </si>
  <si>
    <t>Nadia Fatma Yanti, S.Pd</t>
  </si>
  <si>
    <t>Sukma Abdul Rozy</t>
  </si>
  <si>
    <t>Arik Wijayanto, S.Psi</t>
  </si>
  <si>
    <t>Kusnia, S.Pd.I</t>
  </si>
  <si>
    <t>Tursina Ainun Nisa' Caniago, S.Sos</t>
  </si>
  <si>
    <t>Rima Rahmayanti, S.Pd</t>
  </si>
  <si>
    <t>Miftakul Jannah, S.Pd</t>
  </si>
  <si>
    <t>Muhammad Wildan Makhasin</t>
  </si>
  <si>
    <t>Venorica Afdela, S.Psi</t>
  </si>
  <si>
    <t>Sukmawati Megawijayanti Susanto, S.Psi</t>
  </si>
  <si>
    <t>Rr. Nur Apriyanti Atika Anggraini Soeharto, M.Pd</t>
  </si>
  <si>
    <t>Ika Wijayanti, S.AB., S.Pd</t>
  </si>
  <si>
    <t>Risas Wahyudi, S.Pd.</t>
  </si>
  <si>
    <t>Lailatul Munawaroh, S.Pd., M.Pd</t>
  </si>
  <si>
    <t>Nihayatul Hasanah, S.Pd., S.Pd</t>
  </si>
  <si>
    <t>Binti Zakkiyatul Faqiroh, S.Pd</t>
  </si>
  <si>
    <t>Dara Eges Nuryana, S.Pd</t>
  </si>
  <si>
    <t>Zulaihah, S.Pd</t>
  </si>
  <si>
    <t>Nurul Akhyar, M.Pd</t>
  </si>
  <si>
    <t>Anida Nafis Qotrunnada, S.Pd</t>
  </si>
  <si>
    <t>Ahmad Shobirin, S.Pd</t>
  </si>
  <si>
    <t>JUMLAH PESERTA DIDIK:</t>
  </si>
  <si>
    <t>Nur Risky Marsa Romadhona, S.Pd., S.Pd.Gr</t>
  </si>
  <si>
    <t>Ari Iswahyudi, S.Psi</t>
  </si>
  <si>
    <t>Suwaibatul Aslamiyah, A.Md.Keb., S.Pd</t>
  </si>
  <si>
    <t>Hj. Noor Jeehan, S.Ag., M.Pd.I</t>
  </si>
  <si>
    <t>Nila Fadilah, S.Pd</t>
  </si>
  <si>
    <t>Masruhan, S.Pd.I., M.Pd</t>
  </si>
  <si>
    <t>Nabila Ucinanda Betarizqy, S.Pd</t>
  </si>
  <si>
    <t>Ucik Sriwahyuni, S.Pd</t>
  </si>
  <si>
    <t>Moch. Yusroni, S.Pd.Gr</t>
  </si>
  <si>
    <t>Yusuf Mu'awiyah, S.TP</t>
  </si>
  <si>
    <t>Jaronah, S.Pd</t>
  </si>
  <si>
    <t>Achmad Efendi, S.Hum</t>
  </si>
  <si>
    <t>KHALISA AMIZAFIRAH</t>
  </si>
  <si>
    <t>SD NEGERI KENCANA 2 BOGOR</t>
  </si>
  <si>
    <t>JL. KEBON KELAPA No.. 19, KENCANA, TANAH SAREAL, KOTA BOGOR</t>
  </si>
  <si>
    <t>JL. COKROAMINOTO NO. 354 LOWOKSARI</t>
  </si>
  <si>
    <t>SEKOLAH INDONESIA RIYADH</t>
  </si>
  <si>
    <t>8561 ABDULLAH IBN MUAMMAR, UMM AL HAMAM AL GHARBI, 3536 RIYADH 12328</t>
  </si>
  <si>
    <t>3507251011210001</t>
  </si>
  <si>
    <t>DAMMAM</t>
  </si>
  <si>
    <t>9 Th, 7 Bln</t>
  </si>
  <si>
    <t>JL. KALIANYAR NO. 12</t>
  </si>
  <si>
    <t>BEDALI</t>
  </si>
  <si>
    <t>966509678889</t>
  </si>
  <si>
    <t>UMAR ABDUL BARI WAGIMUN</t>
  </si>
  <si>
    <t>3515132110830003</t>
  </si>
  <si>
    <t>JEDDAH</t>
  </si>
  <si>
    <t>ANISAH ZAHRA ALFIAN HAMID</t>
  </si>
  <si>
    <t>3514144105930005</t>
  </si>
  <si>
    <t>8 Th, 7 Bln</t>
  </si>
  <si>
    <t>7309074909160002</t>
  </si>
  <si>
    <t>12 Th, 7 Bln</t>
  </si>
  <si>
    <t>11 Th, 7 Bln</t>
  </si>
  <si>
    <t>13 Th, 7 Bln</t>
  </si>
  <si>
    <t>3601220811140001</t>
  </si>
  <si>
    <t>MUHAMMAD RAFANDRA AQLAN WIJAYA</t>
  </si>
  <si>
    <t>10 Th, 7 Bln</t>
  </si>
  <si>
    <t>KHALISA</t>
  </si>
  <si>
    <t>PATRA GARDEN RESIDENCE BLOK ASTER NO 9</t>
  </si>
  <si>
    <t>JUANDA SAPUTRA, S.ST</t>
  </si>
  <si>
    <t>6/13/1991</t>
  </si>
  <si>
    <t>1106091306910000</t>
  </si>
  <si>
    <t>PEGAWAI OJK</t>
  </si>
  <si>
    <t>OTORITAS JASA KEUANGAN</t>
  </si>
  <si>
    <t>JL LETJEN SUTOYO 109-111 LOWOKWARU MALANG</t>
  </si>
  <si>
    <t>juanda.je@gmail.com</t>
  </si>
  <si>
    <t>082143305338</t>
  </si>
  <si>
    <t>RENY KARTIKA YUSMAN, S.ST</t>
  </si>
  <si>
    <t>12/9/1990</t>
  </si>
  <si>
    <t>3525144912900000</t>
  </si>
  <si>
    <t>082110722072</t>
  </si>
  <si>
    <t>JL PANGLIMA SUDIRMAN 88 BATU</t>
  </si>
  <si>
    <t>reny.kartika.yusman@gmail.com</t>
  </si>
  <si>
    <t>JL IKAN KAKAP MALANG</t>
  </si>
  <si>
    <t>MUTASI KELUAR</t>
  </si>
  <si>
    <t>0145398209</t>
  </si>
  <si>
    <t>0148144067</t>
  </si>
  <si>
    <t>NAYLA/HUMAIRA</t>
  </si>
  <si>
    <t>SD GREEN BINARI SCHOOL</t>
  </si>
  <si>
    <t>TARAKAN Kalimantan</t>
  </si>
  <si>
    <t>RASYIFA MUTIARA HAQ</t>
  </si>
  <si>
    <t>TARAKAN</t>
  </si>
  <si>
    <t>14 Th, 7 Bln</t>
  </si>
  <si>
    <t>PERMATA JINGGA WEST H-17</t>
  </si>
  <si>
    <t>EDITYA PERDANA</t>
  </si>
  <si>
    <t>TANJUNG GADING</t>
  </si>
  <si>
    <t>3573010305850011</t>
  </si>
  <si>
    <t>08563556348</t>
  </si>
  <si>
    <t>KARYAWAN SWASTA (MANAJER KEUANGAN)</t>
  </si>
  <si>
    <t>PT. GARDA 7 BUANA TBK</t>
  </si>
  <si>
    <t>JL. ASTER, KARANGANYAR, TARAKAN BARAT, TARAKAN</t>
  </si>
  <si>
    <t>RETNO DWI ARINI</t>
  </si>
  <si>
    <t>3507206706880001</t>
  </si>
  <si>
    <t>082157329422</t>
  </si>
  <si>
    <t>ASN/ANALIS KEBIJAKAN</t>
  </si>
  <si>
    <t>SEKRETARIAT KOTA TARAKAN</t>
  </si>
  <si>
    <t>JL. Kalimantan No.. 1</t>
  </si>
  <si>
    <t>arini.retno88@gmail.com</t>
  </si>
  <si>
    <t>6571014108160006</t>
  </si>
  <si>
    <t>AHMED GHAZALI</t>
  </si>
  <si>
    <t>3507030810150003</t>
  </si>
  <si>
    <t>3507256912140005</t>
  </si>
  <si>
    <t>3507252712170002</t>
  </si>
  <si>
    <t>MUHAMMAD DAFFA ARVANO ADHITAMA</t>
  </si>
  <si>
    <t>AKIRA GILANG BAGASKARA</t>
  </si>
  <si>
    <t>MUHAMMAD SYARIF HIDAYATULLAH</t>
  </si>
  <si>
    <t>AFNAN MUHAMMAD DHANURENDRA</t>
  </si>
  <si>
    <t>AISYAH AMBAR PAMBAYUN</t>
  </si>
  <si>
    <t>MUHAMMAD IQBAL AL AZZAM ASYADZILLY</t>
  </si>
  <si>
    <t>SAFIYYAH NUR AMIRA PERMATA</t>
  </si>
  <si>
    <t>ZAVIER AKTAM DZAKIANDRA</t>
  </si>
  <si>
    <t>ZIVANA AULIA PUTRI ARIYANTO</t>
  </si>
  <si>
    <t>GHAZIEL ABIZAR MUSTIKO</t>
  </si>
  <si>
    <t>LUBNA HANANIA NADHIFA</t>
  </si>
  <si>
    <t>3525145105190007</t>
  </si>
  <si>
    <t>3573056012180005</t>
  </si>
  <si>
    <t>3525146912180005</t>
  </si>
  <si>
    <t>3507241801180003</t>
  </si>
  <si>
    <t>3573051906190006</t>
  </si>
  <si>
    <t>0147499915</t>
  </si>
  <si>
    <t>0143010358</t>
  </si>
  <si>
    <t>0156524978</t>
  </si>
  <si>
    <t>Msh dlm proses</t>
  </si>
  <si>
    <t>3508012309150001</t>
  </si>
  <si>
    <t>3524252203150001</t>
  </si>
  <si>
    <t>0145379293</t>
  </si>
  <si>
    <t>3515182701096585</t>
  </si>
  <si>
    <t>3515180310140006</t>
  </si>
  <si>
    <t>AL MIFTAH FAIZ SYFA LIRIANSISBI</t>
  </si>
  <si>
    <t xml:space="preserve">DUSUN TAMBAK SARI </t>
  </si>
  <si>
    <t>TAMBAKREJO</t>
  </si>
  <si>
    <t>VANNY YURIANSYAH, ST</t>
  </si>
  <si>
    <t>3515180704790009</t>
  </si>
  <si>
    <t>JL. TAMRIN RAYA RT 03 RW 08 TANAH ABANG, KEBON KACANG / WAHID HASYIM, Jakarta</t>
  </si>
  <si>
    <t>SISKA NARULITA AYU</t>
  </si>
  <si>
    <t>3571036005810003</t>
  </si>
  <si>
    <t>085729724569</t>
  </si>
  <si>
    <t>SD PLUS RAHMAT KEDIRI</t>
  </si>
  <si>
    <t xml:space="preserve">JL. SLAMET RIADI NO. 32 A BANJARAN KEC. PESANTREN, KABUPATEN KEDIRI </t>
  </si>
  <si>
    <t>GREEN ORCHID RESIDENCE CLUSTER ESEMERALDA BLOK G-65</t>
  </si>
  <si>
    <t>OMAH BOCAH ANNAFFI</t>
  </si>
  <si>
    <t xml:space="preserve">SD ISLAM AL AZHAR </t>
  </si>
  <si>
    <t>JL. PALAM RAYA KOMPLEK AL AZHAR RESIDENCE NO 2 BANJARBARU, BANJARBARU SELATAN, BANJARBARU, KALIMANTAN SELATAN</t>
  </si>
  <si>
    <t>3187507672</t>
  </si>
  <si>
    <t>3573051902190001</t>
  </si>
  <si>
    <t>3573055405180005</t>
  </si>
  <si>
    <t>ZET TISHA KEKIRA ATHALETA</t>
  </si>
  <si>
    <t>KEKIRA</t>
  </si>
  <si>
    <t xml:space="preserve">PERMATA JINGGA BLOK BB 32 </t>
  </si>
  <si>
    <t>081232883744</t>
  </si>
  <si>
    <t>dr. YANCE HANZIE SETYA PRATAMA</t>
  </si>
  <si>
    <t>3573022807900002</t>
  </si>
  <si>
    <t>081332480123</t>
  </si>
  <si>
    <t>SPESIALSIS</t>
  </si>
  <si>
    <t>RS IDAMAN BANJARBARU</t>
  </si>
  <si>
    <t>JL TRIKORA BANJARBARU</t>
  </si>
  <si>
    <t>yancehanzie@gmail.com</t>
  </si>
  <si>
    <t>AMANDA DANIA DINIARI</t>
  </si>
  <si>
    <t>35730566049940001</t>
  </si>
  <si>
    <t>amanda.diniari@yahoo.com</t>
  </si>
  <si>
    <t>MASNUNAH</t>
  </si>
  <si>
    <t>3507251011210000</t>
  </si>
  <si>
    <t>TETHERDOWN PRIMARY SCHOOL</t>
  </si>
  <si>
    <t>GRAND AVENUE, MUSWELL HILL LONDON N10 3BP, UK</t>
  </si>
  <si>
    <t>AEZAR HARISH ALFURQON</t>
  </si>
  <si>
    <t>AEZAR</t>
  </si>
  <si>
    <t>25-Mei-19</t>
  </si>
  <si>
    <t>3507072501190004</t>
  </si>
  <si>
    <t>3507072505190001</t>
  </si>
  <si>
    <t>6 Th, 10 Bln</t>
  </si>
  <si>
    <t>PERUMAHAN PERMATA LAND A30</t>
  </si>
  <si>
    <t>0,9 KM</t>
  </si>
  <si>
    <t>083891442805</t>
  </si>
  <si>
    <t>NANANG QOSIM</t>
  </si>
  <si>
    <t>3507072307910001</t>
  </si>
  <si>
    <t>DOSEN/LEKTOR</t>
  </si>
  <si>
    <t>nanangqsm@polinema.ac.id</t>
  </si>
  <si>
    <t>DIANA RISMA WARDANI</t>
  </si>
  <si>
    <t>3507114512960001</t>
  </si>
  <si>
    <t>44 7776712274</t>
  </si>
  <si>
    <t>almuhandis23@gmail.com</t>
  </si>
  <si>
    <t>3310050702190010</t>
  </si>
  <si>
    <t>3573051202190010</t>
  </si>
  <si>
    <t>3507222712180010</t>
  </si>
  <si>
    <t>3525141803240005</t>
  </si>
  <si>
    <t>3573052404130012</t>
  </si>
  <si>
    <t>3573052312150009</t>
  </si>
  <si>
    <t>3507241807110002</t>
  </si>
  <si>
    <t>3573042310180015</t>
  </si>
  <si>
    <t>3579032105150003</t>
  </si>
  <si>
    <t>3573052811120002</t>
  </si>
  <si>
    <t>3507130404230009</t>
  </si>
  <si>
    <t>3517021012180001</t>
  </si>
  <si>
    <t>3507232111180011</t>
  </si>
  <si>
    <t>3507236209170004</t>
  </si>
  <si>
    <t>6503023110170010</t>
  </si>
  <si>
    <t>3573051402230009</t>
  </si>
  <si>
    <t>3509192101190015</t>
  </si>
  <si>
    <t>3573051708080006</t>
  </si>
  <si>
    <t>3507230808140003</t>
  </si>
  <si>
    <t>3573010304140004</t>
  </si>
  <si>
    <t>3573031908160002</t>
  </si>
  <si>
    <t>3573052109180005</t>
  </si>
  <si>
    <t>3579021905170001</t>
  </si>
  <si>
    <t>3515141909180005</t>
  </si>
  <si>
    <t>3504012401220004</t>
  </si>
  <si>
    <t>3573053103210015</t>
  </si>
  <si>
    <t>3573053005180004</t>
  </si>
  <si>
    <t>3573052208170001</t>
  </si>
  <si>
    <t>3573051507150014</t>
  </si>
  <si>
    <t>3573032609180008</t>
  </si>
  <si>
    <t>3503112002190002</t>
  </si>
  <si>
    <t>3507222412140002</t>
  </si>
  <si>
    <t>3574042211180008</t>
  </si>
  <si>
    <t>3507230204140004</t>
  </si>
  <si>
    <t>3507231602210011</t>
  </si>
  <si>
    <t>3573052307180002</t>
  </si>
  <si>
    <t>3573051601200015</t>
  </si>
  <si>
    <t>3573052505210016</t>
  </si>
  <si>
    <t>3573020906170006</t>
  </si>
  <si>
    <t>3573050210180008</t>
  </si>
  <si>
    <t>3573041004190008</t>
  </si>
  <si>
    <t>3509210308170006</t>
  </si>
  <si>
    <t>6371040901150013</t>
  </si>
  <si>
    <t>3573052409190008</t>
  </si>
  <si>
    <t>355111605240010</t>
  </si>
  <si>
    <t>3573051009180001</t>
  </si>
  <si>
    <t>3573052811170009</t>
  </si>
  <si>
    <t>3506251906170004</t>
  </si>
  <si>
    <t>3607312804140002</t>
  </si>
  <si>
    <t>3573050812170012</t>
  </si>
  <si>
    <t>3573010404120026</t>
  </si>
  <si>
    <t>3573052812180012</t>
  </si>
  <si>
    <t>3507182907200010</t>
  </si>
  <si>
    <t>3573052810100022</t>
  </si>
  <si>
    <t>3374060703180015</t>
  </si>
  <si>
    <t>3576021003190001</t>
  </si>
  <si>
    <t>3502173009160001</t>
  </si>
  <si>
    <t>3507240902120004</t>
  </si>
  <si>
    <t>3507230711170004</t>
  </si>
  <si>
    <t>3507222103180004</t>
  </si>
  <si>
    <t>3573051506160001</t>
  </si>
  <si>
    <t>3573051611180001</t>
  </si>
  <si>
    <t>3579031105190001</t>
  </si>
  <si>
    <t>3507231208080038</t>
  </si>
  <si>
    <t>3573052607160012</t>
  </si>
  <si>
    <t>3578252503130006</t>
  </si>
  <si>
    <t>3573010404190019</t>
  </si>
  <si>
    <t>3573020701190001</t>
  </si>
  <si>
    <t>3573051501180006</t>
  </si>
  <si>
    <t>3507222808170002</t>
  </si>
  <si>
    <t>3507230712210002</t>
  </si>
  <si>
    <t>3521091604180007</t>
  </si>
  <si>
    <t>3573051910170019</t>
  </si>
  <si>
    <t>3573051311230007</t>
  </si>
  <si>
    <t>3573052509190003</t>
  </si>
  <si>
    <t>3507232407230003</t>
  </si>
  <si>
    <t>3573050806150012</t>
  </si>
  <si>
    <t>3573052611120106</t>
  </si>
  <si>
    <t>3573052610170013</t>
  </si>
  <si>
    <t>3573051104110010</t>
  </si>
  <si>
    <t>3573051209180004</t>
  </si>
  <si>
    <t>3573050601140027</t>
  </si>
  <si>
    <t>357203180817006</t>
  </si>
  <si>
    <t>3578071902190005</t>
  </si>
  <si>
    <t>3573052012160010</t>
  </si>
  <si>
    <t>RAFASYA ELFATIH PRASETYO</t>
  </si>
  <si>
    <t>INDONESIA &amp; INGGRIS</t>
  </si>
  <si>
    <t>16 APRIL 2026</t>
  </si>
  <si>
    <t>3193349820</t>
  </si>
  <si>
    <t>PERUM TIRTASANI ROYAL RESORT BLOK F2 NO. 8-9, DUSUN NGENEP, DESA NGENEP, KECAMATAN KARANGPLOSO, KABUPATEN MALANG, JAWA TIMUR</t>
  </si>
  <si>
    <t>3507300303190002</t>
  </si>
  <si>
    <t>ABBARRA PANDU SASMITO</t>
  </si>
  <si>
    <t>ABBARRA</t>
  </si>
  <si>
    <t>PERUMAHAN DEPRIMA BLOK A 8</t>
  </si>
  <si>
    <t>TK ABAK SALEH</t>
  </si>
  <si>
    <t>3175030306190006</t>
  </si>
  <si>
    <t>ABDURRAHMAN YUSUF RISZALDI</t>
  </si>
  <si>
    <t>ABDUL</t>
  </si>
  <si>
    <t xml:space="preserve">Autism </t>
  </si>
  <si>
    <t>PERUMAHAN PERMATA JINGGA, BLOK KELAPA NOMOR 28</t>
  </si>
  <si>
    <t>JALAN SUDIMORO 21A</t>
  </si>
  <si>
    <t>3573021903190001</t>
  </si>
  <si>
    <t>AGHAFAKHRI PRADIPTA AFFANDY</t>
  </si>
  <si>
    <t>FAKHRI</t>
  </si>
  <si>
    <t>JALAN BOROBUDUR AGUNG BARAT VIII NO 3B</t>
  </si>
  <si>
    <t>JL. CANDI PQNGGUNG</t>
  </si>
  <si>
    <t>3573051801200003</t>
  </si>
  <si>
    <t>AHMAD FAHREZEL ALI ZAVIER</t>
  </si>
  <si>
    <t>ZAVIER</t>
  </si>
  <si>
    <t>JL. KRIPTON NO 17 SULFAT MALANG</t>
  </si>
  <si>
    <t>3574040401200002</t>
  </si>
  <si>
    <t>AHMAD HAIDAR AKBAR</t>
  </si>
  <si>
    <t>JL. SIMPANG SULFAT BARAT I NO. 31</t>
  </si>
  <si>
    <t>PERUM GRIYA PERMATA ALAM JL. PINUS NGIJO KARANGPLOSO</t>
  </si>
  <si>
    <t>3507232006200001</t>
  </si>
  <si>
    <t>HAQI</t>
  </si>
  <si>
    <t>PERUM PALM REGENCY KAV66 NGIJO KARANGPLOSO</t>
  </si>
  <si>
    <t>KB-TK ISLAM KHARISMA MALANG</t>
  </si>
  <si>
    <t>TIRTASANI ROYAL RESORT BLOK F2 8-9</t>
  </si>
  <si>
    <t>3573014306200005</t>
  </si>
  <si>
    <t>AISHA SHEZA IZDIHAR LAKSANA</t>
  </si>
  <si>
    <t>AISH</t>
  </si>
  <si>
    <t>PERUM TIRTASANI ROYAL RESORT, CLUSTER ROYAL VILLAGE BLOK RV3 NO 3</t>
  </si>
  <si>
    <t>3573055912180002</t>
  </si>
  <si>
    <t>AISYAH ZAHEERA THARYA</t>
  </si>
  <si>
    <t>ZAHEERA</t>
  </si>
  <si>
    <t>PERUMAHAN GRAND ARUMBA BLOK I NO 16</t>
  </si>
  <si>
    <t>RA AMAL MULIA DEPOK</t>
  </si>
  <si>
    <t>JALAN PEKAPURAN DEPOK</t>
  </si>
  <si>
    <t>3276106207190002</t>
  </si>
  <si>
    <t>AIZA SHAKEENA RIKZATUNNISA</t>
  </si>
  <si>
    <t>JALAN MAWAR 4 NO. 27</t>
  </si>
  <si>
    <t>3573044601200001</t>
  </si>
  <si>
    <t>AKLEEMA HAJEERA FERRYANTO</t>
  </si>
  <si>
    <t>AKIMA</t>
  </si>
  <si>
    <t>JL. RAYA CANDI II / 253</t>
  </si>
  <si>
    <t>3573050805190002</t>
  </si>
  <si>
    <t>ALBARRA ADN KANINDRA</t>
  </si>
  <si>
    <t>BARRA</t>
  </si>
  <si>
    <t>PERUM BUMI PALAPA C15</t>
  </si>
  <si>
    <t>JL. BATU PERMATA 9, TLOGOMAS, MALANG</t>
  </si>
  <si>
    <t>3507222707190001</t>
  </si>
  <si>
    <t>ALDEBARAN ARSENIO MUHAMMAD</t>
  </si>
  <si>
    <t>BARAN</t>
  </si>
  <si>
    <t>LANDUNGSARI PERMAI C-2</t>
  </si>
  <si>
    <t xml:space="preserve">CANDI PANGGUNG 1-3 </t>
  </si>
  <si>
    <t>3573016811190003</t>
  </si>
  <si>
    <t>ALESHA PUTRI KURNIAWAN</t>
  </si>
  <si>
    <t xml:space="preserve">ALESHA </t>
  </si>
  <si>
    <t>Reguler</t>
  </si>
  <si>
    <t xml:space="preserve">GRAND MASYHUR RESIDENCE BLOK E12 </t>
  </si>
  <si>
    <t>JL. CANDI PANGGUNG INDAH, KOTA MALANG</t>
  </si>
  <si>
    <t>3573050402200004</t>
  </si>
  <si>
    <t>ALIF ALSHAD AKBAR</t>
  </si>
  <si>
    <t xml:space="preserve">JL. TATA SURYA 1 BLOK C1, DINOYO, LOWOKWARU, KOTA MALANG </t>
  </si>
  <si>
    <t xml:space="preserve">DINOYO </t>
  </si>
  <si>
    <t>3578014202200002</t>
  </si>
  <si>
    <t>ALMEERA HAIRA QAANITA</t>
  </si>
  <si>
    <t>MEERA</t>
  </si>
  <si>
    <t>PERUMAHAN BUKIT CEMARA TUJUH F24</t>
  </si>
  <si>
    <t xml:space="preserve">JL MAGELANG SUMBERSARI </t>
  </si>
  <si>
    <t>3507231303190003</t>
  </si>
  <si>
    <t>ALTHAFUNIZAM MAULANA GIBRAN</t>
  </si>
  <si>
    <t xml:space="preserve">NIZAM </t>
  </si>
  <si>
    <t xml:space="preserve">BLITAR </t>
  </si>
  <si>
    <t xml:space="preserve">JL BUKIT KAMBOJA 2 NO 23 </t>
  </si>
  <si>
    <t>KB RA AR ROHMAH</t>
  </si>
  <si>
    <t>JL JAMBU NO 1 SEMANDING KAB. MALANG</t>
  </si>
  <si>
    <t>3507222406190001</t>
  </si>
  <si>
    <t>ALVARENDRA BARRAMERU SETIAWAN</t>
  </si>
  <si>
    <t>BARRAMERU</t>
  </si>
  <si>
    <t>PERUMAHAN BUMI ASRI SENGKALING BLOK C15 TAHAP 1</t>
  </si>
  <si>
    <t>3573034812190002</t>
  </si>
  <si>
    <t>AMAYRA FATHIA ADMAZIA</t>
  </si>
  <si>
    <t>JL SIMPANG DANAU LIMBOTO TIMUR 2 A5 H22</t>
  </si>
  <si>
    <t>JLN CANDI PANGGUNG INDAH</t>
  </si>
  <si>
    <t>3579034408190001</t>
  </si>
  <si>
    <t>AMIRA JASMINE ELMUBAREK</t>
  </si>
  <si>
    <t xml:space="preserve">JASMINE </t>
  </si>
  <si>
    <t>LEMBAH DELIMA RESIDENCE NO 9</t>
  </si>
  <si>
    <t>TEMAS</t>
  </si>
  <si>
    <t>BUSTHANUL ATHFAL (BA)</t>
  </si>
  <si>
    <t>KB - BA ARAFAH</t>
  </si>
  <si>
    <t>JL. VINOLIA III NO 23</t>
  </si>
  <si>
    <t>3573052106190003</t>
  </si>
  <si>
    <t>AMMAR RHEANDRA PRATAMA</t>
  </si>
  <si>
    <t>AMMAR</t>
  </si>
  <si>
    <t>PERUM GARDEN PALMA BLOK A2</t>
  </si>
  <si>
    <t>JL CANDI PANGGUNG INDAH NO 1-3</t>
  </si>
  <si>
    <t>3578255012190001</t>
  </si>
  <si>
    <t>ANEDZA KEIKO QUINZHA</t>
  </si>
  <si>
    <t>LOWOWKWARU</t>
  </si>
  <si>
    <t>JL. MAGELANG NO.2, RW.3, SUMBERSARI, KEC. LOWOKWARU, KOTA MALANG, JAWA TIMUR 65145</t>
  </si>
  <si>
    <t>3573055403200001</t>
  </si>
  <si>
    <t>ANGSANA KILAU MALINI</t>
  </si>
  <si>
    <t>ANGSANA</t>
  </si>
  <si>
    <t>PERUM TUNJUNG SEKAR DAMAI Q-19, LOWOKWARU, MALANG</t>
  </si>
  <si>
    <t>JALAN MAGELANG NO. 2 KOTA MALANG</t>
  </si>
  <si>
    <t>3507024909190001</t>
  </si>
  <si>
    <t>ARINDA SYAKHILA AR-RUMI</t>
  </si>
  <si>
    <t>PERUMAHAN LANDUNGSARI INSIDE NO. B2 JALAN TIRTOSARI</t>
  </si>
  <si>
    <t>65151-</t>
  </si>
  <si>
    <t>TK LAB MALANG</t>
  </si>
  <si>
    <t>JL. MAGELANG NO. 2, SUMBERSARI, KEC. LOWOKWARU, KOTA MALANG, JAWA TIMUR</t>
  </si>
  <si>
    <t>3507222412180001</t>
  </si>
  <si>
    <t>ARJUNA SAKHA PURBAYA</t>
  </si>
  <si>
    <t>Cerebral Palsy</t>
  </si>
  <si>
    <t>PUNCAK DIENG JJ1 NO7</t>
  </si>
  <si>
    <t>KALISONGO</t>
  </si>
  <si>
    <t>TK KARTIKA X-5 PUSDIK ARHANUD</t>
  </si>
  <si>
    <t>JUNREJO BATU</t>
  </si>
  <si>
    <t>3573054703200003</t>
  </si>
  <si>
    <t>ARSY HUMAIRA AR-RAIHAN</t>
  </si>
  <si>
    <t>AIRA</t>
  </si>
  <si>
    <t>JL. RAYA TLOGOMAS NO 50</t>
  </si>
  <si>
    <t>TK ALAM MANA</t>
  </si>
  <si>
    <t>JL. KONSOLIDASI, PANIKI BAWAH, KEC. MAPANGET, KOTA MANADO, SULAWESI UTARA 95256</t>
  </si>
  <si>
    <t>6403094805190002</t>
  </si>
  <si>
    <t>ARSYI</t>
  </si>
  <si>
    <t>BERAU</t>
  </si>
  <si>
    <t>PERUMAHAN GRIYA PANIKI INDAH 
JL. FLAMBOYAN A NO.41, BUHA, KEC. MAPANGET,KOTA MANADO,SULAWESI UTARA,INDONESIA</t>
  </si>
  <si>
    <t>BUHA</t>
  </si>
  <si>
    <t>MAPANGET</t>
  </si>
  <si>
    <t>MANADO</t>
  </si>
  <si>
    <t xml:space="preserve">TK ISLAM AL IKHLAS </t>
  </si>
  <si>
    <t>JALAN RAYA LANGSEP NO 21 A KOTA MALANG</t>
  </si>
  <si>
    <t>3573046704180001</t>
  </si>
  <si>
    <t>ASMA HANINNUHA</t>
  </si>
  <si>
    <t>ASD (Autism Spectrum Disorder)</t>
  </si>
  <si>
    <t>PONDOK CEMPAKA INDAH F/5</t>
  </si>
  <si>
    <t>MULYOREJO</t>
  </si>
  <si>
    <t>CANDI PANGGUNG INDAH 1-3 MALANG</t>
  </si>
  <si>
    <t>3579030512190002</t>
  </si>
  <si>
    <t>ATHARRAZKA BENJAMIN RUMI</t>
  </si>
  <si>
    <t>BEBE</t>
  </si>
  <si>
    <t>KAYANA REGENCY BLOK E NO 15, JUNREJO, MOJOREJO, KOTA BATU</t>
  </si>
  <si>
    <t xml:space="preserve">TK KARTIKA PRADANA </t>
  </si>
  <si>
    <t>3507192902200001</t>
  </si>
  <si>
    <t>AULIAN YUUKI MUHAMMAD</t>
  </si>
  <si>
    <t xml:space="preserve">YUUKI </t>
  </si>
  <si>
    <t xml:space="preserve">PERUM GRAND ARUMBA BLOK E-38 </t>
  </si>
  <si>
    <t>ANDALUSIA KIDS MERJOSARI</t>
  </si>
  <si>
    <t>JLN. JOYOGRAND, MERJOSARI MAKANG</t>
  </si>
  <si>
    <t>3573056803200006</t>
  </si>
  <si>
    <t>AWFARA ZIYA ARZAQINA WIKA</t>
  </si>
  <si>
    <t>ZIYA</t>
  </si>
  <si>
    <t xml:space="preserve">PERUMAHAN PERMATA JINGGA BLOK ANGGREK VI NO 29, LOWOKWARU, KOTA MALANG, JAWA TIMUR 65142 </t>
  </si>
  <si>
    <t>TK ABA 17 BARENG</t>
  </si>
  <si>
    <t>3573022808190002</t>
  </si>
  <si>
    <t>AZRIL RASYA ALFATIH</t>
  </si>
  <si>
    <t>AZRIL</t>
  </si>
  <si>
    <t>JL BARENG TENGAH VB / 831</t>
  </si>
  <si>
    <t>TPQ PAGI ASHABUL KAHFI</t>
  </si>
  <si>
    <t>JALAN HAJI ALWI NO.01 TANJUNG RT 01 RW 09 BANJARARUM SINGOSARI</t>
  </si>
  <si>
    <t>3507186211190001</t>
  </si>
  <si>
    <t>CHAYRA NADHIFA NAUFALINA</t>
  </si>
  <si>
    <t>CHAYRA</t>
  </si>
  <si>
    <t>JL GOLF UTAMA KANIGORO NO. 2</t>
  </si>
  <si>
    <t>JL IKAN KAKAP NO.90</t>
  </si>
  <si>
    <t>3573055802200002</t>
  </si>
  <si>
    <t>CLARA ZAFIRA VALERI</t>
  </si>
  <si>
    <t xml:space="preserve">JL KH YUSUF </t>
  </si>
  <si>
    <t xml:space="preserve">TK ISLAMIC CENTRE SURABAYA </t>
  </si>
  <si>
    <t>JLN. RAYA DUKUH KUPANG NO. 122-124, SURABAYA</t>
  </si>
  <si>
    <t>3175075806190004</t>
  </si>
  <si>
    <t>CLEMIRA YUMNA BASYAR</t>
  </si>
  <si>
    <t>CLEMIRA/UNA</t>
  </si>
  <si>
    <t>JL. KULINTANG NO. 7, PERUM. TUNGGUL KENCANA</t>
  </si>
  <si>
    <t>JL. IKAN KAKAP NO 90, TUNJUNGSEKAR, LOWOKWARU, KOTA MALANG</t>
  </si>
  <si>
    <t>DEFFAN ATHALLA GANENDRA</t>
  </si>
  <si>
    <t>DEFFAN</t>
  </si>
  <si>
    <t>D’SAPPHIRE RESIDENCE BLOK C NO 2-4, JL. IKAN GURAMI</t>
  </si>
  <si>
    <t>DEVA ABI PUTRA</t>
  </si>
  <si>
    <t>DEVA</t>
  </si>
  <si>
    <t>Asd level1 high function</t>
  </si>
  <si>
    <t>GRAND PERMATA JINGGA 8TH NO15</t>
  </si>
  <si>
    <t xml:space="preserve">JL.CANDI PANGGUNG INDAH 1 - 3 </t>
  </si>
  <si>
    <t>3573050305190005</t>
  </si>
  <si>
    <t>DZAFLAN TRISHAKEEL PUTRA</t>
  </si>
  <si>
    <t>DZAFLAN</t>
  </si>
  <si>
    <t>FAHMA AAFIYAH SALSABILA</t>
  </si>
  <si>
    <t>AAFIYA</t>
  </si>
  <si>
    <t>PERUMAHAN BUMI MERANTI WANGI, JL. HOUSE OF BMW, BLOK B NO. 23. KEC. BLIMBING KEL. PANDANWANGI. JAWA TIMUR, MALANG 65124</t>
  </si>
  <si>
    <t>JL. CANDI PANGGUNG INDAH NO.1-3, KELURAHAN MOJOLANGU</t>
  </si>
  <si>
    <t>3573052302200001</t>
  </si>
  <si>
    <t>FEBRINO YUSUF SYAILENDRA PRATAMA</t>
  </si>
  <si>
    <t>RINO</t>
  </si>
  <si>
    <t>GARDEN PALMA INSIDE KAV. 2</t>
  </si>
  <si>
    <t>TK AISYIYAH ABA 33 CITA INSANI</t>
  </si>
  <si>
    <t>PERUM GRIYASHANTA, JL. CANDI PANGGUNG NO.23, MOJOLANGU, LOWOKWARU, MALANG CITY, EAST JAVA 65142</t>
  </si>
  <si>
    <t>3573056411190004</t>
  </si>
  <si>
    <t>FEISYA MIKANADIRA</t>
  </si>
  <si>
    <t>PERUM GREEN ORCHID CLUSTER ESMERALDA F-58 MALANG</t>
  </si>
  <si>
    <t>TK AN-NUR</t>
  </si>
  <si>
    <t>DANAU YAMUR 01 SAWOJAJAR</t>
  </si>
  <si>
    <t>3507125412190002</t>
  </si>
  <si>
    <t>FIONA ZEA NASYWA EFFENDI</t>
  </si>
  <si>
    <t>ZEA</t>
  </si>
  <si>
    <t xml:space="preserve">JL SRIWIJAYA </t>
  </si>
  <si>
    <t>SUMBERPUCUNG</t>
  </si>
  <si>
    <t>JALAN CANDI PANGGUNG INDAH NO 1-3 MALANG</t>
  </si>
  <si>
    <t>3209204907200001</t>
  </si>
  <si>
    <t>GAMILA NAURA KEJORA</t>
  </si>
  <si>
    <t>GAMILA</t>
  </si>
  <si>
    <t>JALAN BANTARAN INDAH BLOK B-19</t>
  </si>
  <si>
    <t>GANAPATIH ADITAMA ANDHATA</t>
  </si>
  <si>
    <t>TAMA</t>
  </si>
  <si>
    <t>MUTIARA JINGGA RESIDENCE B-25</t>
  </si>
  <si>
    <t>TK ANAK SHOLEH FULLDAY SITIARJO</t>
  </si>
  <si>
    <t>DESA SITIARJO, RT 24 RW 05, KEC. SUMBERMANJING WETAN, KAB. MALANG</t>
  </si>
  <si>
    <t>3507040910190002</t>
  </si>
  <si>
    <t>GLEXAQUILE SHANKARA RUSMANADI</t>
  </si>
  <si>
    <t>GLE</t>
  </si>
  <si>
    <t>DUSUN KRAJAN TENGAH, DESA SITIARJO</t>
  </si>
  <si>
    <t>SITIARJO</t>
  </si>
  <si>
    <t>SUMBERMANJING WETAN</t>
  </si>
  <si>
    <t>TK MUSLIMAT NU 07</t>
  </si>
  <si>
    <t xml:space="preserve">JL. KOL. SUGIONO V </t>
  </si>
  <si>
    <t>3573035109190001</t>
  </si>
  <si>
    <t>GUSTI AISYAH AZZAHRA</t>
  </si>
  <si>
    <t>JL. KOL. SUGIONO V / 16</t>
  </si>
  <si>
    <t>MERGOSONO</t>
  </si>
  <si>
    <t>TK AL HUSNA</t>
  </si>
  <si>
    <t>3575021703190001</t>
  </si>
  <si>
    <t>HANAN AL AZKA</t>
  </si>
  <si>
    <t>PERUM MALANG ANGGUN SEJAHTERA BLOK G9/23</t>
  </si>
  <si>
    <t>SUMBERPORONG</t>
  </si>
  <si>
    <t>JALAN CAKALANG NO. 209A KEL. POLOWIJEN KEC. BLIMBING MALANG</t>
  </si>
  <si>
    <t>3573024101190002</t>
  </si>
  <si>
    <t>HAYFA RIFKI ABDAT</t>
  </si>
  <si>
    <t>HAYFA</t>
  </si>
  <si>
    <t>RIVERSIDE D-312</t>
  </si>
  <si>
    <t>TK PERMATA IMAN 1 TLOGOMAS MALANG</t>
  </si>
  <si>
    <t>JL BATU PERMATA NO.9 MALANG</t>
  </si>
  <si>
    <t>3573050808190004</t>
  </si>
  <si>
    <t xml:space="preserve">HIDEO HAMDAN ZAIDAN </t>
  </si>
  <si>
    <t>JL. SIMPANG SULFAT SELATAN NOMOR 2, PURWANTORO, KEC. BLIMBING, KOTA MALANG, JAWA TIMUR 65122</t>
  </si>
  <si>
    <t>3517062712190002</t>
  </si>
  <si>
    <t>IBRAHIM AZKA DIMASSYAH</t>
  </si>
  <si>
    <t>PERUMAHAN BUMI MERANTI WANGI BLOK M-5</t>
  </si>
  <si>
    <t>3573051704200004</t>
  </si>
  <si>
    <t>IRSYAD AZKARIAN PUTRA</t>
  </si>
  <si>
    <t>PERUMAHAN PERMATA JINGGA WEST SIDE AREA CLUSTER ZAHARA J8 MALANG</t>
  </si>
  <si>
    <t>TK PERTAMA IMAN 1</t>
  </si>
  <si>
    <t>JL. BATU PERMATA NO. 9 TLOGOMAS</t>
  </si>
  <si>
    <t>3524070601200001</t>
  </si>
  <si>
    <t>JAVAS BIRU SHANKARA EDI</t>
  </si>
  <si>
    <t>JAVAS</t>
  </si>
  <si>
    <t>JALAN SIMPANG RAYA CANDI 6 PERUMAHAN DE’CLUSTER SIGURA-GURA BLOK B4</t>
  </si>
  <si>
    <t>3507231807190001</t>
  </si>
  <si>
    <t>JULIAN RAZKA TIRTA</t>
  </si>
  <si>
    <t>TIRTA</t>
  </si>
  <si>
    <t>Tidak</t>
  </si>
  <si>
    <t xml:space="preserve">JL. PERTAMANAN 5 </t>
  </si>
  <si>
    <t>JLN IKAN KAKAP, TUNJUNGSEKAR MALANG</t>
  </si>
  <si>
    <t>3573051412190003</t>
  </si>
  <si>
    <t>KAMAYEL HAQQI SHAQUILLE</t>
  </si>
  <si>
    <t>KAMAYEL</t>
  </si>
  <si>
    <t>PERUM DWIGA REGENCY B2-01</t>
  </si>
  <si>
    <t>JALAN SIMPANG AKORDION NO. 2 MALANG</t>
  </si>
  <si>
    <t>3573050803190002</t>
  </si>
  <si>
    <t>KEMAL THARIQ AR RASYID</t>
  </si>
  <si>
    <t>KEMAL</t>
  </si>
  <si>
    <t>PURI BUNGA ESTATE D22</t>
  </si>
  <si>
    <t>GRIYA SANTA L301</t>
  </si>
  <si>
    <t>3573051804190002</t>
  </si>
  <si>
    <t>KEYNAN AQILA DINATA</t>
  </si>
  <si>
    <t>KEYNAN</t>
  </si>
  <si>
    <t>PERMATA JINGGA BLOK KELAPA NO 16</t>
  </si>
  <si>
    <t>JL. TANJUNG, BANJARARUM, SINGOSARI</t>
  </si>
  <si>
    <t>3507096305190003</t>
  </si>
  <si>
    <t>KHADIJAH AFRINA AARA</t>
  </si>
  <si>
    <t>AARA/KHADIJAH</t>
  </si>
  <si>
    <t>JL. ALAM HIJAU KAV.B1 BANJARARUM SINGOSARI</t>
  </si>
  <si>
    <t xml:space="preserve">TK PERMATA IMAN </t>
  </si>
  <si>
    <t>JL. BATU PERMATA NO.9 TLOGOMAS LOWOKWARU KOTA MALANG</t>
  </si>
  <si>
    <t>3573052905190002</t>
  </si>
  <si>
    <t>KISEKI ARNAVAKHTAR AL AYYUBI</t>
  </si>
  <si>
    <t>JL. TLOGO INDAH NO. 41 C</t>
  </si>
  <si>
    <t>3573016510190003</t>
  </si>
  <si>
    <t>KYANAYYARA FAZILA ARVI</t>
  </si>
  <si>
    <t>FAZI</t>
  </si>
  <si>
    <t>PELITA TELUK BAYUR E2</t>
  </si>
  <si>
    <t>ALAMAT TK ANAK SALEH TERLETAK DI JL. CANDI PANGGUNG INDAH NO. 1-3, MOJOLANGU, KEC. LOWOKWARU, KOTA MALANG, JAWA TIMUR.</t>
  </si>
  <si>
    <t>3573016510190002</t>
  </si>
  <si>
    <t>KYANAYYIRA FARIZA ARVI</t>
  </si>
  <si>
    <t>JL AKORDION TUNGGULWULUNG</t>
  </si>
  <si>
    <t>JL RAYA KASIN AMPELDENTO</t>
  </si>
  <si>
    <t xml:space="preserve">MALIK NOOR FADJAR </t>
  </si>
  <si>
    <t xml:space="preserve">PISANG KIPAS </t>
  </si>
  <si>
    <t>3573051507190006</t>
  </si>
  <si>
    <t>MAHER ALI ABDULLAH TARSUM</t>
  </si>
  <si>
    <t>PERUM PERMATA JINGGA BLOK CEMARA NO 15</t>
  </si>
  <si>
    <t xml:space="preserve">JL CANDI PANGGUNG INDAH NO 1-3 </t>
  </si>
  <si>
    <t>3573052411190001</t>
  </si>
  <si>
    <t>MAULANA ANDHARU REYNOVAN</t>
  </si>
  <si>
    <t>DHARU</t>
  </si>
  <si>
    <t>JL SUKARNO HATTA NO 6 MALANG</t>
  </si>
  <si>
    <t xml:space="preserve">KOTA </t>
  </si>
  <si>
    <t>TK AL HUDA BAGUS</t>
  </si>
  <si>
    <t>JL. RONGGOWARSITO NO. 27 KLOJEN KOTA MALANG</t>
  </si>
  <si>
    <t>3507221111190001</t>
  </si>
  <si>
    <t>ATQA</t>
  </si>
  <si>
    <t xml:space="preserve">JL. RAYA SENGKALING NO. 180 </t>
  </si>
  <si>
    <t>JL. IKAN KAKAP 90 TUNJUNG SEKAR MALANG</t>
  </si>
  <si>
    <t>3507231511190001</t>
  </si>
  <si>
    <t>MUHAMMAD AHSAN ALFAROUQ</t>
  </si>
  <si>
    <t>GREEN VIEW REGENCY BLOK F 19</t>
  </si>
  <si>
    <t>037</t>
  </si>
  <si>
    <t>3573051611190002</t>
  </si>
  <si>
    <t>MUHAMMAD ALDEBARAN MALIK</t>
  </si>
  <si>
    <t>ALE</t>
  </si>
  <si>
    <t>JL. BANTARAN BARAT II NO 2</t>
  </si>
  <si>
    <t>PAUD IT INSAN PERMATA</t>
  </si>
  <si>
    <t>JL. AKORDION UTARA TUNGGULWULUNG, KEC. LOWOKWARU</t>
  </si>
  <si>
    <t>3517081903190004</t>
  </si>
  <si>
    <t>MUHAMMAD ALTHAF AMRULLAH</t>
  </si>
  <si>
    <t>PERUMAHAN D'GRAHA ARTHA NO. C52</t>
  </si>
  <si>
    <t xml:space="preserve">LANGLANG </t>
  </si>
  <si>
    <t xml:space="preserve"> JL. CANDI PANGGUNG INDAH NO. 1-3 MALANG</t>
  </si>
  <si>
    <t>3501042802200002</t>
  </si>
  <si>
    <t>MUHAMMAD ARFAN FARDHAN KARIM</t>
  </si>
  <si>
    <t>ARFAN</t>
  </si>
  <si>
    <t>JL. LESTI II/12 MALANG 65123</t>
  </si>
  <si>
    <t>MUSLIMAT NU 16</t>
  </si>
  <si>
    <t>3573010901200003</t>
  </si>
  <si>
    <t>MUHAMMAD ASHRAF NABIL AL GHAZALI</t>
  </si>
  <si>
    <t>ASHRAF</t>
  </si>
  <si>
    <t>CITRA IKAN NILA NO.19 JL.IKAN NILA 2</t>
  </si>
  <si>
    <t>BLIMMBING</t>
  </si>
  <si>
    <t>JALAN CANDI PANGGUNG INDAH NO 1-3</t>
  </si>
  <si>
    <t>3573012605190002</t>
  </si>
  <si>
    <t>MUHAMMAD AZZAM ABBASSADAD</t>
  </si>
  <si>
    <t>Autism</t>
  </si>
  <si>
    <t>PERUM BANJARARUM ASRI BLOK HS 02</t>
  </si>
  <si>
    <t xml:space="preserve">BANJARARUM </t>
  </si>
  <si>
    <t>JLN. CANDI PANGGUNG INDAH 1-3</t>
  </si>
  <si>
    <t>3579031002200003</t>
  </si>
  <si>
    <t>MUHAMMAD BOBYARYA WIJAYA</t>
  </si>
  <si>
    <t>BOBY</t>
  </si>
  <si>
    <t>JLN. DRS. MOH HATTA , NO. 222 , PENDEM, JUNREJO. BATU</t>
  </si>
  <si>
    <t>JL. SAXOPHONE NO. 212 TUNGGULWULUNG</t>
  </si>
  <si>
    <t>3515093003200006</t>
  </si>
  <si>
    <t>MUHAMMAD FATHIAN RAFFASYA</t>
  </si>
  <si>
    <t>PERUM GREEN GARDEN SAXOPHONE NO. B6, JL. SAXOPHONE</t>
  </si>
  <si>
    <t>TK ABA 33</t>
  </si>
  <si>
    <t>NGIJO KARANGPLOSO</t>
  </si>
  <si>
    <t>3507231112190001</t>
  </si>
  <si>
    <t>MUHAMMAD HAYDI RHYSEAN</t>
  </si>
  <si>
    <t>SEAN</t>
  </si>
  <si>
    <t>PERUM GOA BLOK KO.12</t>
  </si>
  <si>
    <t>TK ANAKSALEH</t>
  </si>
  <si>
    <t>3575020505190002</t>
  </si>
  <si>
    <t>MUHAMMAD KENZIE SYAHREZA</t>
  </si>
  <si>
    <t>PERUM BUMI MADINAH 2 BLOK D NO93</t>
  </si>
  <si>
    <t>HUDAN CENDIKIA</t>
  </si>
  <si>
    <t>VILLA BUKIT TIDAR</t>
  </si>
  <si>
    <t>3573042811190007</t>
  </si>
  <si>
    <t>MUHAMMAD NADEEM ALFARIZI</t>
  </si>
  <si>
    <t>NADEEM</t>
  </si>
  <si>
    <t>VILLA BUKIT TIDAR E2 NO 172</t>
  </si>
  <si>
    <t>CAHAYA PERMATA</t>
  </si>
  <si>
    <t>PUNCAK PERMATA SENGKALING</t>
  </si>
  <si>
    <t>MUHAMMAD RAKABUMI DANISWARA</t>
  </si>
  <si>
    <t>PERUM AGRA BATU A 25</t>
  </si>
  <si>
    <t>KELOMPOK BERMAIN CHILDREN CENTRE BRAWIJAYA SMART SCHOOL</t>
  </si>
  <si>
    <t>JL. VETERAN NO.17, KETAWANGGEDE, KEC. LOWOKWARU, KOTA MALANG, JAWA TIMUR 65145</t>
  </si>
  <si>
    <t>3507222904200004</t>
  </si>
  <si>
    <t>MUHAMMAD ZUBAIR EZRA LAZUARDY</t>
  </si>
  <si>
    <t>EZRA</t>
  </si>
  <si>
    <t>JL. MULYOREJO NO. 36</t>
  </si>
  <si>
    <t>JALAN AKORDION BARAT 2 TUNGGULWULUNG MALANG</t>
  </si>
  <si>
    <t>3573056203200002</t>
  </si>
  <si>
    <t>MYURA MAZIDAH ALZAR</t>
  </si>
  <si>
    <t>MYURA</t>
  </si>
  <si>
    <t>PERMATA LAND B17</t>
  </si>
  <si>
    <t>3507185506190001</t>
  </si>
  <si>
    <t>NAURA FITRI NUR RIZKIYA</t>
  </si>
  <si>
    <t xml:space="preserve">PERUMAHAN GREEN ORCHID RESIDENCE CLUSTER VENOSA BLOK D - 32 (ALAMANDA) KEL. MOJOLANGU KEC. LOWOKWARU KOTA MALANG - JAWA TIMUR </t>
  </si>
  <si>
    <t>JL. CIBOGO</t>
  </si>
  <si>
    <t>3515051907190002</t>
  </si>
  <si>
    <t>NIRANKARA BIMASENA INDARSYAH</t>
  </si>
  <si>
    <t>GARDEN RESIDENCE BLOK SAKURA 1, MALANG</t>
  </si>
  <si>
    <t>OMAH BOCAH ANAFI</t>
  </si>
  <si>
    <t>3578082706190002</t>
  </si>
  <si>
    <t>NIZAM ABDUL  HAFIDZ</t>
  </si>
  <si>
    <t>NIZAM</t>
  </si>
  <si>
    <t>MANALI HILL CLUSTER 2 BLOK B12</t>
  </si>
  <si>
    <t>JL SAXOFONE NO 25</t>
  </si>
  <si>
    <t>3573051309190002</t>
  </si>
  <si>
    <t>OZAN DAIYAN AMSYAR</t>
  </si>
  <si>
    <t>OZAN</t>
  </si>
  <si>
    <t>JL ARUMBA PERUM ARUMBA UTAMA RESIDENCE NO B2</t>
  </si>
  <si>
    <t>ANAK EMAS</t>
  </si>
  <si>
    <t>JL. TEUKU UMAR NO.17, DAUH PURI KLOD, KEC. DENPASAR BAR., KOTA DENPASAR, BALI 80114</t>
  </si>
  <si>
    <t>3507254406190004</t>
  </si>
  <si>
    <t>PARASAYU SABINA KINANDARI</t>
  </si>
  <si>
    <t>TAIPEI</t>
  </si>
  <si>
    <t>JALAN SUMBER BENING INDAH NO. 43</t>
  </si>
  <si>
    <t xml:space="preserve">JL. CANDI PANGGUNG INDAH NO. 1-3, MOJOLANGU, KEC. LOWOKWARU, KOTA MALANG, JAWA TIMUR. </t>
  </si>
  <si>
    <t>3573050704200002</t>
  </si>
  <si>
    <t>RAMANDARA DIMAS HERMANTO</t>
  </si>
  <si>
    <t>JL CANDIMENDUT 4 KAV1 NO 1 PERM BAMBOE PARK</t>
  </si>
  <si>
    <t>3510164503190004</t>
  </si>
  <si>
    <t>RAYNA MECCA FERHANADYA</t>
  </si>
  <si>
    <t>MEME</t>
  </si>
  <si>
    <t xml:space="preserve">PERUM PERMATA HIJAU. BLOK B NO 24 </t>
  </si>
  <si>
    <t>TK IQRA"</t>
  </si>
  <si>
    <t>JL. PUNCAK BOROBUDUR NO.G407, MOJOLANGU, KEC. LOWOKWARU, KOTA MALANG, JAWA TIMUR 65142</t>
  </si>
  <si>
    <t>3573051806190005</t>
  </si>
  <si>
    <t>RAZA AMMAR BASWARA SS</t>
  </si>
  <si>
    <t>RAZA</t>
  </si>
  <si>
    <t>JL. LONCAT INDAH, PERUM. MUTIARA JINGGA RESIDENCE BLOK B30,</t>
  </si>
  <si>
    <t>3573050102190001</t>
  </si>
  <si>
    <t>RAZKA WIDAYANTO</t>
  </si>
  <si>
    <t>RAZKA</t>
  </si>
  <si>
    <t>GREENORCHID RESIDENCE ESMERALDA BLOK F37</t>
  </si>
  <si>
    <t>3573051703200002</t>
  </si>
  <si>
    <t>RHEANDRA SAKHA WIDITAMA</t>
  </si>
  <si>
    <t>RHEANDRA</t>
  </si>
  <si>
    <t xml:space="preserve">JL. SIMPANG KALPATARU 12 B </t>
  </si>
  <si>
    <t>3573051907190002</t>
  </si>
  <si>
    <t>RIZVAN AZZAHIDI DANISWARA</t>
  </si>
  <si>
    <t>RIZVAN</t>
  </si>
  <si>
    <t xml:space="preserve">JL PYRUS NO 8 </t>
  </si>
  <si>
    <t>3573026907190003</t>
  </si>
  <si>
    <t>RT ELEANOR AMARA PRATISHTA</t>
  </si>
  <si>
    <t>ASD ringan</t>
  </si>
  <si>
    <t>PERMATA JINGGA WEST AREA H / 15</t>
  </si>
  <si>
    <t>TK ANDALUSIA KIDS</t>
  </si>
  <si>
    <t>MERJOSARI MALANG</t>
  </si>
  <si>
    <t>3516122705190002</t>
  </si>
  <si>
    <t>SALMAN MALIK AKHMAD</t>
  </si>
  <si>
    <t>ISHAL</t>
  </si>
  <si>
    <t>PERUM PERMATA JINGGA BLOK PINUS NO 36</t>
  </si>
  <si>
    <t>TK OMAH BOCAH ANNAAFII</t>
  </si>
  <si>
    <t>3308185309190004</t>
  </si>
  <si>
    <t>SEANNA RADINKA DIKSA</t>
  </si>
  <si>
    <t>SEA</t>
  </si>
  <si>
    <t>EAST GARDEN RESIDENCE BLOK SALVIA 12</t>
  </si>
  <si>
    <t>JALAN IKAN KAKAP NO.90, TUNJUNGSEKAR, KEC. LOWOKWARU, KOTA MALANG, JAWA TIMUR 65142</t>
  </si>
  <si>
    <t>3573014803200001</t>
  </si>
  <si>
    <t>SHAINA ALMAHYRA</t>
  </si>
  <si>
    <t>SHAINA</t>
  </si>
  <si>
    <t>PERUM PIRANHA GARDEN B-11</t>
  </si>
  <si>
    <t xml:space="preserve">TK NEGERI PEMBINA 1 KOTA MALANG </t>
  </si>
  <si>
    <t>JL CIBOGO NO 1</t>
  </si>
  <si>
    <t>3573056405200001</t>
  </si>
  <si>
    <t>SHANUM AURORA FARZANA NAYYARA</t>
  </si>
  <si>
    <t xml:space="preserve">SHANUM </t>
  </si>
  <si>
    <t>JL CANDI BIMA NO 15</t>
  </si>
  <si>
    <t xml:space="preserve">MOJOLANGU </t>
  </si>
  <si>
    <t>3573054805200003</t>
  </si>
  <si>
    <t>SHANUM MARWA SHABIRA ACHMAD</t>
  </si>
  <si>
    <t>NAUFAL REGENCY B5 ,SAPTORENGGO-PAKIS</t>
  </si>
  <si>
    <t>JL. JOYO AGUNG NO.57-58, MERJOSARI, KEC. LOWOKWARU, KOTA MALANG, JAWA TIMUR</t>
  </si>
  <si>
    <t>3506175403200002</t>
  </si>
  <si>
    <t>SHAZIA SALIMA HARIRI</t>
  </si>
  <si>
    <t>SHAZIA</t>
  </si>
  <si>
    <t>VILA BUKIT TIDAR A3/702</t>
  </si>
  <si>
    <t>3573051510190006</t>
  </si>
  <si>
    <t>SURYA ADITAMA WICAKSONO</t>
  </si>
  <si>
    <t>JL. SIMPANG AKORDION 75A MALANG</t>
  </si>
  <si>
    <t>TK ISLAM AL-GHAFFAAR</t>
  </si>
  <si>
    <t>PERUMAHAN BUMIASRI SENGKALING, DAU, MALANG</t>
  </si>
  <si>
    <t>3507224804190001</t>
  </si>
  <si>
    <t>VENYA ALMAHYRA MAKOTO</t>
  </si>
  <si>
    <t>VENYA</t>
  </si>
  <si>
    <t>TAMAN KANAN-KANAK ISLAM AL ASY'ARI</t>
  </si>
  <si>
    <t>JL. PATIMURA NO. 15 JUNREJO KOTA BATU</t>
  </si>
  <si>
    <t>3526015403200001</t>
  </si>
  <si>
    <t>YUSFINA SHIDQI ADZKIYA</t>
  </si>
  <si>
    <t>KIYA</t>
  </si>
  <si>
    <t xml:space="preserve">PERUMAHAN THE EMERALD BLOK J. NO 24. JL. LOCARI DUSUN PRECET </t>
  </si>
  <si>
    <t xml:space="preserve">JALAN CANDI PANGGUNG </t>
  </si>
  <si>
    <t>9171022504180001</t>
  </si>
  <si>
    <t>YUSUF AL HIKMAH</t>
  </si>
  <si>
    <t xml:space="preserve">JAYAPURA </t>
  </si>
  <si>
    <t>JALAN ARJUNO K 11</t>
  </si>
  <si>
    <t>CANDIRENGGO</t>
  </si>
  <si>
    <t>JL BATU PERMATA NO.9 TLOGOMAS, MALANG</t>
  </si>
  <si>
    <t>3507220411190001</t>
  </si>
  <si>
    <t>YUSUF IRFAN ATHAFARIZ</t>
  </si>
  <si>
    <t>PERUM OMA CAMPUS BLOK A-13 NO.5, LANDUNGSARI, DAU, MALANG</t>
  </si>
  <si>
    <t>JL. BANDUNG</t>
  </si>
  <si>
    <t>3573014305190004</t>
  </si>
  <si>
    <t>ZASKIA MAKHAYLA RABBINA</t>
  </si>
  <si>
    <t>KHAYLA</t>
  </si>
  <si>
    <t>JL. ZAENAL ZAKSE GG 2 NO.2511</t>
  </si>
  <si>
    <t>RA MIFTAHUL HUDA</t>
  </si>
  <si>
    <t>JL MASJID NO 23 KEC KARANGPLOSO KAB MALANG</t>
  </si>
  <si>
    <t>3271045811190003</t>
  </si>
  <si>
    <t>ZAURA CALIANNA JASMINE</t>
  </si>
  <si>
    <t>ZAURA</t>
  </si>
  <si>
    <t>JL COKROAMINOTO LOWOKSARI NO 354 RT/RW 05/05 NGENEP, KARANGPLOSO KAB. MALANG</t>
  </si>
  <si>
    <t>JL. CANDI PANGGUNG INDAH NO. 1-3, DESA MOJOLANGU, KECAMATAN LOWOKWARU, KOTA MALANG</t>
  </si>
  <si>
    <t>3514086906190001</t>
  </si>
  <si>
    <t>ZEEANA ASEEQA PUTRI WIJAYA</t>
  </si>
  <si>
    <t>ZEE</t>
  </si>
  <si>
    <t>MUTIARA JINGGA RESIDENCE A7</t>
  </si>
  <si>
    <t>ARKANANTA FAHREZA BUDIARTO</t>
  </si>
  <si>
    <t>NAYSILLA RAHMA ALMAHIRA</t>
  </si>
  <si>
    <t>BIAN VITO HAMIZAN</t>
  </si>
  <si>
    <t>RAIDUL AKBAR WIRYA SUYANA</t>
  </si>
  <si>
    <t xml:space="preserve">MUHAMMAD ALVIN HAMIZAN </t>
  </si>
  <si>
    <t>GIOK</t>
  </si>
  <si>
    <t>PIRUS</t>
  </si>
  <si>
    <t>AMETHYST</t>
  </si>
  <si>
    <t>OPAL</t>
  </si>
  <si>
    <t>TOPAZ</t>
  </si>
  <si>
    <t>AQUAMARINE</t>
  </si>
  <si>
    <t>OBSIDIAN</t>
  </si>
  <si>
    <t>ZAMRUD</t>
  </si>
  <si>
    <t>JASPER</t>
  </si>
  <si>
    <t>MALASIT</t>
  </si>
  <si>
    <t>GARNET</t>
  </si>
  <si>
    <t>CITRINE</t>
  </si>
  <si>
    <t>BACAN</t>
  </si>
  <si>
    <t>TOURMALINE</t>
  </si>
  <si>
    <t>PERMATA</t>
  </si>
  <si>
    <t>AGATE</t>
  </si>
  <si>
    <t>AVISA FARZANA GHAISANI</t>
  </si>
  <si>
    <t>085748698868</t>
  </si>
  <si>
    <t>081555951710</t>
  </si>
  <si>
    <t>081252596006</t>
  </si>
  <si>
    <t>085321483355</t>
  </si>
  <si>
    <t>08125977753</t>
  </si>
  <si>
    <t>085198179870</t>
  </si>
  <si>
    <t>081233234696</t>
  </si>
  <si>
    <t>081252536008</t>
  </si>
  <si>
    <t>0341 409910</t>
  </si>
  <si>
    <t>081329628967</t>
  </si>
  <si>
    <t>0341531893</t>
  </si>
  <si>
    <t>082244433392</t>
  </si>
  <si>
    <t>085954459944</t>
  </si>
  <si>
    <t>08976904467</t>
  </si>
  <si>
    <t>081287690480</t>
  </si>
  <si>
    <t>083857954344</t>
  </si>
  <si>
    <t>083837221777</t>
  </si>
  <si>
    <t>082244728214</t>
  </si>
  <si>
    <t>085646323960</t>
  </si>
  <si>
    <t>D-312</t>
  </si>
  <si>
    <t>085881742099</t>
  </si>
  <si>
    <t>081351201580</t>
  </si>
  <si>
    <t>082330911715</t>
  </si>
  <si>
    <t>081249760076</t>
  </si>
  <si>
    <t>089612122833</t>
  </si>
  <si>
    <t>0341-5080596</t>
  </si>
  <si>
    <t>08974721122</t>
  </si>
  <si>
    <t>08125274879</t>
  </si>
  <si>
    <t>082187010904</t>
  </si>
  <si>
    <t>082335233562</t>
  </si>
  <si>
    <t>085933000401</t>
  </si>
  <si>
    <t>082175966196</t>
  </si>
  <si>
    <t>082155618498</t>
  </si>
  <si>
    <t>085233208171</t>
  </si>
  <si>
    <t>082141709659</t>
  </si>
  <si>
    <t>085132479130</t>
  </si>
  <si>
    <t>0341497939</t>
  </si>
  <si>
    <t>0000000</t>
  </si>
  <si>
    <t>081213835286</t>
  </si>
  <si>
    <t>0341 496858</t>
  </si>
  <si>
    <t>081318112656</t>
  </si>
  <si>
    <t>081333555026</t>
  </si>
  <si>
    <t>Tidak Ada</t>
  </si>
  <si>
    <t>081217287945</t>
  </si>
  <si>
    <t>085755102425/085850991700</t>
  </si>
  <si>
    <t>081248717800</t>
  </si>
  <si>
    <t>085646742160</t>
  </si>
  <si>
    <t>08113771710</t>
  </si>
  <si>
    <t>081945577735</t>
  </si>
  <si>
    <t>085784005656</t>
  </si>
  <si>
    <t>081288319704</t>
  </si>
  <si>
    <t>085156428643</t>
  </si>
  <si>
    <t>081333447914</t>
  </si>
  <si>
    <t>085345812749</t>
  </si>
  <si>
    <t>085198179880</t>
  </si>
  <si>
    <t>08123369298</t>
  </si>
  <si>
    <t>082230111110</t>
  </si>
  <si>
    <t>085215940136</t>
  </si>
  <si>
    <t>081334379831</t>
  </si>
  <si>
    <t>081331551552</t>
  </si>
  <si>
    <t>085259587748</t>
  </si>
  <si>
    <t>08975554549</t>
  </si>
  <si>
    <t>0812876904780</t>
  </si>
  <si>
    <t>081334997792</t>
  </si>
  <si>
    <t>085746730392</t>
  </si>
  <si>
    <t>081332499887 / 083837221777</t>
  </si>
  <si>
    <t>085733440509</t>
  </si>
  <si>
    <t>085234393930</t>
  </si>
  <si>
    <t>082233722503</t>
  </si>
  <si>
    <t>081336469821</t>
  </si>
  <si>
    <t>081333212370</t>
  </si>
  <si>
    <t>083831568320</t>
  </si>
  <si>
    <t>082245459879</t>
  </si>
  <si>
    <t>081230915187</t>
  </si>
  <si>
    <t>081286466002/085648873596</t>
  </si>
  <si>
    <t>081233088233</t>
  </si>
  <si>
    <t>082139720121</t>
  </si>
  <si>
    <t>081459098831</t>
  </si>
  <si>
    <t>087759636340</t>
  </si>
  <si>
    <t>082221771507</t>
  </si>
  <si>
    <t>+62 838-4893-0518</t>
  </si>
  <si>
    <t>085933000402</t>
  </si>
  <si>
    <t>085334106150</t>
  </si>
  <si>
    <t>082131164014</t>
  </si>
  <si>
    <t>081233988464</t>
  </si>
  <si>
    <t>081617020201</t>
  </si>
  <si>
    <t>082189672626</t>
  </si>
  <si>
    <t>082165685961</t>
  </si>
  <si>
    <t>081333118693</t>
  </si>
  <si>
    <t>081252704021</t>
  </si>
  <si>
    <t>081333191599</t>
  </si>
  <si>
    <t>081334480834</t>
  </si>
  <si>
    <t>085643871891</t>
  </si>
  <si>
    <t>08991060290</t>
  </si>
  <si>
    <t>089675939704</t>
  </si>
  <si>
    <t>085815107053</t>
  </si>
  <si>
    <t>085755102425</t>
  </si>
  <si>
    <t>082143099898</t>
  </si>
  <si>
    <t>089738331974</t>
  </si>
  <si>
    <t>082244440442</t>
  </si>
  <si>
    <t>Satu</t>
  </si>
  <si>
    <t>Abqori Kenzie Ramadhan</t>
  </si>
  <si>
    <t>Ke 2</t>
  </si>
  <si>
    <t xml:space="preserve">I </t>
  </si>
  <si>
    <t>Anak kedua</t>
  </si>
  <si>
    <t>Ada kakak kandung jadi jumlah saudara ada satu</t>
  </si>
  <si>
    <t>dua</t>
  </si>
  <si>
    <t>satu</t>
  </si>
  <si>
    <t>JAWA/INDONESIA</t>
  </si>
  <si>
    <t>CAMPUR</t>
  </si>
  <si>
    <t>JAWA / INDONEISA</t>
  </si>
  <si>
    <t>INDONESIA- JAWA</t>
  </si>
  <si>
    <t>20nkg</t>
  </si>
  <si>
    <t>21,7</t>
  </si>
  <si>
    <t>16.4 kg</t>
  </si>
  <si>
    <t>20,7</t>
  </si>
  <si>
    <t xml:space="preserve">kurleb 70 </t>
  </si>
  <si>
    <t>25 Kg</t>
  </si>
  <si>
    <t>16.5kg</t>
  </si>
  <si>
    <t>114cm</t>
  </si>
  <si>
    <t>111 cmm</t>
  </si>
  <si>
    <t>13 kg</t>
  </si>
  <si>
    <t>25,1kg</t>
  </si>
  <si>
    <t>117,5 cm</t>
  </si>
  <si>
    <t>18,7</t>
  </si>
  <si>
    <t xml:space="preserve">18,6 kg </t>
  </si>
  <si>
    <t>21,6 kg</t>
  </si>
  <si>
    <t>116,5 cm</t>
  </si>
  <si>
    <t>15.8 kg</t>
  </si>
  <si>
    <t>DEMAM, BATUK, PILEK, ASMA/SESAK</t>
  </si>
  <si>
    <t>Batuk dengan frekuensi jarang</t>
  </si>
  <si>
    <t>Jarang sakit</t>
  </si>
  <si>
    <t>DEMAM, BATUK, PILEK, Radang dan amandel</t>
  </si>
  <si>
    <t>BATUK, Pilek</t>
  </si>
  <si>
    <t xml:space="preserve">BATUK, PILEK, Asma </t>
  </si>
  <si>
    <t>Ada riwayat sakit lambung dan types</t>
  </si>
  <si>
    <t>DEMAM, BATUK, PILEK, Tifoid, Pneumonia</t>
  </si>
  <si>
    <t>batuk pilek tapi jarang</t>
  </si>
  <si>
    <t>BATUK PILEK (JARANG)</t>
  </si>
  <si>
    <t>BATUK, PILEK, ALERGI</t>
  </si>
  <si>
    <t>Bidur</t>
  </si>
  <si>
    <t xml:space="preserve">Radang Tenggorokan </t>
  </si>
  <si>
    <t>Wahyu agung sasmito</t>
  </si>
  <si>
    <t>R ARIEF RISZALDI, ST</t>
  </si>
  <si>
    <t>Anshar affandy S.T</t>
  </si>
  <si>
    <t>Ahmad Fahmi S.T.,M.T.,Ph.D</t>
  </si>
  <si>
    <t>Muhammad Iqbal Akbar, S.ST., M.MT.</t>
  </si>
  <si>
    <t>FAHMI EFENDI YUSUF</t>
  </si>
  <si>
    <t>Elfa Rizal Dwi Laksono, S.Ap</t>
  </si>
  <si>
    <t>M Nashiruddin Abubakar S.T</t>
  </si>
  <si>
    <t>Andika Risma Pratama, A.Md</t>
  </si>
  <si>
    <t>Ferry Andi Susanto A,Md</t>
  </si>
  <si>
    <t>JAKA SUWORO, S.H</t>
  </si>
  <si>
    <t>Rheza Febrian Putranto, S.T</t>
  </si>
  <si>
    <t xml:space="preserve">Kuswanto ST </t>
  </si>
  <si>
    <t xml:space="preserve">dr. KHARISMA RAMADHAN AKBAR </t>
  </si>
  <si>
    <t>Dimas Yusuf Priyo Utomo, S.T.</t>
  </si>
  <si>
    <t xml:space="preserve">Moch Alif Fachrudin </t>
  </si>
  <si>
    <t>Arief Setiawan</t>
  </si>
  <si>
    <t>Bima Aziz Muttaqi S.AP</t>
  </si>
  <si>
    <t>Abdulloh Charis</t>
  </si>
  <si>
    <t>Drh. Awang Yoga Pratama</t>
  </si>
  <si>
    <t>Apt. Mirza Farisi Edria, S. Farm</t>
  </si>
  <si>
    <t>Alan Sigit Fibrianto, S.Pd., M.Sos.</t>
  </si>
  <si>
    <t>Dr. Ari Wibowo Kurniawan, M.Pd.</t>
  </si>
  <si>
    <t>A Hendik Purbaya Mahadi Putra, SE., MM.</t>
  </si>
  <si>
    <t>Mochamad Rizka Nurhidayah, S.AP</t>
  </si>
  <si>
    <t>Arik Setyo Nugroho, ST</t>
  </si>
  <si>
    <t>AKIDAH FITRAH, S.T, M.M, CGAA</t>
  </si>
  <si>
    <t>Wisnu Fitri Praditama</t>
  </si>
  <si>
    <t xml:space="preserve">Yhoga Rizaldhi </t>
  </si>
  <si>
    <t>Dr.dr. Alfian Wika Cahyono, M.Biomed</t>
  </si>
  <si>
    <t>AGUNG ADHI PERMANA SP</t>
  </si>
  <si>
    <t>Rio Aryan Hidayatullah ST</t>
  </si>
  <si>
    <t xml:space="preserve">ARIS YUDI SETYAWAN </t>
  </si>
  <si>
    <t xml:space="preserve">JOURAST SYAHRIANDY RIFKY </t>
  </si>
  <si>
    <t>Dr. Eko Wiyono SH., MHum</t>
  </si>
  <si>
    <t>Deby Putra Bahrodin S.Si</t>
  </si>
  <si>
    <t>Eka Putra Sultana</t>
  </si>
  <si>
    <t>Arif Furqon</t>
  </si>
  <si>
    <t>ANDY PRABOWO</t>
  </si>
  <si>
    <t>M. Taufik Akbar, S.T., M.M.</t>
  </si>
  <si>
    <t>MOKHAMAD YUSUF EFFENDI</t>
  </si>
  <si>
    <t>Sabdha Agung Trilaksana</t>
  </si>
  <si>
    <t>Sulianto Rusmanadi</t>
  </si>
  <si>
    <t>Gusti Muhammad Bahrudin</t>
  </si>
  <si>
    <t>RENDRA PRASETYO</t>
  </si>
  <si>
    <t>Mochamad Rifki A. Md. AB., SE.</t>
  </si>
  <si>
    <t>Kusmaryanto, SH</t>
  </si>
  <si>
    <t>Salman Al Farizi Supriyadi</t>
  </si>
  <si>
    <t>dr. DOMY PRADANA PUTRA, Sp.OT</t>
  </si>
  <si>
    <t>Abdul Mundlir, S.pd ( sudah bercerai)</t>
  </si>
  <si>
    <t>ACHMAD BAIDHOWI</t>
  </si>
  <si>
    <t>Muhammad fatkhul arif S.H.,M.kn</t>
  </si>
  <si>
    <t>Nur Syaedi, STP</t>
  </si>
  <si>
    <t>Andrees wahyu dinata S.t</t>
  </si>
  <si>
    <t>ALFIAN ILHAM HILMI (S.Ars)</t>
  </si>
  <si>
    <t>ROFIQ AMRON HANAFI, S.T</t>
  </si>
  <si>
    <t>ARIEF RAKHMAD YASIN, S.T.</t>
  </si>
  <si>
    <t>Muhammad muflih</t>
  </si>
  <si>
    <t>Ali abdullah sobari salim tarsum S.E</t>
  </si>
  <si>
    <t>SYAIFUL RAHMAN</t>
  </si>
  <si>
    <t>RIZKI DHIA PUTRA, Amd.</t>
  </si>
  <si>
    <t>dr Dedy Irawan SpJP (K)</t>
  </si>
  <si>
    <t>Muhammad Hatta Pratama</t>
  </si>
  <si>
    <t>SAIFUL ANAM NASRULLAH</t>
  </si>
  <si>
    <t>Syahroni Hamsyah</t>
  </si>
  <si>
    <t>Yopi Iswanto,SE</t>
  </si>
  <si>
    <t>apt. Asri Rachmadi, S.Farm.</t>
  </si>
  <si>
    <t xml:space="preserve">Sumarto </t>
  </si>
  <si>
    <t>Hudan Pandu Arsa, ST</t>
  </si>
  <si>
    <t>Dwi Budi Santoso, ST</t>
  </si>
  <si>
    <t>Risas Wahyudi, S.Pd</t>
  </si>
  <si>
    <t>MOCH. IQBAL NURRIZZA, S.Pd</t>
  </si>
  <si>
    <t>Achmad Ali Mustofa</t>
  </si>
  <si>
    <t>Mochammad Hannats Hanafi Ichsan, S.ST., M.T.</t>
  </si>
  <si>
    <t>AHMAD FIRDAUS NIZARUDIN, S.Hut.</t>
  </si>
  <si>
    <t>Musahwi,S.E</t>
  </si>
  <si>
    <t xml:space="preserve">DEDY INDARSYAH, SP. </t>
  </si>
  <si>
    <t>Ardy Noviawan Putra, A.Md., S.Sos</t>
  </si>
  <si>
    <t xml:space="preserve">Yudi afrilianto </t>
  </si>
  <si>
    <t>Muhammad Bintang Gemintang Sulaiman, ST., M.Sc.</t>
  </si>
  <si>
    <t>Dony Hermanto, SAB</t>
  </si>
  <si>
    <t>Fery Eriyanto, SH</t>
  </si>
  <si>
    <t>dr. Rangga Pragasta SS, Sp.And</t>
  </si>
  <si>
    <t>Septian Taufan Widayanto</t>
  </si>
  <si>
    <t>Revan Arwisi Pratama, ST, MMT</t>
  </si>
  <si>
    <t>dr. Rizki Rahmadi Hutomo, Sp.DVE.</t>
  </si>
  <si>
    <t>ADITYA MAHATAMTAMA ARYA MAHESA, S.Ikom</t>
  </si>
  <si>
    <t>Akhmad Amirudin, S.AP, M.AP, M.Pol.sc, P.hD.</t>
  </si>
  <si>
    <t>RONDISE SYIFA DIKSA</t>
  </si>
  <si>
    <t>Hyan Tandra Pristiwanto, A.Md.T</t>
  </si>
  <si>
    <t xml:space="preserve">Achmad Frediyanto </t>
  </si>
  <si>
    <t>Achmad Yani</t>
  </si>
  <si>
    <t>Fajar Rohman Hariri, M. Kom</t>
  </si>
  <si>
    <t>AGUS WICAKSONO S1</t>
  </si>
  <si>
    <t>Muhammad Fauzil Haqqi, S.Kom.</t>
  </si>
  <si>
    <t xml:space="preserve">Dr. ZAMRONI, S.Psi., M. Pd. </t>
  </si>
  <si>
    <t>BIRALI BASUKI</t>
  </si>
  <si>
    <t>Aldrin Yusuf Firmansyah, ST, MT</t>
  </si>
  <si>
    <t>Imam Turmudzi</t>
  </si>
  <si>
    <t>Hasannudin, S. T. P</t>
  </si>
  <si>
    <t>Nofian Wijaya, S.Pd.,M.H.</t>
  </si>
  <si>
    <t>3507302708940002</t>
  </si>
  <si>
    <t>3573020206900001</t>
  </si>
  <si>
    <t>3573053107730001</t>
  </si>
  <si>
    <t>3507230805890001</t>
  </si>
  <si>
    <t>3573052601890001</t>
  </si>
  <si>
    <t>3276020508910001</t>
  </si>
  <si>
    <t>35072221002970001</t>
  </si>
  <si>
    <t>3573010102830002</t>
  </si>
  <si>
    <t>3507242302930001</t>
  </si>
  <si>
    <t>3524210301840001</t>
  </si>
  <si>
    <t>3506180503910001</t>
  </si>
  <si>
    <t>3525100708900001</t>
  </si>
  <si>
    <t>3312110402930002</t>
  </si>
  <si>
    <t>3507221109910003</t>
  </si>
  <si>
    <t>3509070402850002</t>
  </si>
  <si>
    <t>3573050101840004</t>
  </si>
  <si>
    <t>3579030705890002</t>
  </si>
  <si>
    <t>3523191201890002</t>
  </si>
  <si>
    <t>9202070401920001</t>
  </si>
  <si>
    <t>3574010111920001</t>
  </si>
  <si>
    <t>3524120704970001</t>
  </si>
  <si>
    <t>3175070103930005</t>
  </si>
  <si>
    <t>3573010202640008</t>
  </si>
  <si>
    <t>3507011304920001</t>
  </si>
  <si>
    <t>3507243006970003</t>
  </si>
  <si>
    <t>3573052501880002</t>
  </si>
  <si>
    <t>3507122109910001</t>
  </si>
  <si>
    <t>3507040910900016</t>
  </si>
  <si>
    <t>3573031203760001</t>
  </si>
  <si>
    <t>3575021208900002</t>
  </si>
  <si>
    <t>3573022901860001</t>
  </si>
  <si>
    <t>3508051003900008</t>
  </si>
  <si>
    <t>3573032410890003</t>
  </si>
  <si>
    <t>3523171805900001</t>
  </si>
  <si>
    <t>3517122712860002</t>
  </si>
  <si>
    <t>6474030905910002</t>
  </si>
  <si>
    <t>3573051206800009</t>
  </si>
  <si>
    <t>3374100104930001</t>
  </si>
  <si>
    <t>3524033009870001</t>
  </si>
  <si>
    <t>3573050906850003</t>
  </si>
  <si>
    <t>3507232608950001</t>
  </si>
  <si>
    <t>3376013108920002</t>
  </si>
  <si>
    <t>3529012007860006</t>
  </si>
  <si>
    <t>3515180911920007</t>
  </si>
  <si>
    <t>3515172412830001</t>
  </si>
  <si>
    <t>3573052002870004</t>
  </si>
  <si>
    <t>3573012205870001</t>
  </si>
  <si>
    <t>3573011304930003</t>
  </si>
  <si>
    <t>3503061303850003</t>
  </si>
  <si>
    <t>3515093005870001</t>
  </si>
  <si>
    <t>3575032407880001</t>
  </si>
  <si>
    <t>3317010303890002</t>
  </si>
  <si>
    <t>3529201408880001</t>
  </si>
  <si>
    <t>3510102603310002</t>
  </si>
  <si>
    <t>3578210311890001</t>
  </si>
  <si>
    <t>3507030504810005</t>
  </si>
  <si>
    <t>3516162305930006</t>
  </si>
  <si>
    <t>3573052207790006</t>
  </si>
  <si>
    <t>5204080608870003</t>
  </si>
  <si>
    <t>3510160509880001</t>
  </si>
  <si>
    <t>3512081110910003</t>
  </si>
  <si>
    <t>3573050810910006</t>
  </si>
  <si>
    <t>3573042608900004</t>
  </si>
  <si>
    <t>3516122604870001</t>
  </si>
  <si>
    <t>3308180703890006</t>
  </si>
  <si>
    <t>3507090602900002</t>
  </si>
  <si>
    <t>3573052802870002</t>
  </si>
  <si>
    <t>3507102608900002</t>
  </si>
  <si>
    <t>3573051008810016</t>
  </si>
  <si>
    <t>3524150610870002</t>
  </si>
  <si>
    <t>9171012002820007</t>
  </si>
  <si>
    <t>3514081811920001</t>
  </si>
  <si>
    <t>SILA, BIMA</t>
  </si>
  <si>
    <t>MANOKWARI (PAPUA BARAT)</t>
  </si>
  <si>
    <t xml:space="preserve">JEDDAH </t>
  </si>
  <si>
    <t>BENGKULU</t>
  </si>
  <si>
    <t xml:space="preserve">TRENGGALEK </t>
  </si>
  <si>
    <t>REMBANG</t>
  </si>
  <si>
    <t>SUMBAWA BESAR</t>
  </si>
  <si>
    <t>+62 856-0753-8257</t>
  </si>
  <si>
    <t>085645456390</t>
  </si>
  <si>
    <t>08123319497</t>
  </si>
  <si>
    <t>081233663741</t>
  </si>
  <si>
    <t>082232835536</t>
  </si>
  <si>
    <t>085965913745</t>
  </si>
  <si>
    <t>081357105719</t>
  </si>
  <si>
    <t>081217399685</t>
  </si>
  <si>
    <t>085648002733</t>
  </si>
  <si>
    <t>081333221110</t>
  </si>
  <si>
    <t>082231731777</t>
  </si>
  <si>
    <t>082337755757</t>
  </si>
  <si>
    <t>085791811634</t>
  </si>
  <si>
    <t>0895375478181</t>
  </si>
  <si>
    <t>082294109312</t>
  </si>
  <si>
    <t>081326877555</t>
  </si>
  <si>
    <t>085646300333</t>
  </si>
  <si>
    <t>082232263062</t>
  </si>
  <si>
    <t>081332499887</t>
  </si>
  <si>
    <t>082228682747</t>
  </si>
  <si>
    <t>082112233235</t>
  </si>
  <si>
    <t>082157172140</t>
  </si>
  <si>
    <t>081333713381</t>
  </si>
  <si>
    <t>081333123679</t>
  </si>
  <si>
    <t>081332682212</t>
  </si>
  <si>
    <t>08563483597</t>
  </si>
  <si>
    <t>082132682636</t>
  </si>
  <si>
    <t>082245459870</t>
  </si>
  <si>
    <t>081286466002</t>
  </si>
  <si>
    <t>081256985000</t>
  </si>
  <si>
    <t>081236950253</t>
  </si>
  <si>
    <t>081459098830</t>
  </si>
  <si>
    <t>081944939381</t>
  </si>
  <si>
    <t>081224774659</t>
  </si>
  <si>
    <t>087868515700</t>
  </si>
  <si>
    <t>08563609992</t>
  </si>
  <si>
    <t>081335592211</t>
  </si>
  <si>
    <t>081556667222</t>
  </si>
  <si>
    <t>081249688025</t>
  </si>
  <si>
    <t>082245576698</t>
  </si>
  <si>
    <t>081237976243</t>
  </si>
  <si>
    <t>082110002429</t>
  </si>
  <si>
    <t>081333330050</t>
  </si>
  <si>
    <t>081336489268</t>
  </si>
  <si>
    <t>085741805789</t>
  </si>
  <si>
    <t>085649594041</t>
  </si>
  <si>
    <t>081336384117</t>
  </si>
  <si>
    <t>081232567488</t>
  </si>
  <si>
    <t>082244440443</t>
  </si>
  <si>
    <t>PENGUSAHA</t>
  </si>
  <si>
    <t>PNS (DOSEN)</t>
  </si>
  <si>
    <t>MASTER MARINE</t>
  </si>
  <si>
    <t>KARYAWAN  SWASTA</t>
  </si>
  <si>
    <t>DOKTER DAN WIRASWASTA</t>
  </si>
  <si>
    <t>SOFTWARE HOUSE AND TELCO</t>
  </si>
  <si>
    <t>DOKTER/DOSEN</t>
  </si>
  <si>
    <t>BAWASLU</t>
  </si>
  <si>
    <t>NOTARIS/PPAT</t>
  </si>
  <si>
    <t>ASN DJKI</t>
  </si>
  <si>
    <t>PNS / APOTEKER</t>
  </si>
  <si>
    <t>DOSEN PNS</t>
  </si>
  <si>
    <t>DOSEN / DOKTER</t>
  </si>
  <si>
    <t>DOSEN DAN PENGUSAHA</t>
  </si>
  <si>
    <t>ENGINEER</t>
  </si>
  <si>
    <t>DIREKTUR PT. PERSIBA BERIMAN</t>
  </si>
  <si>
    <t>PT BARRA PANDU JAYA</t>
  </si>
  <si>
    <t>NA</t>
  </si>
  <si>
    <t>PLN NUSANTARA POWER</t>
  </si>
  <si>
    <t>UNIVERSITAS NEGERI MALNG</t>
  </si>
  <si>
    <t>PT ELECTRINDO INTI NUSANTARA</t>
  </si>
  <si>
    <t>PT AMCOR SPECIALTY CARTONS INDONESIA</t>
  </si>
  <si>
    <t>PT TUMBUH BERSAMA NANO</t>
  </si>
  <si>
    <t>PT. SAPTA INDERA SEJATI</t>
  </si>
  <si>
    <t>UD. PUTERA DASRIM</t>
  </si>
  <si>
    <t>PT. DELTA UTRACON SYNERGY</t>
  </si>
  <si>
    <t>RESIDEN UNAIR</t>
  </si>
  <si>
    <t>PSA MARINE</t>
  </si>
  <si>
    <t>ZEA GROSIR</t>
  </si>
  <si>
    <t>PT DIRI ARTHA SEHAT</t>
  </si>
  <si>
    <t>PT. ANDROMEDA GROUP</t>
  </si>
  <si>
    <t>UNIVERSITAS NEGERI MALANG (UM)</t>
  </si>
  <si>
    <t>STAFF ALHI DPR RI</t>
  </si>
  <si>
    <t xml:space="preserve">VENA ENERGY  INDONESIA </t>
  </si>
  <si>
    <t>RS WARON HOSPITAL &amp; WIKACELL</t>
  </si>
  <si>
    <t>MANDIRI</t>
  </si>
  <si>
    <t>PT. MOTASA INDONESIA</t>
  </si>
  <si>
    <t>LEGIS PRIORI LAW FIRM</t>
  </si>
  <si>
    <t xml:space="preserve">TRANSLATIONLINKER </t>
  </si>
  <si>
    <t>PT. ASIANET MEDIA TEKNOLOGI</t>
  </si>
  <si>
    <t xml:space="preserve">UNIVERSITAS GAJAYANA </t>
  </si>
  <si>
    <t>PT OTSUKA INDONESIA</t>
  </si>
  <si>
    <t>HEND’S BAKERY</t>
  </si>
  <si>
    <t>J-99 CORP</t>
  </si>
  <si>
    <t>TOKO EMAS BINTANG MAS 3</t>
  </si>
  <si>
    <t>PT. PP (PERSERO)</t>
  </si>
  <si>
    <t>UTAMA MOTOR</t>
  </si>
  <si>
    <t>KALIMAYA STORE</t>
  </si>
  <si>
    <t>IBRA CREATIVE STUDIO</t>
  </si>
  <si>
    <t>FAKULTAS KEDOKTERAN UNIVERSITAS BRAWIJAYA MALANG</t>
  </si>
  <si>
    <t>KANTOR NOTARIS/PPAT MUHAMMAD FATKHUL ARIF S.H.,M.KN</t>
  </si>
  <si>
    <t>PHE WMO</t>
  </si>
  <si>
    <t>FREELANCE DI RUMAH</t>
  </si>
  <si>
    <t>PT. SO GOOD FOOD</t>
  </si>
  <si>
    <t>TOKO BUAH MAHER</t>
  </si>
  <si>
    <t xml:space="preserve">TRAVEL UMRAH INDO </t>
  </si>
  <si>
    <t>PT. PRISMA GLOBAL</t>
  </si>
  <si>
    <t>RSU UNIVERSITAS MUHAMMADIYAH MALANG</t>
  </si>
  <si>
    <t>PT. DWIKARYA INDONESIA MANDIRI</t>
  </si>
  <si>
    <t>DJKI</t>
  </si>
  <si>
    <t>PUSKESMAS PUJON</t>
  </si>
  <si>
    <t>KJSB HUDAN PANDU ARSA DAN REKAN</t>
  </si>
  <si>
    <t>PT. GUDANG GARAM</t>
  </si>
  <si>
    <t>SURYA DERMATO MEDICA LAB.</t>
  </si>
  <si>
    <t>KIMYA</t>
  </si>
  <si>
    <t>DEPARTEMEN INFORMATIKA, FAKULTAS ILMU KOMPUTER, UNIVERSITAS BRAWIJAYA</t>
  </si>
  <si>
    <t>TOKO ANEKA SPORT MALANG</t>
  </si>
  <si>
    <t>PTPN I REGIONAL 5</t>
  </si>
  <si>
    <t>CV PARAS PESONA ABADI</t>
  </si>
  <si>
    <t>ECO MODE GARAGE</t>
  </si>
  <si>
    <t>INDUSTRIAL TECHNOLOGY RESEARCH INSTITUTE TAIWAN</t>
  </si>
  <si>
    <t>KPP PRATAMA TOLI TOLI</t>
  </si>
  <si>
    <t>PT. DAPUR RUMAH ORTU</t>
  </si>
  <si>
    <t>RSU WAJAK HUSADA</t>
  </si>
  <si>
    <t>PT LOGAM ASIR</t>
  </si>
  <si>
    <t>PT ASTRA GRAPHIA TBK</t>
  </si>
  <si>
    <t>HUAWEI INDONESIA</t>
  </si>
  <si>
    <t xml:space="preserve">BAT /PT BENTOEL </t>
  </si>
  <si>
    <t>PT LOTTE SHOPPING INDONESIA</t>
  </si>
  <si>
    <t>USAHA SENDIRI</t>
  </si>
  <si>
    <t>UNIVERSITAS ISLAM NEGERI (UIN) MALANG</t>
  </si>
  <si>
    <t>PERSIBA BERIMAN</t>
  </si>
  <si>
    <t>BRMPTAS MALANG</t>
  </si>
  <si>
    <t>SMP NEGERI 1 PURWOSARI</t>
  </si>
  <si>
    <t>JL LONCAT INDAH KAV A 14 TASIKMADU MALANG</t>
  </si>
  <si>
    <t>CANDI MENDUT BARAT VI A 5C MALANG</t>
  </si>
  <si>
    <t xml:space="preserve">JALAN KETINTANG BARU NO 11 KETINTANG, KEC. GAYUNGAN, SURABAYA, JAWA TIMUR </t>
  </si>
  <si>
    <t>(031) 8283180</t>
  </si>
  <si>
    <t>0341 551312</t>
  </si>
  <si>
    <t>JL. CAKRAWALA NO.5, SUMBERSARI, KEC. LOWOKWARU, KOTA MALANG, JAWA TIMUR 65145</t>
  </si>
  <si>
    <t>PERUM GRAHA KENCANA RAYA NO 26-28 BALEARJOSARI</t>
  </si>
  <si>
    <t>MAYAPADA TOWER 1, JL. JENDERAL SUDIRMAN NO.KAV. 28 20TH FLOOR, SUITE 03A, KARET KUNINGAN, KECAMATAN SETIABUDI, KOTA JAKARTA SELATAN, DAERAH KHUSUS IBUKOTA JAKARTA 12920</t>
  </si>
  <si>
    <t>GD. GRAHA SAPTAINDRA, JL. TB. SIMATUPANG KAV. 18, CILANDAK BARAT, JAKARTA SELATAN, DKI JAKARTA 12430</t>
  </si>
  <si>
    <t>JL. RAYA CANDI II NO.251</t>
  </si>
  <si>
    <t>JL JAKSA AGUNG SUPRAPTO NO 19 KOTA MALANG</t>
  </si>
  <si>
    <t>GD. WISMA RITRA, JI. BUNCIT RAYA NO.6 LT.2, RT.1/RW.9,
KALIBATA, KEC. PANCORAN, KOTA JAKARTA SELATAN, DAERAH KHUSUS IBUKOTA
JAKARTA 12740</t>
  </si>
  <si>
    <t>(021) 7970827</t>
  </si>
  <si>
    <t xml:space="preserve">tidak ada </t>
  </si>
  <si>
    <t xml:space="preserve">RS SOETOMO SURABAYA </t>
  </si>
  <si>
    <t>THE MANHATTAN SQUARE, MID TOWER 7TH FLOOR, UNIT G, JI T.B. SIMATUPANG KAV. 1S, CILANDAK TIMUR, JAKARTA 12560</t>
  </si>
  <si>
    <t>02178843025</t>
  </si>
  <si>
    <t>JL. SIMPANG DANAU LIMBOTO TIMUR 2 A5 H21</t>
  </si>
  <si>
    <t>JLN. KEBON JERUK BARU JAKARTA BARAT</t>
  </si>
  <si>
    <t xml:space="preserve">JL. CILIWUNG NO.74C, DARMO, KEC. WONOKROMO, SURABAYA, JAWA TIMUR 60241
</t>
  </si>
  <si>
    <t>(031) 58282876</t>
  </si>
  <si>
    <t xml:space="preserve">JL JAKSA AGUNG SUPRAPTO NO 2 </t>
  </si>
  <si>
    <t>JL. SEMARANG, NO. 05, KOTA MALANG</t>
  </si>
  <si>
    <t>JALAN SEMARANG NO. 5, KOTA MALANG</t>
  </si>
  <si>
    <t>JL. GATOT SUBROTO NO.1, RT.1/RW.3, SENAYAN, KECAMATAN TANAH ABANG, KOTA JAKARTA PUSAT, DAERAH KHUSUS IBUKOTA JAKARTA 10270</t>
  </si>
  <si>
    <t>PACIFIC CENTURY PLACE 36TH, SCBD LOT.10, JL. JEND. SUDIRMAN KAV. 52-53, JAKARTA SELATAN 12190</t>
  </si>
  <si>
    <t>021 5084 7830</t>
  </si>
  <si>
    <t>TATA USAHA FAKULTAS EKONOMI DAN BISNIS UM, JL. SEMARANG 5 MALANG</t>
  </si>
  <si>
    <t>0341-552888</t>
  </si>
  <si>
    <t>PLN ULTG JEMBER JL. TEUKU UMAR NO.41, TEGAL BESAR WETAN, TEGAL BESAR, KEC. KALIWATES, KABUPATEN JEMBER, JAWA TIMUR 68131</t>
  </si>
  <si>
    <t>(0331) 338635</t>
  </si>
  <si>
    <t>JALAN RAYA PANGLEGUR PAMEKASAN MADURA</t>
  </si>
  <si>
    <t>JLN SOEKARNO HATTA D505 MALANG</t>
  </si>
  <si>
    <t>JALAN ALTERNATIV BATU MALANG</t>
  </si>
  <si>
    <t>JL KH YUSUF</t>
  </si>
  <si>
    <t>CIPUTRA WORLD OFFICE TOWER, JL. MAYJEN SUNGKONO SURABAYA</t>
  </si>
  <si>
    <t>KELAPA GADING, JAKARTA UTARA</t>
  </si>
  <si>
    <t>JALAN BUNGA COKLAT NO.4 KAV.1 KELURAHAN TULUSREJO KECAMATAN LOWOKWARU KOTA MALANG 65141</t>
  </si>
  <si>
    <t>JL. MERTOJOYO BLOK L MERJOSARI MALANG</t>
  </si>
  <si>
    <t>0341 - 562411</t>
  </si>
  <si>
    <t>JL SUMBER WARAS NO. 25, KARANG SONO, KALIREJO , KEC. LAWANG, KAB. MALANG, JAWA TIMUR 65216</t>
  </si>
  <si>
    <t>0341-426644</t>
  </si>
  <si>
    <t>JALAN I.R RAIS GG VII NO.04, RT 001/003, TANJUNGREJO, SUKUN, MALANG, 65146</t>
  </si>
  <si>
    <t>081217269842</t>
  </si>
  <si>
    <t>JL. RAYA PASAR MINGGU NO.9, PANCORAN, JAKARTA SELATAN.</t>
  </si>
  <si>
    <t>PASAR SITIARJO, DESA SITIARJO, RT 24 RW 05, KEC. SUMBERMANJING WETAN, KAB. MALANG</t>
  </si>
  <si>
    <t>082230045686</t>
  </si>
  <si>
    <t>PLAZA PP - WISMA SUBIYANTO, JALAN TB SIMATUPANG NO. 57, PASAR REBO, JAKARTA 13760</t>
  </si>
  <si>
    <t>JALAN ANGGREK 3 DS. BAMBAN KEL. ASRIKATON KEC. PAKIS KAB. MALANG</t>
  </si>
  <si>
    <t>082139111193</t>
  </si>
  <si>
    <t>JL KALIMAYA NO.5A</t>
  </si>
  <si>
    <t>PERUMAHAN BUMI MERANTI WANGI BLOK M-3 RT 02 RW 13 PANDANWANGI, BLIMBING, KOTA MALANG</t>
  </si>
  <si>
    <t>JL VETERAN KETAWANGGEDE LOWOKWARU MALANG 65145</t>
  </si>
  <si>
    <t>JL. PRAMUKA NO. 5 SIDOREJO, KECAMATAN TUBAN, KABUPATEN TUBAN</t>
  </si>
  <si>
    <t>(0356) 8833708</t>
  </si>
  <si>
    <t>JL. PASAR WISATA KEPUHARJO</t>
  </si>
  <si>
    <t>JLN CILIWUNG NO 8</t>
  </si>
  <si>
    <t>JL. RAYA PASURUAN - MALANG KM 9.5, TEMBERO, KEJAYAN, PASURUAN, JAWA TIMUR 67172</t>
  </si>
  <si>
    <t>JL.ALAM HIJAU KAV.B1 BANJARARUM SINGOSARI</t>
  </si>
  <si>
    <t>JL. TLOGO INDAH NO. 41 C RT 006 RW 001 KELURAHAN TLOGOMAS KECAMATAN LOWOKWARU KOTA MALANG</t>
  </si>
  <si>
    <t>RUKO PD MASPION, JLN PD MASPION NO 7, PEPELEGI - WARU - SIDOARJO</t>
  </si>
  <si>
    <t>KASIN AMPELDENTO KARANGPLOSO RT 19 RW 07 MALANG</t>
  </si>
  <si>
    <t xml:space="preserve">RUKO PUNCAK BOROBUDUR MEGAH KAV 16 JLN SOEKARNO HATTA, RT 7/IV , MALANG JAWA TIMUR </t>
  </si>
  <si>
    <t>KANTOR BRI UNIT PACET JL KARTINI NO 1 PACET BARAT KEC PACET KAB MOJOKERTO</t>
  </si>
  <si>
    <t>DELTA TAMA V NO. 30 WARU SIDOARJO</t>
  </si>
  <si>
    <t>082131324881</t>
  </si>
  <si>
    <t>JL. RAYA TLOGOMAS NO 45 MALANG</t>
  </si>
  <si>
    <t>0341-561666</t>
  </si>
  <si>
    <t xml:space="preserve">JL. DANAU SENTANI </t>
  </si>
  <si>
    <t xml:space="preserve">JL. CAKRAWALA NO. 5 SUMBERSARI, LOWOKWARU, KOTA MALANG </t>
  </si>
  <si>
    <t>JL.MERDEKA UTARA NO.7,KIDUL DALEM,KLOJEN MALANG</t>
  </si>
  <si>
    <t xml:space="preserve">JL. BRIGHEND ABDUL MANAN WIJAYA NO 259 PUJON LOR, PUJON </t>
  </si>
  <si>
    <t>0341 - 524046</t>
  </si>
  <si>
    <t>PERUM GRIYA PERMATA ASRI NO.37, TERTEK, TULUNGAGUNG</t>
  </si>
  <si>
    <t>JL. RUNGKUT INDUSTRI III/31. SURABAYA 60293</t>
  </si>
  <si>
    <t>JL. VETERAN, KETAWANGGEDE, LOWOKWARU, KOTA MALANG, JAWA TIMUR, INDONESIA – 65145</t>
  </si>
  <si>
    <t>(0341) 577-911</t>
  </si>
  <si>
    <t>JL. KALPATARU NO 115 A LOWOKWARU KOTA MALANG</t>
  </si>
  <si>
    <t>KEBUN KALISAT JAMPIT BONDOWOSO</t>
  </si>
  <si>
    <t>JL KAPAS KRAMPUNG NO 214A, SURABAYA</t>
  </si>
  <si>
    <t xml:space="preserve">JL SAXOFONE NO 62 </t>
  </si>
  <si>
    <t>087761489000</t>
  </si>
  <si>
    <t>ITRI HEADQUARTERS. NO. 195, SECTION 4, CHUNG HSING ROAD, CHUTUNG, HSINCHU COUNTY 310401, TAIWAN</t>
  </si>
  <si>
    <t>JL CANDI MENDUT 4 KAV 1 NO 1 PERM, BAMBOE PARK</t>
  </si>
  <si>
    <t>0341 497939</t>
  </si>
  <si>
    <t>JL. MOGAMU NO.102 TUWELEY, KEC. BAOLAN, KAB. TOLI TOLI, SULAWESI TENGAH 94514</t>
  </si>
  <si>
    <t>( 0453 ) 23765</t>
  </si>
  <si>
    <t>JL CANDI BAJANH RATU NO 22</t>
  </si>
  <si>
    <t>JL HARUN TOHIR GRESIK</t>
  </si>
  <si>
    <t>JL. RAYA KIDANGBANG NO.02, RT.016/RW.05, JATEN, KIDANGBANG, KEC. WAJAK, KABUPATEN MALANG, JAWA TIMUR 65173</t>
  </si>
  <si>
    <t>JL RAYA BLITAR NO 106-106, NGUNUT, TULUNGAGUNG</t>
  </si>
  <si>
    <t>JL. MT. HARYONO NO.163, KETAWANGGEDE,
KEC. LOWOKWARU, KOTA MALANG</t>
  </si>
  <si>
    <t>0341-553737</t>
  </si>
  <si>
    <t>JL. BOROBUDUR AGUNG BARAT VII NO.8B, MOJOLANGU, LOWOKWARU, MALANG</t>
  </si>
  <si>
    <t>PAKUWON TOWER, LANTAI 30, TP 6, JALAN EMBONG MALANG NO. 1-5, KEDUNGDORO, TEGAL SARI, KOTA SURABAYA</t>
  </si>
  <si>
    <t>JL. RAYA KARANGLO, KARANGLO, BANJARARUM, KEC. SINGOSARI, KABUPATEN MALANG, JAWA TIMUR</t>
  </si>
  <si>
    <t>0341-490000</t>
  </si>
  <si>
    <t>JL. TB SIMATUPANG NO.6, RT.7/RW.3, SUSUKAN, KEC. CIRACAS, KOTA JAKARTA TIMUR, DAERAH KHUSUS IBUKOTA JAKARTA 13750</t>
  </si>
  <si>
    <t>(0341) 551354</t>
  </si>
  <si>
    <t>JL. TEGALGONDO, WUNUTSARI, TEGALGONDO, KEC. KARANG PLOSO, KABUPATEN MALANG</t>
  </si>
  <si>
    <t>VILLA SENGKALING P-15, MALANG</t>
  </si>
  <si>
    <t>JALAN ARJUNO K 11 CANDIRENGGO SINGOSARI KAB MALANG</t>
  </si>
  <si>
    <t>JL GAJAYANA NO. 50, MALANG</t>
  </si>
  <si>
    <t>0341-558933</t>
  </si>
  <si>
    <t>JL. GATOT SUBROTO NO.72 PANCORAN JAKARTA SELATAN</t>
  </si>
  <si>
    <t>JL RAYA KARANGPLOSO KM 4 MALANG</t>
  </si>
  <si>
    <t>JL. RAYA PUNTIR NO.128, DONOREJO, MARTOPURO, KEC. PURWOSARI, PASURUAN, JAWA TIMUR 67162</t>
  </si>
  <si>
    <t>80.000.000 - 200.000.000</t>
  </si>
  <si>
    <t>Wahyuagungsasmito@gmail.con</t>
  </si>
  <si>
    <t>anshar.affandy@gmail.com</t>
  </si>
  <si>
    <t>ahmad.fahmi.ft@um.ac.id</t>
  </si>
  <si>
    <t>mia.official.indonesia@gmail.com</t>
  </si>
  <si>
    <t>fahmiefendiy@gmail.com</t>
  </si>
  <si>
    <t>nashiruddin.abubakar@gmail.com</t>
  </si>
  <si>
    <t>08andika@gmail.com</t>
  </si>
  <si>
    <t>7 jt</t>
  </si>
  <si>
    <t>ferryas10@gmail.com</t>
  </si>
  <si>
    <t>jacka_s@rocketmail.com</t>
  </si>
  <si>
    <t>11 jt</t>
  </si>
  <si>
    <t>Febrianrheza@gmail.com</t>
  </si>
  <si>
    <t xml:space="preserve">4jt/ bln </t>
  </si>
  <si>
    <t>cus12boy@gmail.com</t>
  </si>
  <si>
    <t>kharismara@gmail.com</t>
  </si>
  <si>
    <t>avitakaranika@gmail.com</t>
  </si>
  <si>
    <t>ariefririsbarra@gmail.com</t>
  </si>
  <si>
    <t>25.000.000 - 50.000.000</t>
  </si>
  <si>
    <t>awangyogapratama7890@gmail.com</t>
  </si>
  <si>
    <t>alan.sigit.fis@um.ac.id</t>
  </si>
  <si>
    <t>7-9 juta</t>
  </si>
  <si>
    <t>hendikpurbaya@gmail.com</t>
  </si>
  <si>
    <t>15.000.000 - 25.000.000</t>
  </si>
  <si>
    <t>devknight999@gmail.com</t>
  </si>
  <si>
    <t>akidah.fitrah@um.ac.id</t>
  </si>
  <si>
    <t>wiznuv@gmail.com</t>
  </si>
  <si>
    <t>ryhoga@yahoo.co.id</t>
  </si>
  <si>
    <t>40.000.000,-</t>
  </si>
  <si>
    <t>wikacahyo92@gmail.com</t>
  </si>
  <si>
    <t>Rioo.aryan@gmail.com</t>
  </si>
  <si>
    <t>3.000.000-5.000.000</t>
  </si>
  <si>
    <t>idaayusartikasari@gmail.com</t>
  </si>
  <si>
    <t>jourastjordy93@gmail.com</t>
  </si>
  <si>
    <t>Maseko64@gmail.com</t>
  </si>
  <si>
    <t>10.000.000-30.000.000</t>
  </si>
  <si>
    <t>deby.putra@gmail.com</t>
  </si>
  <si>
    <t>Rp.3.000.000 - Rp.5.000.000</t>
  </si>
  <si>
    <t>andyprabowo06@gmail.com</t>
  </si>
  <si>
    <t>akbar250188@gmail.com</t>
  </si>
  <si>
    <t>7 Jt</t>
  </si>
  <si>
    <t>yusufeffendi1936@gmail.com</t>
  </si>
  <si>
    <t>sabda_agung@gmail.com</t>
  </si>
  <si>
    <t>suliantorusmanadi10@gmail.com</t>
  </si>
  <si>
    <t>ahmadgustibah31@gmail.com</t>
  </si>
  <si>
    <t>rendra.prasetyo61@gmail.com</t>
  </si>
  <si>
    <t>rifkiarea86@gmail.com</t>
  </si>
  <si>
    <t>25-30juta</t>
  </si>
  <si>
    <t>dwivinvin@gmail.com</t>
  </si>
  <si>
    <t>salmanalfa2008@gmail.com</t>
  </si>
  <si>
    <t>5.000.000-10.000.000</t>
  </si>
  <si>
    <t>domypradanaputra@gmail.com</t>
  </si>
  <si>
    <t>sunahdanis63@gmail.com</t>
  </si>
  <si>
    <t>maulanasabil58@gmail.com</t>
  </si>
  <si>
    <t>&gt;20jt</t>
  </si>
  <si>
    <t>Notarismalang@gmail.com</t>
  </si>
  <si>
    <t>3.000.000 - 5.000.000</t>
  </si>
  <si>
    <t>ailham307@gmail.com</t>
  </si>
  <si>
    <t>amronhanafi3087@gmail.com</t>
  </si>
  <si>
    <t>10.000.000,-</t>
  </si>
  <si>
    <t>arief.rakhmad@gmail.com</t>
  </si>
  <si>
    <t>10 juta per bulan</t>
  </si>
  <si>
    <t>muflihm39@yahoo.com</t>
  </si>
  <si>
    <t xml:space="preserve">alitarsum@gmail.com </t>
  </si>
  <si>
    <t>7.000.0000</t>
  </si>
  <si>
    <t>sy4iful.r4hm4n@gmail.com</t>
  </si>
  <si>
    <t>rizkidhiaputra@gmail.com</t>
  </si>
  <si>
    <t>30 jt</t>
  </si>
  <si>
    <t>drdedy83@gmail.com</t>
  </si>
  <si>
    <t>Pratamahatta@gmail.com</t>
  </si>
  <si>
    <t>2205.anam@gmail.com</t>
  </si>
  <si>
    <t>9-10jt/bl</t>
  </si>
  <si>
    <t>rachmadi.asri@gmail.com</t>
  </si>
  <si>
    <t>naiilavirania @gmail.com</t>
  </si>
  <si>
    <t>8 - 10 jt</t>
  </si>
  <si>
    <t>pandu.arsa@gmail.com</t>
  </si>
  <si>
    <t>Dwi.budi191105@gmail.com</t>
  </si>
  <si>
    <t>risasw55@gmail.com</t>
  </si>
  <si>
    <t>mynurika@gmail.com</t>
  </si>
  <si>
    <t>mustofa3389@gmail.com</t>
  </si>
  <si>
    <t>&gt;20juta</t>
  </si>
  <si>
    <t>Awimusahwi@gmail.com</t>
  </si>
  <si>
    <t>dedyindarsyah@gmail.com</t>
  </si>
  <si>
    <t>ardynoviawan@gmail.com</t>
  </si>
  <si>
    <t>&gt; Rp 5.000.000</t>
  </si>
  <si>
    <t>teckdex46@gmail.com</t>
  </si>
  <si>
    <t>bintang.gemintang@hotmail.com</t>
  </si>
  <si>
    <t>dyhermanto@gmail.com</t>
  </si>
  <si>
    <t>Rp. 25,000,000</t>
  </si>
  <si>
    <t>ferye886@gmail.com</t>
  </si>
  <si>
    <t>5-10 juta/ bulan</t>
  </si>
  <si>
    <t>ranpragss@gmail.com</t>
  </si>
  <si>
    <t>Septian.taufan@gmail.com</t>
  </si>
  <si>
    <t>revan.arwisi@gmail.con</t>
  </si>
  <si>
    <t>adipaidi212@yahoo.com</t>
  </si>
  <si>
    <t>Rp 30.000.000 - 40.000.000 / bulan</t>
  </si>
  <si>
    <t>firanurbillah92@gmail.com</t>
  </si>
  <si>
    <t>+- 50juta</t>
  </si>
  <si>
    <t>akhmadamirudin@gmail.com</t>
  </si>
  <si>
    <t>badamers.02@gmail.com</t>
  </si>
  <si>
    <t>hyan.tandra@gmail.com</t>
  </si>
  <si>
    <t>afredocaems@gmail.com</t>
  </si>
  <si>
    <t>yanizco@icloud.com</t>
  </si>
  <si>
    <t>wicaksonoagus731@gmail.com</t>
  </si>
  <si>
    <t>zamroni.fip@um.ac.id</t>
  </si>
  <si>
    <t>6 JUTA</t>
  </si>
  <si>
    <t>rullyadvan5@gmail.com</t>
  </si>
  <si>
    <t>4,5 juta</t>
  </si>
  <si>
    <t>aldrinyusuf77@gmail.com</t>
  </si>
  <si>
    <t>imamvws@gmail.com</t>
  </si>
  <si>
    <t>3.500.000</t>
  </si>
  <si>
    <t>nofianwijaya25@gmail.com</t>
  </si>
  <si>
    <t>Maunah rahmawati putri</t>
  </si>
  <si>
    <t>RISZA ROCHMAWATI KUSUMANINGRUM, SAb</t>
  </si>
  <si>
    <t xml:space="preserve">Rissa ardhiandini </t>
  </si>
  <si>
    <t>Arafah Husna S.Pd., M.Med.Kom</t>
  </si>
  <si>
    <t>Intan Hariyani, S.ST.</t>
  </si>
  <si>
    <t>WIWIT INDAWATI</t>
  </si>
  <si>
    <t>Arnita Eka Wulandari, S.ST</t>
  </si>
  <si>
    <t>Irna FIbianti S.S, S.Pd</t>
  </si>
  <si>
    <t>Lia Rizqimawati, A.Md</t>
  </si>
  <si>
    <t>Vita Valianta</t>
  </si>
  <si>
    <t>NINDHI PUTRI WIGUNANTHI, S.KEB</t>
  </si>
  <si>
    <t>Silmi Mauludina, S.PWK</t>
  </si>
  <si>
    <t>Rizki kartikasari Spsi</t>
  </si>
  <si>
    <t xml:space="preserve">dr. AMALIA INTAN PERMATA SARI </t>
  </si>
  <si>
    <t>Okky Intanriane, S.T.</t>
  </si>
  <si>
    <t>Avita Karanika P</t>
  </si>
  <si>
    <t>Riris Akmareta</t>
  </si>
  <si>
    <t>Rr Addini Zea Prameswari S.AB</t>
  </si>
  <si>
    <t>Ayu Miranti Puji Lestari</t>
  </si>
  <si>
    <t>Drh. Romdhani Retno Fatwa</t>
  </si>
  <si>
    <t>dr. Edza Akelei Ryantifa,SpOG</t>
  </si>
  <si>
    <t>Ananda Dwitha Yuniar, S.I.Kom., M.A.</t>
  </si>
  <si>
    <t>Winda Istiandini, M.Pd.</t>
  </si>
  <si>
    <t>Micky Dita Avrilia, SE., MM.</t>
  </si>
  <si>
    <t>Mei Lisa Hardi, S.Pd., Gr</t>
  </si>
  <si>
    <t>Fifit Safariah</t>
  </si>
  <si>
    <t>RAHMI SEPTIYANI, S.EI, M.E</t>
  </si>
  <si>
    <t>Khusniah Enggarwati, S.M.</t>
  </si>
  <si>
    <t xml:space="preserve">Aimah Mopashari </t>
  </si>
  <si>
    <t>dr. Wiji Astuti</t>
  </si>
  <si>
    <t>INDRI RUSPITASARI</t>
  </si>
  <si>
    <t>Novia Chusniatul Azizah</t>
  </si>
  <si>
    <t>Ida ayu sartika sari</t>
  </si>
  <si>
    <t>FIRIS BASMA LANJAR,STP.</t>
  </si>
  <si>
    <t>Indah Setyowati SH</t>
  </si>
  <si>
    <t>Eva Rosalina</t>
  </si>
  <si>
    <t>Sherli Fatma Yuza</t>
  </si>
  <si>
    <t>Mawar Firdausi</t>
  </si>
  <si>
    <t>DINDA AYU JEAN ASTRY S.Ak</t>
  </si>
  <si>
    <t>Safira Damayanti</t>
  </si>
  <si>
    <t>SAVITA DEWI OKTAVIANTI</t>
  </si>
  <si>
    <t>Yurika Verdiananta, SE</t>
  </si>
  <si>
    <t>Teguh Retnoningsih, S.AB</t>
  </si>
  <si>
    <t>Sulastri Ningsih</t>
  </si>
  <si>
    <t>AFRIZTA NURJANNAH</t>
  </si>
  <si>
    <t>Adiba</t>
  </si>
  <si>
    <t>Dwi Suri Elvina, S.Kom, SH</t>
  </si>
  <si>
    <t>Roisatul Azizah</t>
  </si>
  <si>
    <t>dr. NADINA ZERLINDA MUSTAMSIR, Sp.PD</t>
  </si>
  <si>
    <t>Ike Danis Fatussunah, S.H.I, M.H</t>
  </si>
  <si>
    <t>KHUSNIATUL WAKHIDAH</t>
  </si>
  <si>
    <t>NOVIA VIRONIKA S.KM</t>
  </si>
  <si>
    <t>Ika Rachmawatiningsih, STP</t>
  </si>
  <si>
    <t>Sri murni</t>
  </si>
  <si>
    <t>LAILY ILAROSMARIA. S.T</t>
  </si>
  <si>
    <t>KHALIDATUL LUTFIAH, S.Hum</t>
  </si>
  <si>
    <t>DEVI SETYA CHRISTINA, S.T.</t>
  </si>
  <si>
    <t>Nabilah safinas</t>
  </si>
  <si>
    <t>Syarifah aulianuar fitri</t>
  </si>
  <si>
    <t>FENY TUNJUNGSARI</t>
  </si>
  <si>
    <t>ZULHULAIFAH PUTRI RAHMAWATI, S.H.</t>
  </si>
  <si>
    <t>dr Rahmiyah Fadilah</t>
  </si>
  <si>
    <t>Chossy Ayuning Puspitasari</t>
  </si>
  <si>
    <t>Siti Mutrofin</t>
  </si>
  <si>
    <t>Evi DWi Jayanti</t>
  </si>
  <si>
    <t>Ulesta Zulfana</t>
  </si>
  <si>
    <t>apt. Lathifa Khoirunnisa, S.Farm.</t>
  </si>
  <si>
    <t xml:space="preserve">Dwi Ernawati </t>
  </si>
  <si>
    <t>Feny Arafah, ST., MT</t>
  </si>
  <si>
    <t>Nuri Herdiyanie, ST</t>
  </si>
  <si>
    <t>Dyna Falsafy, S.Pd</t>
  </si>
  <si>
    <t>Dr. IKA RATIH SULISTIANI, S.Pd, M.Pd</t>
  </si>
  <si>
    <t>Diana Manzila</t>
  </si>
  <si>
    <t>Aisshah Roesiana Dewi, S.ST., M.T.</t>
  </si>
  <si>
    <t>LUSVITA ANGGRAINI</t>
  </si>
  <si>
    <t>Mila Raesita,S.E</t>
  </si>
  <si>
    <t xml:space="preserve">Dr. Wiwit Widyawati, SP. MP. </t>
  </si>
  <si>
    <t>Novi Aditya Rosalita, S.M., M.SM</t>
  </si>
  <si>
    <t>Vivin ayu dwi lestari S.pd</t>
  </si>
  <si>
    <t>Yeniar Alifa Istiqomah, S.Gz., M.PH.</t>
  </si>
  <si>
    <t>Mamik Suhariyani, SAP</t>
  </si>
  <si>
    <t>dr. Hanum Lukitaningrum</t>
  </si>
  <si>
    <t>drg. Asih Riyanti Sari</t>
  </si>
  <si>
    <t>Utari Apriyanti</t>
  </si>
  <si>
    <t>Zarah Widianita, drg</t>
  </si>
  <si>
    <t>Prisca Dinavanni, S.Ak.</t>
  </si>
  <si>
    <t>FIRA NURBILLAH, S.I.KOM</t>
  </si>
  <si>
    <t>Kirana Nur Novia Dewi, S.AP.</t>
  </si>
  <si>
    <t>SOFIA AGUSTINA</t>
  </si>
  <si>
    <t>Devi Ayu Hedianti, S.Gz., M.M.</t>
  </si>
  <si>
    <t>Shella Inzira Agnesti</t>
  </si>
  <si>
    <t>Agustin Wulandari</t>
  </si>
  <si>
    <t>Toyibatu Lailiya, S. Kom</t>
  </si>
  <si>
    <t>ARIES KUMALASARI S1</t>
  </si>
  <si>
    <t>Shaila Wida Raharja, S.Ab., M.M.</t>
  </si>
  <si>
    <t>FAUZIYAH ENI PURWANINGSIH, S.SI</t>
  </si>
  <si>
    <t>IDA KURNIATI US, S.Pd</t>
  </si>
  <si>
    <t>Asrini Sepriyanti, SH</t>
  </si>
  <si>
    <t>Vina Wulan Sari</t>
  </si>
  <si>
    <t>Fajar Lestary</t>
  </si>
  <si>
    <t>Mifta Kharima Akbari Putri, M.Pd.</t>
  </si>
  <si>
    <t>3522125005950007</t>
  </si>
  <si>
    <t>3573044202900008</t>
  </si>
  <si>
    <t>3573015710800004</t>
  </si>
  <si>
    <t>3507236402960001</t>
  </si>
  <si>
    <t>3573024706890001</t>
  </si>
  <si>
    <t>3573056903950005</t>
  </si>
  <si>
    <t>3578085607980001</t>
  </si>
  <si>
    <t>3573010902140003</t>
  </si>
  <si>
    <t>6401045203940003</t>
  </si>
  <si>
    <t>3505186104870001</t>
  </si>
  <si>
    <t>3507226603920001</t>
  </si>
  <si>
    <t>3509125703930002</t>
  </si>
  <si>
    <t>3573056406930003</t>
  </si>
  <si>
    <t>3507047004920002</t>
  </si>
  <si>
    <t>6403056610920001</t>
  </si>
  <si>
    <t>3171066909830005</t>
  </si>
  <si>
    <t>3309034103989002</t>
  </si>
  <si>
    <t>3573056411890007</t>
  </si>
  <si>
    <t>3507234509910004</t>
  </si>
  <si>
    <t>3507184611930001</t>
  </si>
  <si>
    <t>3573056106970002</t>
  </si>
  <si>
    <t>3275024105900022</t>
  </si>
  <si>
    <t>3507255303820002</t>
  </si>
  <si>
    <t>3510085205930002</t>
  </si>
  <si>
    <t>3515185106970002</t>
  </si>
  <si>
    <t>3573015604970004</t>
  </si>
  <si>
    <t>3507125910910001</t>
  </si>
  <si>
    <t>3507046004930001</t>
  </si>
  <si>
    <t>3573037005810001</t>
  </si>
  <si>
    <t>3514205104900001</t>
  </si>
  <si>
    <t>3515076409940001</t>
  </si>
  <si>
    <t>35170659019200001</t>
  </si>
  <si>
    <t>3573056511900005</t>
  </si>
  <si>
    <t>3524075505930003</t>
  </si>
  <si>
    <t>3507236012920001</t>
  </si>
  <si>
    <t>3510044911920004</t>
  </si>
  <si>
    <t>3573055210780008</t>
  </si>
  <si>
    <t>3507095809930001</t>
  </si>
  <si>
    <t>3578025811910004</t>
  </si>
  <si>
    <t>3573036308860004</t>
  </si>
  <si>
    <t>3579036106970001</t>
  </si>
  <si>
    <t>6104044904000001</t>
  </si>
  <si>
    <t>3507224311940004</t>
  </si>
  <si>
    <t>3515175002850001</t>
  </si>
  <si>
    <t>3573035605990003</t>
  </si>
  <si>
    <t>3517084909900002</t>
  </si>
  <si>
    <t>3318126903930001</t>
  </si>
  <si>
    <t>3503064102910001</t>
  </si>
  <si>
    <t>3571016307880009</t>
  </si>
  <si>
    <t>3572035810870001</t>
  </si>
  <si>
    <t>3514096202900001</t>
  </si>
  <si>
    <t>3573024106920004</t>
  </si>
  <si>
    <t>3515056307900001</t>
  </si>
  <si>
    <t>3578086711890005</t>
  </si>
  <si>
    <t>3505034511890002</t>
  </si>
  <si>
    <t>3507254911920004</t>
  </si>
  <si>
    <t>3573056308810001</t>
  </si>
  <si>
    <t>3671014809870001</t>
  </si>
  <si>
    <t>1803024804940003</t>
  </si>
  <si>
    <t>3573054710920004</t>
  </si>
  <si>
    <t>3578166904950005</t>
  </si>
  <si>
    <t>3573054210920001</t>
  </si>
  <si>
    <t>3301215111970003</t>
  </si>
  <si>
    <t>3308205708890002</t>
  </si>
  <si>
    <t>3573055802930002</t>
  </si>
  <si>
    <t>3573016008930002</t>
  </si>
  <si>
    <t>3573056208920001</t>
  </si>
  <si>
    <t>3526017110910003</t>
  </si>
  <si>
    <t>9171025408880005</t>
  </si>
  <si>
    <t>3507244201920003</t>
  </si>
  <si>
    <t>TELUK BAYUR</t>
  </si>
  <si>
    <t>MANOKWARI</t>
  </si>
  <si>
    <t xml:space="preserve">KENDAWANGAN </t>
  </si>
  <si>
    <t>KOTABUMI LAMPUNG UTARA</t>
  </si>
  <si>
    <t>CILACAP</t>
  </si>
  <si>
    <t>085230919716</t>
  </si>
  <si>
    <t>087754451898</t>
  </si>
  <si>
    <t>082234719535</t>
  </si>
  <si>
    <t>081333015283</t>
  </si>
  <si>
    <t>081283718195</t>
  </si>
  <si>
    <t>085344534559</t>
  </si>
  <si>
    <t>082140036606</t>
  </si>
  <si>
    <t>082188326353</t>
  </si>
  <si>
    <t>08383156832</t>
  </si>
  <si>
    <t>089612122767</t>
  </si>
  <si>
    <t>085648873596</t>
  </si>
  <si>
    <t>08125253905</t>
  </si>
  <si>
    <t>085733300019</t>
  </si>
  <si>
    <t>085333776133</t>
  </si>
  <si>
    <t>081291851590</t>
  </si>
  <si>
    <t>081331023410</t>
  </si>
  <si>
    <t>082220077845</t>
  </si>
  <si>
    <t>085850991700</t>
  </si>
  <si>
    <t>085354163716</t>
  </si>
  <si>
    <t>089638331974</t>
  </si>
  <si>
    <t xml:space="preserve">IBUNRUMAH TANGGA </t>
  </si>
  <si>
    <t>IRT DAN REMOTE WORKING</t>
  </si>
  <si>
    <t xml:space="preserve">MENGURUS RUMAH TANGGA </t>
  </si>
  <si>
    <t>BLUD</t>
  </si>
  <si>
    <t>ASN PPPK</t>
  </si>
  <si>
    <t>GURU TK ANAK SALEH MALANG</t>
  </si>
  <si>
    <t>KARY BUMN</t>
  </si>
  <si>
    <t>BISNIS OWNER</t>
  </si>
  <si>
    <t>PENELITI</t>
  </si>
  <si>
    <t xml:space="preserve">DOKTER GIGI </t>
  </si>
  <si>
    <t>IRT DAN PENGUSAHA</t>
  </si>
  <si>
    <t>AREISZA</t>
  </si>
  <si>
    <t>PT KILAP GLOBAL GROUP</t>
  </si>
  <si>
    <t>TBI (THE BRITISH INSTITUTE)</t>
  </si>
  <si>
    <t xml:space="preserve">BELLECROWN AESTHETIC CLINIC </t>
  </si>
  <si>
    <t>CAFEIN (COLD PRESSED ERA &amp; JERUK LOKAL MALANG)</t>
  </si>
  <si>
    <t>SATU ATTIRE</t>
  </si>
  <si>
    <t>SMAN 5 MALANG</t>
  </si>
  <si>
    <t xml:space="preserve">PLN </t>
  </si>
  <si>
    <t>KLINIK AKURA MALANG</t>
  </si>
  <si>
    <t>BCA</t>
  </si>
  <si>
    <t>SUPREME LAWFIRM</t>
  </si>
  <si>
    <t>PT BANK TABUNGAN NEGARA (PERSERO)</t>
  </si>
  <si>
    <t>PT ISTANA BUDIDAYA KERAPU</t>
  </si>
  <si>
    <t>VEKOZT EKSKLUSIF</t>
  </si>
  <si>
    <t>BELIKE KOKI</t>
  </si>
  <si>
    <t>RS DR SAIFUL ANWAR MALANG</t>
  </si>
  <si>
    <t>RS DR. SAIFUL ANWAR MALANG</t>
  </si>
  <si>
    <t>DINAS LINGKUNGAN HIDUP KOTA MALANG</t>
  </si>
  <si>
    <t>USAHA RUMAHAN</t>
  </si>
  <si>
    <t xml:space="preserve">PRIMALAND </t>
  </si>
  <si>
    <t>APOTEK TOYOMARTO</t>
  </si>
  <si>
    <t>PT. BNI PERSERO TBK</t>
  </si>
  <si>
    <t>SMKN 3 MALANG</t>
  </si>
  <si>
    <t>KIMUA</t>
  </si>
  <si>
    <t>DEPARTEMEN TEKNIK INDUSTRI, FAKULTAS TEKNIK, UNIVERSITAS BRAWIJAYA</t>
  </si>
  <si>
    <t>FAKULTAS PERTANIAN UNIVERSITAS BRAWIJAYA</t>
  </si>
  <si>
    <t>PERUM ARUMBA UTAMA B2</t>
  </si>
  <si>
    <t>MAMAMINYA GROCERIES</t>
  </si>
  <si>
    <t>PRAKTEK MANDIRI - CLINIQUE UNISMA 193</t>
  </si>
  <si>
    <t>SEDANG LANJUT SEKOLAH</t>
  </si>
  <si>
    <t xml:space="preserve">DINAS PENDIDIKAN DAN KEBUDAYAAN KOTA JAYAPURA </t>
  </si>
  <si>
    <t>LABORATORIUM BEA CUKAI NGURAH RAI</t>
  </si>
  <si>
    <t>SMP NEGERI 04 BATU</t>
  </si>
  <si>
    <t>RUKO MODERN KAV A14 LONCAT INDAH TASIKMADU MALANG</t>
  </si>
  <si>
    <t>085895439094</t>
  </si>
  <si>
    <t>GRIYA SHANTA BLK. J NO.298-299, MOJOLANGU, KEC. LOWOKWARU, KOTA MALANG, JAWA TIMUR 65142</t>
  </si>
  <si>
    <t>JL. SOEKARNO HATTA NO.A.2, MOJOLANGU, KEC. LOWOKWARU, KOTA MALANG, JAWA TIMUR 65142</t>
  </si>
  <si>
    <t>JL. JAKSA AGUNG SUPRAPTO 19</t>
  </si>
  <si>
    <t xml:space="preserve">TIDAK </t>
  </si>
  <si>
    <t xml:space="preserve">LEMBAH DIENG NO.6, KOTA MALANG </t>
  </si>
  <si>
    <t>DANAU LIMBOTO TIMUR A5H22</t>
  </si>
  <si>
    <t>JLN BENDUNGAN SIGURA-GURA</t>
  </si>
  <si>
    <t>JL A. YANI NO 6 BANGIL-PASURUAN</t>
  </si>
  <si>
    <t>0341 741018</t>
  </si>
  <si>
    <t>JL CAKALANG 180, KOTA MALANG</t>
  </si>
  <si>
    <t>JL. TANIMBAR NO 24</t>
  </si>
  <si>
    <t>0341 364580</t>
  </si>
  <si>
    <t>PLN UP2B JAWA TIMUR JL. SUNINGRAT NO.45, KETEGAN, KEC. TAMAN, KABUPATEN SIDOARJO, JAWA TIMUR 61257</t>
  </si>
  <si>
    <t>(031) 7882113</t>
  </si>
  <si>
    <t>JLN. MAYJEN PANJAITAN</t>
  </si>
  <si>
    <t>JL. RAYA TLOGOMAS NO.246, BABATAN, TEGALGONDO, KEC. LOWOKWARU, KOTA MALANG, JAWA TIMUR 65144</t>
  </si>
  <si>
    <t>JL. KULINTANG KAV 7</t>
  </si>
  <si>
    <t>JL. ADE IRMA SURYANI NO.2, RW.4, KAUMAN, KEC. KLOJEN, KOTA MALANG, JAWA TIMUR 65117</t>
  </si>
  <si>
    <t>RIVERSIDE D-312 KEL. ARJOSARI KEC. BLIMBING MALANG</t>
  </si>
  <si>
    <t>JALAN BUMI MERANTI WANGI BLOK M-5, PANDANWANGI, BLIMBING, KOTA MALANG</t>
  </si>
  <si>
    <t>JL. RADEN PANJI SUROSO KV II-IV PURWODADI BLIMBING MALANG</t>
  </si>
  <si>
    <t>0341-2996333</t>
  </si>
  <si>
    <t xml:space="preserve">DESA LABUHAN, BRONDONG, LAMONGAN </t>
  </si>
  <si>
    <t>JL. RAYA PASAR WISATA</t>
  </si>
  <si>
    <t>JLN SIGURA-GURA KARANGBESUKI MALANG</t>
  </si>
  <si>
    <t>081335825373</t>
  </si>
  <si>
    <t>JL. JAKSA AGUNG SUPRAPTO NO. 2 MALANG PROVINSI JAWA TIMUR KODE POS : 65111</t>
  </si>
  <si>
    <t>0341 – 362101</t>
  </si>
  <si>
    <t>JL. JAKSA AGUNG SUPRAPTO 2, KOTA MALANG, JAWA TIMUR, 65111</t>
  </si>
  <si>
    <t>UNIVERSITAS MUHAMMADIYAH MALANG KAMPUS 2 JL SIGURA GURA MALANG</t>
  </si>
  <si>
    <t>JL. BINGKIL NO. 1 KEL. CIPTOMULYO KEC. SUKUN KOTA MALANG</t>
  </si>
  <si>
    <t>0341 369377</t>
  </si>
  <si>
    <t>JL. RAYA TLOGOMAS 246 MALANG</t>
  </si>
  <si>
    <t>0341-463153</t>
  </si>
  <si>
    <t>JL. BANTARAN BARAT I NO 3</t>
  </si>
  <si>
    <t xml:space="preserve">JL. AKORDION UTARA RUKO 1 PERUM DE PRIMA TUNGGULWULUNG, LOWOKWARU, MALANG </t>
  </si>
  <si>
    <t>PAUD TERPADU ANAK SALEH : JL. CANDI PANGGUNG INDAH 1-3 MALANG</t>
  </si>
  <si>
    <t>082229350007</t>
  </si>
  <si>
    <t xml:space="preserve"> JL. SERUNAI RAMBAT PERUMAHAN NO.6, PETUNG WULUNG, TOYOMARTO, KEC. SINGOSARI, KABUPATEN MALANG, JAWA TIMUR 65153</t>
  </si>
  <si>
    <t>083148468724</t>
  </si>
  <si>
    <t>JL. BENDUNGAN SIGURA-GURA NO. 02, MALANG</t>
  </si>
  <si>
    <t>JL SURABAYA NO 1 KOTA MALANG</t>
  </si>
  <si>
    <t>DEPARTEMEN TEKNIK INDUSTRI, FAKULTAS TEKNIK, UNIVERSITAS BRAWIJAYA JLN. MT. HARYONO 167, MALANG 65145, INDONESIA</t>
  </si>
  <si>
    <t>+62 341 587710</t>
  </si>
  <si>
    <t xml:space="preserve">JALAN VETERAN </t>
  </si>
  <si>
    <t>JL. VETERAN MALANG</t>
  </si>
  <si>
    <t>JL ARUMBA PERUM ARUMBA UTAMA RESIDENCE NO B2 RT 008, RW 004 KEL. TUNGGULWULUNG, KEC. LOWOKWARU, KOTA MALANG</t>
  </si>
  <si>
    <t>KOTA DENPASAR, BALI</t>
  </si>
  <si>
    <t>JL. CANDIMENDUT 4 PERM. BAMBOEPARK KAV.1 NO 1</t>
  </si>
  <si>
    <t>PERUM. PERMATA HIJAU BLOK B NO. 24</t>
  </si>
  <si>
    <t>KAWASAN RUKO UNISMA, JL. TATA SURYA NO.14 KAV. 13, DINOYO, KEC. LOWOKWARU, KOTA MALANG, JAWA TIMUR 65144</t>
  </si>
  <si>
    <t>JL SIMPANG KALPATARU 12B</t>
  </si>
  <si>
    <t>JL PYRUS NO 8</t>
  </si>
  <si>
    <t>JL. JAKSA AGUNG SUPRAPTO KAV.29-31 KLOJEN, KOTA MALANG</t>
  </si>
  <si>
    <t xml:space="preserve">JL CANDI BIMA NO 15 MALANG </t>
  </si>
  <si>
    <t xml:space="preserve">JL. BALAI KOTA NO 1 ENTROP, </t>
  </si>
  <si>
    <t>JL AIRPORT NGURAH RAI TUBAN BADUNG BALI</t>
  </si>
  <si>
    <t>JL. PANGERAN DIPONEGORO NO.18, TULUNGREJO, KEC. BUMIAJI, KOTA BATU, JAWA TIMUR 65336</t>
  </si>
  <si>
    <t>80.000.000-200.000.000</t>
  </si>
  <si>
    <t>putriuun2@gmail.com</t>
  </si>
  <si>
    <t>Risa.rwati@gmail.com</t>
  </si>
  <si>
    <t>rissa.ardhiandini@gmail.com</t>
  </si>
  <si>
    <t>arafah.husna.fip@um.ac.id</t>
  </si>
  <si>
    <t>gitaprajnasari@gmail.com</t>
  </si>
  <si>
    <t>wiwitindawati1122@gmail.com</t>
  </si>
  <si>
    <t>arnitaekawulandari90@gmail.com</t>
  </si>
  <si>
    <t>2000000-3000000</t>
  </si>
  <si>
    <t>irnafibianti@gmail.com</t>
  </si>
  <si>
    <t>liarizqi293@gmail.com</t>
  </si>
  <si>
    <t>valiantavita@gmail.com</t>
  </si>
  <si>
    <t>nindhipw@ub.ac.id</t>
  </si>
  <si>
    <t>Silmimauludina.contact@gmail.com</t>
  </si>
  <si>
    <t>till lu</t>
  </si>
  <si>
    <t>+- 5.000.000</t>
  </si>
  <si>
    <t>amaliaintan.permatasari@gmail.com</t>
  </si>
  <si>
    <t>maretaririz1@gmail.com</t>
  </si>
  <si>
    <t>romdhaniretno@gmail.com</t>
  </si>
  <si>
    <t>ananda.dwitha.fis@um.ac.id</t>
  </si>
  <si>
    <t>windaistiandini.fs@um.ac.id</t>
  </si>
  <si>
    <t>mickydit@gmail.com</t>
  </si>
  <si>
    <t>fifitsafariah@gmail.com</t>
  </si>
  <si>
    <t>khusniahenggarwati01@gmail.com</t>
  </si>
  <si>
    <t>aichankawaii24@gmail.com</t>
  </si>
  <si>
    <t>3.000.0000</t>
  </si>
  <si>
    <t>Wijiazis18@gmail.com</t>
  </si>
  <si>
    <t>novia.via24@gmail.com</t>
  </si>
  <si>
    <t>Dari Suami</t>
  </si>
  <si>
    <t>fortuna.irish@gmail.com</t>
  </si>
  <si>
    <t>Indahsyahlila@gmail.com</t>
  </si>
  <si>
    <t>evarosalina1205@gmail.com</t>
  </si>
  <si>
    <t>dindajean11@gmail.com</t>
  </si>
  <si>
    <t>safirawidjaya16@gmail.com</t>
  </si>
  <si>
    <t>savitadewio@gmail.com</t>
  </si>
  <si>
    <t>teguhretnon20@gmail.com atau teguhretnon@gmail.com</t>
  </si>
  <si>
    <t>nsulastri685@gmail.com</t>
  </si>
  <si>
    <t>afriztanew@gmail.com</t>
  </si>
  <si>
    <t>adiba24994@gmail.com</t>
  </si>
  <si>
    <t>Dari ayah</t>
  </si>
  <si>
    <t>roisaaz@gmail.com</t>
  </si>
  <si>
    <t>nadinazerlindamustamsir90@gmail.com</t>
  </si>
  <si>
    <t>7.000.000-10.000.000</t>
  </si>
  <si>
    <t>noviavironika091192@gmail.com</t>
  </si>
  <si>
    <t>4mbukrien@gmail.com</t>
  </si>
  <si>
    <t>1.000.000-3.000.000</t>
  </si>
  <si>
    <t>laily.rosmaria@gmail.com</t>
  </si>
  <si>
    <t>olilolik9191@gmail.com</t>
  </si>
  <si>
    <t>4.000.000,-</t>
  </si>
  <si>
    <t>devi.setyac@gmail.com</t>
  </si>
  <si>
    <t>Nabilahsafinas21@gmail.com</t>
  </si>
  <si>
    <t>auliabachsin04@gmail.com</t>
  </si>
  <si>
    <t>feny.tunjungsari@gmail.com</t>
  </si>
  <si>
    <t>3.200.000</t>
  </si>
  <si>
    <t>zulhulaifahputrir@gmail.com</t>
  </si>
  <si>
    <t>4 jt</t>
  </si>
  <si>
    <t>diladilnew@gmail.com</t>
  </si>
  <si>
    <t>Chossyay.16@gmail.com</t>
  </si>
  <si>
    <t>st.mutrofiiin@gmail.com</t>
  </si>
  <si>
    <t>1.800.000</t>
  </si>
  <si>
    <t>lathifa29393@gmail.com</t>
  </si>
  <si>
    <t>naiilavirania@gmail.com</t>
  </si>
  <si>
    <t>3 - 4 jt</t>
  </si>
  <si>
    <t>fenyarafah@gmail.com</t>
  </si>
  <si>
    <t>10.0000.000</t>
  </si>
  <si>
    <t>Nuriherdiyanie@gmail.com</t>
  </si>
  <si>
    <t>dfalsafy@gmail.com</t>
  </si>
  <si>
    <t>dianamanzila@gmail.com</t>
  </si>
  <si>
    <t>miarezietha@gmail.com</t>
  </si>
  <si>
    <t>3.600.000</t>
  </si>
  <si>
    <t>wiwit23@ub.ac.id</t>
  </si>
  <si>
    <t>noviadityarosalita@gmail.com</t>
  </si>
  <si>
    <t>Rp 2000.000</t>
  </si>
  <si>
    <t>vivinadl89@gmail.com</t>
  </si>
  <si>
    <t>alifa.yeniar@gmail.com</t>
  </si>
  <si>
    <t>mshermanto@gmail.com</t>
  </si>
  <si>
    <t>lukitaningrum@gmail.con</t>
  </si>
  <si>
    <t>rianti.ars@gmail.com</t>
  </si>
  <si>
    <t>Apriyantiutari@gmail.com</t>
  </si>
  <si>
    <t>zarah.widianita@gmail.com</t>
  </si>
  <si>
    <t>priscadinavanni@gmail.com</t>
  </si>
  <si>
    <t>-+ 20juta</t>
  </si>
  <si>
    <t>kiranad198@gmail.com</t>
  </si>
  <si>
    <t>SOFIAGUSTINA.SA@GMAIL.COM</t>
  </si>
  <si>
    <t>deviayuhedianti@gmail.com</t>
  </si>
  <si>
    <t>shellainzira@gmail.com</t>
  </si>
  <si>
    <t>ariesberkah@gmail.com</t>
  </si>
  <si>
    <t>fauziyahenipurwaningsih@gmail.com</t>
  </si>
  <si>
    <t>us.kerja@gmail.com</t>
  </si>
  <si>
    <t>vilansa99@gmail.com</t>
  </si>
  <si>
    <t>kharimamifta@gmail.com</t>
  </si>
  <si>
    <t>Intan Ariyani</t>
  </si>
  <si>
    <t>Lia Permatasari, S.T</t>
  </si>
  <si>
    <t xml:space="preserve">Avita Karanika </t>
  </si>
  <si>
    <t>Widodo Slamet</t>
  </si>
  <si>
    <t>NUNUK ISWATI</t>
  </si>
  <si>
    <t>Purwono</t>
  </si>
  <si>
    <t>Gusti Eka Septya Maharani</t>
  </si>
  <si>
    <t xml:space="preserve">Hayde </t>
  </si>
  <si>
    <t>Soekarno, S.H, M.H</t>
  </si>
  <si>
    <t>Muhammad fatkhul arif</t>
  </si>
  <si>
    <t>Tutut riwayati</t>
  </si>
  <si>
    <t>Prof. Dr. Siti Zubaidah, S.Pd, M.Pd</t>
  </si>
  <si>
    <t>Effendi</t>
  </si>
  <si>
    <t>SRI WIJAYAWATI</t>
  </si>
  <si>
    <t>Imas Sumarni, S. Pd</t>
  </si>
  <si>
    <t>Titin Suhernaning, S.Pd.</t>
  </si>
  <si>
    <t>0895-3530-05715</t>
  </si>
  <si>
    <t>082132519606</t>
  </si>
  <si>
    <t>081328195340</t>
  </si>
  <si>
    <t>081335522282</t>
  </si>
  <si>
    <t>081334695557</t>
  </si>
  <si>
    <t>088989858601</t>
  </si>
  <si>
    <t>081334435234</t>
  </si>
  <si>
    <t>08123315858</t>
  </si>
  <si>
    <t>08123305003</t>
  </si>
  <si>
    <t>+62 822-5701-5101</t>
  </si>
  <si>
    <t xml:space="preserve">Karyawan ( Tata Usaha ) </t>
  </si>
  <si>
    <t>Sekolah</t>
  </si>
  <si>
    <t>Notaris/PPAT</t>
  </si>
  <si>
    <t>3515180202160001</t>
  </si>
  <si>
    <t xml:space="preserve"> BIAN VITO</t>
  </si>
  <si>
    <t>PERUM TAMAN WISATA TROPODO BLOK H9</t>
  </si>
  <si>
    <t>TROPODO</t>
  </si>
  <si>
    <t>IRWAN SETIAWAN, SE</t>
  </si>
  <si>
    <t>3205050405810007</t>
  </si>
  <si>
    <t>UD. SEKAYU</t>
  </si>
  <si>
    <t>PERUM TAMAN WISATA TROPODO BLOK I 12 TROPODO WARU SIDOARJO</t>
  </si>
  <si>
    <t>081703145626</t>
  </si>
  <si>
    <t>Rp. 50.000.000</t>
  </si>
  <si>
    <t>irwan10414@gmail.com</t>
  </si>
  <si>
    <t>3205056601860003</t>
  </si>
  <si>
    <t>081703145660</t>
  </si>
  <si>
    <t>SD AL FALAH DARUSSALAM</t>
  </si>
  <si>
    <t>JL. ANGGREK No. 1 WISMA TROPODO, WARU, SIDOARJO</t>
  </si>
  <si>
    <t>0168422011</t>
  </si>
  <si>
    <t>3515180602150005</t>
  </si>
  <si>
    <t>SD YPJ KUALA KENCANA, TIMIKA, PAPUA</t>
  </si>
  <si>
    <t xml:space="preserve">JL. IRIAN JAYA BARAT No. 1 KUALA KENCANA MIMIKA PAPUA </t>
  </si>
  <si>
    <t>3507170402090011</t>
  </si>
  <si>
    <t>3507175003150001</t>
  </si>
  <si>
    <t>AVISA</t>
  </si>
  <si>
    <t>NABIRE</t>
  </si>
  <si>
    <t>IS;AM</t>
  </si>
  <si>
    <t>PURI KARTIKA ASRI BLOK R-19 PURWODADI</t>
  </si>
  <si>
    <t>3507171608810001</t>
  </si>
  <si>
    <t>AGUS REDIYANTO, SE., M.Si</t>
  </si>
  <si>
    <t>081333015591</t>
  </si>
  <si>
    <t>BRIGIF 20 KOSTRAD</t>
  </si>
  <si>
    <t>JL. MAPURU JAYA KM 14 (ASRAMA MILITER BRIGIF 20 IJK) KOTA TIMIKA PAPUA TENGAH</t>
  </si>
  <si>
    <t>redirofika@gmail.com</t>
  </si>
  <si>
    <t>ROFIKA MUSTIKA RANI</t>
  </si>
  <si>
    <t>3507175505910001</t>
  </si>
  <si>
    <t>081241582970</t>
  </si>
  <si>
    <t>SD KARTIKA XIX-4</t>
  </si>
  <si>
    <t>JL. TAMAN KARTINI RT.001/RW.002</t>
  </si>
  <si>
    <t>3277012006120007</t>
  </si>
  <si>
    <t>3277010512150002</t>
  </si>
  <si>
    <t>ALVIN</t>
  </si>
  <si>
    <t>CIMAHI</t>
  </si>
  <si>
    <t>JL. RAYA TLOGOMAS NO. 1-3</t>
  </si>
  <si>
    <t>ABDUL KHODIR JUAHERI</t>
  </si>
  <si>
    <t>3277012203860001</t>
  </si>
  <si>
    <t>082227791203</t>
  </si>
  <si>
    <t>PT DERISA AERO MANDIRI</t>
  </si>
  <si>
    <t>PONDOK GEDE PLAZA BLOK B-25 PONDOK GEDE BEKASI</t>
  </si>
  <si>
    <t>02184998111-113</t>
  </si>
  <si>
    <t>Rp. 14.000.000</t>
  </si>
  <si>
    <t>RIA ANGRIANI, A.Md.A.K</t>
  </si>
  <si>
    <t>3277016808870009</t>
  </si>
  <si>
    <t>082121391310</t>
  </si>
  <si>
    <t>ARUNA KIRAN ALMEERA PUTRI NUGROHO</t>
  </si>
  <si>
    <t>SEKOLAH ALAM MANADO</t>
  </si>
  <si>
    <t>JL. KONSOLIDASI No. 117</t>
  </si>
  <si>
    <t>6403091410190009</t>
  </si>
  <si>
    <t>3509075210170001</t>
  </si>
  <si>
    <t>ARUNA</t>
  </si>
  <si>
    <t xml:space="preserve">PERUM GRIYA PANIKI INDAH </t>
  </si>
  <si>
    <t>ARIK SETYO NUGROHO, ST</t>
  </si>
  <si>
    <t>VENA ENERGI Indonesia</t>
  </si>
  <si>
    <t>PASIFIC CENTURY PLACE 36TH, SCBD LT. 10</t>
  </si>
  <si>
    <t>Devknight999@gmail.com</t>
  </si>
  <si>
    <t>FIFIT SAFARIAH, S.Kom</t>
  </si>
  <si>
    <t>SD ISLAM AZ ZAHRA BANDAR LAMPUNG</t>
  </si>
  <si>
    <t>JL. D.I PANJAITAN No. 5 GOTONG ROYONG</t>
  </si>
  <si>
    <t>3155659835</t>
  </si>
  <si>
    <t>3573012211100089</t>
  </si>
  <si>
    <t>3573011109150004</t>
  </si>
  <si>
    <t>PERUM KENANGA JAYA KAV. 11</t>
  </si>
  <si>
    <t>KASMANI WIRYA SUYANA, ST</t>
  </si>
  <si>
    <t>10 AGUTUS 1969</t>
  </si>
  <si>
    <t>3573011008690009</t>
  </si>
  <si>
    <t>08113622781</t>
  </si>
  <si>
    <t>PT NESTLE Indonesia PANJANG FACTORY</t>
  </si>
  <si>
    <t>JL. RAYA BAKAUHENI No. KM 13 SRENGSEM KECAMATAN PANJANG KOTA BANDAR LAMPUNG</t>
  </si>
  <si>
    <t>0721-31253</t>
  </si>
  <si>
    <t>HELA WULANSARI, SE</t>
  </si>
  <si>
    <t>3573036405900006</t>
  </si>
  <si>
    <t>081554666494</t>
  </si>
  <si>
    <t>04 JULI 2026</t>
  </si>
  <si>
    <t>SDIT AL HIKMAH</t>
  </si>
  <si>
    <t>JL ASNGARI BENCE GARUM BLITAR</t>
  </si>
  <si>
    <t>3505212911120001</t>
  </si>
  <si>
    <t>3505210803180001</t>
  </si>
  <si>
    <t>PERUMAHAN WANGSAKARTA BLOK AA28</t>
  </si>
  <si>
    <t>HARI BUDIARTO, ST</t>
  </si>
  <si>
    <t>3505210711840001</t>
  </si>
  <si>
    <t>081216699997</t>
  </si>
  <si>
    <t>JL. EMBONG TRENGGULI No. 19-21 EMBONG KALIASIN, GENTENG, SURABAYA</t>
  </si>
  <si>
    <t>0315340651</t>
  </si>
  <si>
    <t>hari.budiarto@gmail.com</t>
  </si>
  <si>
    <t>3505194101850006</t>
  </si>
  <si>
    <t>YANIAR YOSI CHRISTIANITA, A.Md.Kep</t>
  </si>
  <si>
    <t>081216699991</t>
  </si>
  <si>
    <t>JL Ahmad YANI RT2 RW 3 KESAMBEN BLITAR</t>
  </si>
  <si>
    <t>SD ISLAM AL CHUSNAINI SIDOARJO</t>
  </si>
  <si>
    <t>PERUM PASEGAN ASRI DESA KLOPOSEPULUH SUKODONO SIDOARJO</t>
  </si>
  <si>
    <t>3573050104140006</t>
  </si>
  <si>
    <t>3573056908170003</t>
  </si>
  <si>
    <t>PERUMAHAN JAWALAND BLOK F-9</t>
  </si>
  <si>
    <t>Ir. Abdurrohman Taufiq, ST.</t>
  </si>
  <si>
    <t>3573052712860001</t>
  </si>
  <si>
    <t>085646440986</t>
  </si>
  <si>
    <t>DINAS PU SUMBER DAYA AIRPROVINSI JAWA TIMUR</t>
  </si>
  <si>
    <t>JL. GAYUNG KEBONSARI 169 SURABAYA</t>
  </si>
  <si>
    <t>(031) 8292419</t>
  </si>
  <si>
    <t>ma2n.aelho@gmail.com</t>
  </si>
  <si>
    <t>MERISKA PUTRI WAHYUNINGTYAS, ST.</t>
  </si>
  <si>
    <t>5021097012901001</t>
  </si>
  <si>
    <t>0878-5270-3253</t>
  </si>
  <si>
    <t xml:space="preserve">Delima Bakery </t>
  </si>
  <si>
    <t xml:space="preserve">Jl. Hasanuddin Kota Batu </t>
  </si>
  <si>
    <t>3191073142</t>
  </si>
  <si>
    <t>350730311121800004</t>
  </si>
  <si>
    <t>3197480736</t>
  </si>
  <si>
    <t>3175031605170014</t>
  </si>
  <si>
    <t>3192621705</t>
  </si>
  <si>
    <t>3573020305170001</t>
  </si>
  <si>
    <t>3209030366</t>
  </si>
  <si>
    <t>3573051408072614</t>
  </si>
  <si>
    <t>AHMAD RISKI BAIHAQI</t>
  </si>
  <si>
    <t>3507232603150004</t>
  </si>
  <si>
    <t>3203452844</t>
  </si>
  <si>
    <t>3203464357</t>
  </si>
  <si>
    <t>3573051902180005</t>
  </si>
  <si>
    <t>3276102910180004</t>
  </si>
  <si>
    <t>3194677510</t>
  </si>
  <si>
    <t>3205188675</t>
  </si>
  <si>
    <t>3198797929</t>
  </si>
  <si>
    <t>3507220907190005</t>
  </si>
  <si>
    <t>3573010301110009</t>
  </si>
  <si>
    <t>3190145391</t>
  </si>
  <si>
    <t>3573051912190008</t>
  </si>
  <si>
    <t>3206564050</t>
  </si>
  <si>
    <t>3507232610170001</t>
  </si>
  <si>
    <t>3196405900</t>
  </si>
  <si>
    <t>3507222409190010</t>
  </si>
  <si>
    <t>3573051803190007</t>
  </si>
  <si>
    <t>3195767578</t>
  </si>
  <si>
    <t>3196573842</t>
  </si>
  <si>
    <t>3573052303200008</t>
  </si>
  <si>
    <t>3193961919</t>
  </si>
  <si>
    <t>3199365836</t>
  </si>
  <si>
    <t>3507241102190013</t>
  </si>
  <si>
    <t>3186347593</t>
  </si>
  <si>
    <t>3205049129</t>
  </si>
  <si>
    <t>6403014101190009</t>
  </si>
  <si>
    <t>3183015277</t>
  </si>
  <si>
    <t>357305300100013</t>
  </si>
  <si>
    <t>3579032612190004</t>
  </si>
  <si>
    <t>31996477313</t>
  </si>
  <si>
    <t>3573052211220010</t>
  </si>
  <si>
    <t>3202886598</t>
  </si>
  <si>
    <t>3573050401210002</t>
  </si>
  <si>
    <t>35730205112170004</t>
  </si>
  <si>
    <t>3198288777</t>
  </si>
  <si>
    <t>3507180612190008</t>
  </si>
  <si>
    <t>3573050307190002</t>
  </si>
  <si>
    <t>3208836200</t>
  </si>
  <si>
    <t>3175072406190071</t>
  </si>
  <si>
    <t>3191518965</t>
  </si>
  <si>
    <t>3573050402200005</t>
  </si>
  <si>
    <t>3573050108200003</t>
  </si>
  <si>
    <t>3185561643</t>
  </si>
  <si>
    <t>3507231402180010</t>
  </si>
  <si>
    <t>3507230512180004</t>
  </si>
  <si>
    <t>MUHAMMAD FAYYAD GHASSAN HERMAWAN</t>
  </si>
  <si>
    <t>MUHAMMAD FATIH ADIPUTRA</t>
  </si>
  <si>
    <t>R.P. MAXIME JUNIOR TJAKRADIPUTRA</t>
  </si>
  <si>
    <t>NAYLA CLARINE ANINDYASWARI</t>
  </si>
  <si>
    <t>ALTHAFIZ RIFFA ALDEBARAN</t>
  </si>
  <si>
    <t>AYESHA MIKHAYLA ADREENA SETIAWAN</t>
  </si>
  <si>
    <t>FIRDANO ALVARO RAYHAN</t>
  </si>
  <si>
    <t>MUHAMMAD HAFIZ AL IHSAN</t>
  </si>
  <si>
    <t>AISHA AZZAHRA RISZALDI</t>
  </si>
  <si>
    <t>RAISYA SHEZA ADREENA</t>
  </si>
  <si>
    <t>HALWA GOEH CAPILLARY</t>
  </si>
  <si>
    <t>AURORA GHAITSA ARSYVA</t>
  </si>
  <si>
    <t>RANIA AZZAHRA PUTRI ARLEA</t>
  </si>
  <si>
    <t>ARSYILA KIRANA SHANUM</t>
  </si>
  <si>
    <t>KINAN MIKHAYLA ARSYLA</t>
  </si>
  <si>
    <t>KHALFANI RIFAN ZAMZAMI</t>
  </si>
  <si>
    <t>ARYANTA RASENDRIA</t>
  </si>
  <si>
    <t>KAFIE ATHALLAH GHAZIY WIRAYUDA</t>
  </si>
  <si>
    <t>HAFIZH IRHAM FERDIANSYAH</t>
  </si>
  <si>
    <t>RAFARDHAN ALBIANSYAH RAHARJO</t>
  </si>
  <si>
    <t>MIKHAYLA AVICENNA CALIEFA AZNII</t>
  </si>
  <si>
    <t>31966991309</t>
  </si>
  <si>
    <t>3205979364</t>
  </si>
  <si>
    <t>3573053001200009</t>
  </si>
  <si>
    <t>085259744218</t>
  </si>
  <si>
    <t>3208549116</t>
  </si>
  <si>
    <t>3195586169</t>
  </si>
  <si>
    <t>3573051510200001</t>
  </si>
  <si>
    <t>3190738072</t>
  </si>
  <si>
    <t>3573054105200002</t>
  </si>
  <si>
    <t>3209200407180007</t>
  </si>
  <si>
    <t>3199597569</t>
  </si>
  <si>
    <t>3507041401200005</t>
  </si>
  <si>
    <t>3197312718</t>
  </si>
  <si>
    <t>3573031008072361</t>
  </si>
  <si>
    <t>3190246903</t>
  </si>
  <si>
    <t>3507250502210001</t>
  </si>
  <si>
    <t>3197686876</t>
  </si>
  <si>
    <t>3573020701200001</t>
  </si>
  <si>
    <t>3198173105</t>
  </si>
  <si>
    <t>3517063009190006</t>
  </si>
  <si>
    <t>3573031010130021</t>
  </si>
  <si>
    <t>3208860696</t>
  </si>
  <si>
    <t>3524071608105601</t>
  </si>
  <si>
    <t>3507232709130004</t>
  </si>
  <si>
    <t>3191576519</t>
  </si>
  <si>
    <t>3573051604180010</t>
  </si>
  <si>
    <t>3194573859</t>
  </si>
  <si>
    <t>3573051508310008</t>
  </si>
  <si>
    <t>3573051008070771</t>
  </si>
  <si>
    <t>3192881019</t>
  </si>
  <si>
    <t>3507091303180016</t>
  </si>
  <si>
    <t>3573052510180006</t>
  </si>
  <si>
    <t>3573051404140003</t>
  </si>
  <si>
    <t>3197791829</t>
  </si>
  <si>
    <t>3198141575</t>
  </si>
  <si>
    <t>3507232202180021</t>
  </si>
  <si>
    <t>3507232811190001</t>
  </si>
  <si>
    <t>3195065671</t>
  </si>
  <si>
    <t>3573051403230011</t>
  </si>
  <si>
    <t>3573050903150014</t>
  </si>
  <si>
    <t>3194639128</t>
  </si>
  <si>
    <t>MUHAMMAD ADHYAKSA ATQA ALFATIH</t>
  </si>
  <si>
    <t>3507221511200001</t>
  </si>
  <si>
    <t>3197150648</t>
  </si>
  <si>
    <t>3507230904130001</t>
  </si>
  <si>
    <t>3195358838</t>
  </si>
  <si>
    <t>3190842102</t>
  </si>
  <si>
    <t>3573052311200001</t>
  </si>
  <si>
    <t>3517082711180011</t>
  </si>
  <si>
    <t>3195331696</t>
  </si>
  <si>
    <t>3205930359</t>
  </si>
  <si>
    <t>3203106403</t>
  </si>
  <si>
    <t>3573010612180010</t>
  </si>
  <si>
    <t>3197388877</t>
  </si>
  <si>
    <t>3205298409</t>
  </si>
  <si>
    <t>'3579031810180002</t>
  </si>
  <si>
    <t>3515091508130003</t>
  </si>
  <si>
    <t>3204098546</t>
  </si>
  <si>
    <t>3195611627</t>
  </si>
  <si>
    <t>3199600618</t>
  </si>
  <si>
    <t>3575021109130001</t>
  </si>
  <si>
    <t>3195727699</t>
  </si>
  <si>
    <t>3514091803140011</t>
  </si>
  <si>
    <t>3514090809190002</t>
  </si>
  <si>
    <t>3202582657</t>
  </si>
  <si>
    <t>320299422</t>
  </si>
  <si>
    <t>35071800903180003</t>
  </si>
  <si>
    <t>3199920813</t>
  </si>
  <si>
    <t>3515050709180004</t>
  </si>
  <si>
    <t>31945563125</t>
  </si>
  <si>
    <t>3197088375</t>
  </si>
  <si>
    <t>3578080909140010</t>
  </si>
  <si>
    <t>3198397967</t>
  </si>
  <si>
    <t>3573050809160025</t>
  </si>
  <si>
    <t>3507250310180004</t>
  </si>
  <si>
    <t>3191154680</t>
  </si>
  <si>
    <t>3573051902130012</t>
  </si>
  <si>
    <t>3202869285</t>
  </si>
  <si>
    <t>3573050110180009</t>
  </si>
  <si>
    <t>3573052211180016</t>
  </si>
  <si>
    <t>3197808168</t>
  </si>
  <si>
    <t>3573052712180030</t>
  </si>
  <si>
    <t>3209229995</t>
  </si>
  <si>
    <t>3573052903190001</t>
  </si>
  <si>
    <t>3573021909190007</t>
  </si>
  <si>
    <t>3198466212</t>
  </si>
  <si>
    <t>3516121211180006</t>
  </si>
  <si>
    <t>3308180706170004</t>
  </si>
  <si>
    <t>3199563005</t>
  </si>
  <si>
    <t>3573011909190005</t>
  </si>
  <si>
    <t>'3204650024</t>
  </si>
  <si>
    <t>3573050210150005</t>
  </si>
  <si>
    <t>3507102905120001</t>
  </si>
  <si>
    <t>3573050703220000</t>
  </si>
  <si>
    <t>3573051008070536</t>
  </si>
  <si>
    <t>3194133561</t>
  </si>
  <si>
    <t>3199245319</t>
  </si>
  <si>
    <t>3526012208190004</t>
  </si>
  <si>
    <t>3208559942</t>
  </si>
  <si>
    <t>9171021802140010</t>
  </si>
  <si>
    <t>3180610841</t>
  </si>
  <si>
    <t>3198531177</t>
  </si>
  <si>
    <t>3198980505</t>
  </si>
  <si>
    <t>3514080404180002</t>
  </si>
  <si>
    <t>3197486497</t>
  </si>
  <si>
    <t>Tapel 2026-2027</t>
  </si>
  <si>
    <t>BERLIAN</t>
  </si>
  <si>
    <t>MUTIARA</t>
  </si>
  <si>
    <t>SAFIR</t>
  </si>
  <si>
    <t>3196274753</t>
  </si>
  <si>
    <t>3195719568</t>
  </si>
  <si>
    <t>Paramita Puri Anggraini, S.Pd.Gr</t>
  </si>
  <si>
    <t>New GPK Kolaborasi</t>
  </si>
  <si>
    <t xml:space="preserve">Milatun Nafisah, S.Psi </t>
  </si>
  <si>
    <t>Yetsky Yudistira, S.Or</t>
  </si>
  <si>
    <t>Azzahro Maulidiah</t>
  </si>
  <si>
    <t>Varianta Jawa Yuam Miranda, S.Pd.Gr</t>
  </si>
  <si>
    <t>Ika Puspitasari, S.Psi</t>
  </si>
  <si>
    <t>Ferdivan Andra Farerra</t>
  </si>
  <si>
    <t>Putri Wahyuning Laili</t>
  </si>
  <si>
    <t>Raga Cahya Taufikurrahman, S.Pd</t>
  </si>
  <si>
    <t>Mohammad Nurahman, S.P.I., M.Pd</t>
  </si>
  <si>
    <t>GPK Kolaborasi - Bu Asri</t>
  </si>
  <si>
    <t>GPK Kolaborasi - Bu Valda</t>
  </si>
  <si>
    <t>Miftakhul Jannah, S.Pd., S.Pd.Gr</t>
  </si>
  <si>
    <t>Nurhayati</t>
  </si>
  <si>
    <t>Sherly Annisa Ramadhani</t>
  </si>
  <si>
    <t>Nur Laili Sa'adah, S.A</t>
  </si>
  <si>
    <t>Anis Amelia, S.Pd</t>
  </si>
  <si>
    <t>Akhmad Saiful, S.Pd</t>
  </si>
  <si>
    <t>GPK Kolaborasi - Bu Ayu</t>
  </si>
  <si>
    <t xml:space="preserve">Nurul Asri Fitriyah </t>
  </si>
  <si>
    <t>Arif Nur Rahman, S.S., M.Pd.Gr</t>
  </si>
  <si>
    <t>Desty Ariani Mutiara, S.Pd., S.Pd</t>
  </si>
  <si>
    <t>M. Baha'ul Alamsyah Al Faini, S.Pd</t>
  </si>
  <si>
    <t>Prima Suci Ibar Wati Ningrum, S.Or., M.Pd</t>
  </si>
  <si>
    <t>Muhammad Akbar Amin, S.Pd.Gr</t>
  </si>
  <si>
    <t>Kofifah Indar Khoiroh, S.Psi</t>
  </si>
  <si>
    <t>Sri Subakti, S.Pd.SD.Gr</t>
  </si>
  <si>
    <t>Ghoniyur Rohman, S.Pd., S.Pd.SD.Gr</t>
  </si>
  <si>
    <t>Mokh. Danny Permata Utomo, S.Pd.Gr</t>
  </si>
  <si>
    <t>Desi Ratnasari, S.Pd</t>
  </si>
  <si>
    <t>Shofiyatul Mardiyah</t>
  </si>
  <si>
    <t>Yahya Firmansyah, S.Pd</t>
  </si>
  <si>
    <t>Ainur Rifqi, M.Pd</t>
  </si>
  <si>
    <t>Puri Wiranti, S.Pd</t>
  </si>
  <si>
    <t>Hj. Sri Yudianti, S.Pd</t>
  </si>
  <si>
    <t>M. Mukid A.P.</t>
  </si>
  <si>
    <t>EMERALD</t>
  </si>
  <si>
    <t>ALEXANDRITE</t>
  </si>
  <si>
    <t>ONIKS</t>
  </si>
  <si>
    <t>KUARSA</t>
  </si>
  <si>
    <t>ARSYILA RAMADHANI PUTRI NUGROHO</t>
  </si>
  <si>
    <t>08212344772</t>
  </si>
  <si>
    <t>20 AGUSTUS 2026</t>
  </si>
  <si>
    <t>SD AL AZHAR MANDIRI PALU</t>
  </si>
  <si>
    <t>JL. MERPATI II NO.25, TANAMODINDI, MANTIKULORE, KOTA PALU, SULAWESI TENGAH</t>
  </si>
  <si>
    <t>KEANO AUFAR AL-FARUQ</t>
  </si>
  <si>
    <t>KEANO</t>
  </si>
  <si>
    <t>JL. GARUDA NO.21</t>
  </si>
  <si>
    <t>BIROBULI UTARA</t>
  </si>
  <si>
    <t>PALU SELATAN</t>
  </si>
  <si>
    <t>KOTA PALU</t>
  </si>
  <si>
    <t>FARUQ SANJAYA</t>
  </si>
  <si>
    <t>7271030807200004</t>
  </si>
  <si>
    <t>3503130706170001</t>
  </si>
  <si>
    <t>3510082801880004</t>
  </si>
  <si>
    <t>082255000066</t>
  </si>
  <si>
    <t>JL KARANJALEMBA NO.55 001/001 KALUKUBULA, BIROMARU, PALU, SULTENG</t>
  </si>
  <si>
    <t>jayaconcept3@gmail.com</t>
  </si>
  <si>
    <t>LUSI PRIMA WARDHANI</t>
  </si>
  <si>
    <t>3510036705890001</t>
  </si>
  <si>
    <t>082322333303</t>
  </si>
  <si>
    <t>lusiprima1989@gmail.com</t>
  </si>
  <si>
    <t>Syaifud Dina Fitriana</t>
  </si>
  <si>
    <t>Mu Ida Nur Fahilah, S.Pd -- Iinmartalivia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</si>
</sst>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&quot;Rp&quot;#,##0.00"/>
    <numFmt numFmtId="165" formatCode="_(* #,##0_);_(* \(#,##0\);_(* &quot;-&quot;_);_(@_)"/>
    <numFmt numFmtId="166" formatCode="_(* #,##0.0_);_(* \(#,##0.0\);_(* &quot;-&quot;_);_(@_)"/>
    <numFmt numFmtId="167" formatCode="[$-421]dd\ mmmm\ yyyy;@"/>
    <numFmt numFmtId="168" formatCode="_(* #,##0.00_);_(* \(#,##0.00\);_(* &quot;-&quot;_);_(@_)"/>
  </numFmts>
  <fonts count="44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"/>
      <scheme val="minor"/>
    </font>
    <font>
      <b/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indexed="8"/>
      <name val="Calibri"/>
      <family val="2"/>
    </font>
    <font>
      <u/>
      <sz val="11"/>
      <color theme="10"/>
      <name val="Aptos Display"/>
      <family val="2"/>
      <scheme val="major"/>
    </font>
    <font>
      <sz val="11"/>
      <color theme="0"/>
      <name val="Aptos Display"/>
      <family val="2"/>
      <scheme val="major"/>
    </font>
    <font>
      <u/>
      <sz val="10"/>
      <color theme="10"/>
      <name val="Aptos Display"/>
      <family val="2"/>
      <scheme val="major"/>
    </font>
    <font>
      <sz val="8"/>
      <name val="Aptos Narrow"/>
      <family val="2"/>
      <charset val="1"/>
      <scheme val="minor"/>
    </font>
    <font>
      <b/>
      <sz val="11"/>
      <name val="Aptos Display"/>
      <family val="2"/>
      <scheme val="major"/>
    </font>
    <font>
      <sz val="11"/>
      <name val="Aptos Narrow"/>
      <family val="2"/>
      <charset val="1"/>
      <scheme val="minor"/>
    </font>
    <font>
      <sz val="12"/>
      <color rgb="FF000000"/>
      <name val="Tahoma"/>
      <family val="2"/>
    </font>
    <font>
      <sz val="10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Display"/>
      <family val="2"/>
      <charset val="1"/>
      <scheme val="major"/>
    </font>
    <font>
      <sz val="11"/>
      <name val="Aptos Display"/>
      <family val="2"/>
      <charset val="1"/>
      <scheme val="major"/>
    </font>
    <font>
      <sz val="8"/>
      <color theme="1"/>
      <name val="Aptos Display"/>
      <family val="2"/>
      <charset val="1"/>
      <scheme val="major"/>
    </font>
    <font>
      <sz val="10"/>
      <color theme="1"/>
      <name val="Aptos Display"/>
      <family val="2"/>
      <charset val="1"/>
      <scheme val="major"/>
    </font>
    <font>
      <sz val="9"/>
      <color theme="1"/>
      <name val="Aptos Display"/>
      <family val="2"/>
      <charset val="1"/>
      <scheme val="major"/>
    </font>
    <font>
      <sz val="10"/>
      <color rgb="FF000000"/>
      <name val="Aptos Display"/>
      <family val="2"/>
      <charset val="1"/>
      <scheme val="major"/>
    </font>
    <font>
      <b/>
      <sz val="16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9FA"/>
      </patternFill>
    </fill>
    <fill>
      <patternFill patternType="solid">
        <fgColor rgb="FFFF0000"/>
        <bgColor rgb="FFF8F9FA"/>
      </patternFill>
    </fill>
    <fill>
      <patternFill patternType="solid">
        <fgColor rgb="FFFF000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5B3F86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165" fontId="14" fillId="0" borderId="0" applyFont="0" applyFill="0" applyBorder="0" applyAlignment="0" applyProtection="0"/>
    <xf numFmtId="0" fontId="26" fillId="0" borderId="0"/>
  </cellStyleXfs>
  <cellXfs count="597">
    <xf numFmtId="0" fontId="0" fillId="0" borderId="0" xfId="0"/>
    <xf numFmtId="0" fontId="5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1" fontId="10" fillId="0" borderId="4" xfId="0" quotePrefix="1" applyNumberFormat="1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49" fontId="13" fillId="0" borderId="4" xfId="2" applyNumberFormat="1" applyFont="1" applyFill="1" applyBorder="1" applyAlignment="1">
      <alignment horizontal="center" vertical="center" wrapText="1" shrinkToFit="1"/>
    </xf>
    <xf numFmtId="49" fontId="13" fillId="0" borderId="4" xfId="0" applyNumberFormat="1" applyFont="1" applyBorder="1" applyAlignment="1">
      <alignment horizontal="center" vertical="center" wrapText="1" shrinkToFit="1"/>
    </xf>
    <xf numFmtId="15" fontId="10" fillId="0" borderId="4" xfId="0" applyNumberFormat="1" applyFont="1" applyBorder="1" applyAlignment="1">
      <alignment horizontal="center" vertical="center" wrapText="1"/>
    </xf>
    <xf numFmtId="15" fontId="13" fillId="3" borderId="4" xfId="0" applyNumberFormat="1" applyFont="1" applyFill="1" applyBorder="1" applyAlignment="1">
      <alignment horizontal="center" vertical="center" wrapText="1" shrinkToFit="1"/>
    </xf>
    <xf numFmtId="1" fontId="13" fillId="0" borderId="4" xfId="2" quotePrefix="1" applyNumberFormat="1" applyFont="1" applyFill="1" applyBorder="1" applyAlignment="1">
      <alignment horizontal="left" vertical="center" wrapText="1" shrinkToFit="1"/>
    </xf>
    <xf numFmtId="166" fontId="13" fillId="0" borderId="4" xfId="2" applyNumberFormat="1" applyFont="1" applyFill="1" applyBorder="1" applyAlignment="1">
      <alignment horizontal="right" vertical="center" wrapText="1" shrinkToFit="1"/>
    </xf>
    <xf numFmtId="167" fontId="13" fillId="0" borderId="4" xfId="0" applyNumberFormat="1" applyFont="1" applyBorder="1" applyAlignment="1">
      <alignment horizontal="left" vertical="center" wrapText="1" shrinkToFit="1"/>
    </xf>
    <xf numFmtId="1" fontId="13" fillId="0" borderId="4" xfId="0" quotePrefix="1" applyNumberFormat="1" applyFont="1" applyBorder="1" applyAlignment="1">
      <alignment horizontal="left" vertical="center" wrapText="1" shrinkToFit="1"/>
    </xf>
    <xf numFmtId="165" fontId="13" fillId="0" borderId="4" xfId="2" quotePrefix="1" applyFont="1" applyFill="1" applyBorder="1" applyAlignment="1">
      <alignment horizontal="left" vertical="center" wrapText="1" shrinkToFit="1"/>
    </xf>
    <xf numFmtId="164" fontId="10" fillId="0" borderId="4" xfId="0" applyNumberFormat="1" applyFont="1" applyBorder="1" applyAlignment="1">
      <alignment horizontal="center" vertical="center" wrapText="1"/>
    </xf>
    <xf numFmtId="165" fontId="15" fillId="0" borderId="4" xfId="1" applyNumberFormat="1" applyFont="1" applyFill="1" applyBorder="1" applyAlignment="1" applyProtection="1">
      <alignment horizontal="left" vertical="center" wrapText="1" shrinkToFit="1"/>
    </xf>
    <xf numFmtId="49" fontId="13" fillId="0" borderId="4" xfId="0" quotePrefix="1" applyNumberFormat="1" applyFont="1" applyBorder="1" applyAlignment="1">
      <alignment horizontal="center" vertical="center" wrapText="1" shrinkToFit="1"/>
    </xf>
    <xf numFmtId="42" fontId="13" fillId="0" borderId="4" xfId="2" quotePrefix="1" applyNumberFormat="1" applyFont="1" applyFill="1" applyBorder="1" applyAlignment="1">
      <alignment horizontal="center" vertical="center" wrapText="1" shrinkToFit="1"/>
    </xf>
    <xf numFmtId="42" fontId="10" fillId="0" borderId="4" xfId="0" applyNumberFormat="1" applyFont="1" applyBorder="1" applyAlignment="1">
      <alignment vertical="center" wrapText="1"/>
    </xf>
    <xf numFmtId="165" fontId="16" fillId="0" borderId="0" xfId="2" applyFont="1" applyFill="1" applyBorder="1" applyAlignment="1">
      <alignment horizontal="center" vertical="center" wrapText="1" shrinkToFit="1"/>
    </xf>
    <xf numFmtId="165" fontId="13" fillId="0" borderId="0" xfId="2" applyFont="1" applyFill="1" applyBorder="1" applyAlignment="1">
      <alignment horizontal="center" vertical="center" wrapText="1" shrinkToFit="1"/>
    </xf>
    <xf numFmtId="0" fontId="10" fillId="0" borderId="0" xfId="0" applyFont="1" applyAlignment="1">
      <alignment wrapText="1"/>
    </xf>
    <xf numFmtId="0" fontId="12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 shrinkToFit="1"/>
    </xf>
    <xf numFmtId="0" fontId="13" fillId="4" borderId="4" xfId="0" applyFont="1" applyFill="1" applyBorder="1" applyAlignment="1">
      <alignment horizontal="center" vertical="center" wrapText="1" shrinkToFit="1"/>
    </xf>
    <xf numFmtId="0" fontId="10" fillId="4" borderId="4" xfId="0" quotePrefix="1" applyFont="1" applyFill="1" applyBorder="1" applyAlignment="1">
      <alignment horizontal="center" vertical="center" wrapText="1"/>
    </xf>
    <xf numFmtId="49" fontId="13" fillId="4" borderId="4" xfId="2" applyNumberFormat="1" applyFont="1" applyFill="1" applyBorder="1" applyAlignment="1">
      <alignment horizontal="center" vertical="center" wrapText="1" shrinkToFit="1"/>
    </xf>
    <xf numFmtId="49" fontId="13" fillId="4" borderId="4" xfId="0" applyNumberFormat="1" applyFont="1" applyFill="1" applyBorder="1" applyAlignment="1">
      <alignment horizontal="center" vertical="center" wrapText="1" shrinkToFit="1"/>
    </xf>
    <xf numFmtId="15" fontId="10" fillId="4" borderId="4" xfId="0" applyNumberFormat="1" applyFont="1" applyFill="1" applyBorder="1" applyAlignment="1">
      <alignment horizontal="center" vertical="center" wrapText="1"/>
    </xf>
    <xf numFmtId="15" fontId="13" fillId="4" borderId="4" xfId="0" applyNumberFormat="1" applyFont="1" applyFill="1" applyBorder="1" applyAlignment="1">
      <alignment horizontal="center" vertical="center" wrapText="1" shrinkToFit="1"/>
    </xf>
    <xf numFmtId="1" fontId="13" fillId="4" borderId="4" xfId="2" quotePrefix="1" applyNumberFormat="1" applyFont="1" applyFill="1" applyBorder="1" applyAlignment="1">
      <alignment horizontal="left" vertical="center" wrapText="1" shrinkToFit="1"/>
    </xf>
    <xf numFmtId="166" fontId="13" fillId="4" borderId="4" xfId="2" applyNumberFormat="1" applyFont="1" applyFill="1" applyBorder="1" applyAlignment="1">
      <alignment horizontal="right" vertical="center" wrapText="1" shrinkToFit="1"/>
    </xf>
    <xf numFmtId="167" fontId="13" fillId="4" borderId="4" xfId="0" applyNumberFormat="1" applyFont="1" applyFill="1" applyBorder="1" applyAlignment="1">
      <alignment horizontal="left" vertical="center" wrapText="1" shrinkToFit="1"/>
    </xf>
    <xf numFmtId="1" fontId="13" fillId="4" borderId="4" xfId="0" quotePrefix="1" applyNumberFormat="1" applyFont="1" applyFill="1" applyBorder="1" applyAlignment="1">
      <alignment horizontal="left" vertical="center" wrapText="1" shrinkToFit="1"/>
    </xf>
    <xf numFmtId="165" fontId="13" fillId="4" borderId="4" xfId="2" quotePrefix="1" applyFont="1" applyFill="1" applyBorder="1" applyAlignment="1">
      <alignment horizontal="left" vertical="center" wrapText="1" shrinkToFit="1"/>
    </xf>
    <xf numFmtId="164" fontId="13" fillId="4" borderId="4" xfId="2" applyNumberFormat="1" applyFont="1" applyFill="1" applyBorder="1" applyAlignment="1">
      <alignment horizontal="center" vertical="center" wrapText="1" shrinkToFit="1"/>
    </xf>
    <xf numFmtId="165" fontId="17" fillId="4" borderId="4" xfId="1" applyNumberFormat="1" applyFont="1" applyFill="1" applyBorder="1" applyAlignment="1" applyProtection="1">
      <alignment horizontal="left" vertical="center" wrapText="1" shrinkToFit="1"/>
    </xf>
    <xf numFmtId="49" fontId="10" fillId="4" borderId="4" xfId="0" quotePrefix="1" applyNumberFormat="1" applyFont="1" applyFill="1" applyBorder="1" applyAlignment="1">
      <alignment horizontal="center" vertical="center" wrapText="1"/>
    </xf>
    <xf numFmtId="42" fontId="13" fillId="4" borderId="4" xfId="2" applyNumberFormat="1" applyFont="1" applyFill="1" applyBorder="1" applyAlignment="1">
      <alignment horizontal="left" vertical="center" wrapText="1" shrinkToFit="1"/>
    </xf>
    <xf numFmtId="42" fontId="13" fillId="4" borderId="4" xfId="2" applyNumberFormat="1" applyFont="1" applyFill="1" applyBorder="1" applyAlignment="1">
      <alignment horizontal="right" vertical="center" wrapText="1" shrinkToFit="1"/>
    </xf>
    <xf numFmtId="165" fontId="15" fillId="4" borderId="4" xfId="1" applyNumberFormat="1" applyFont="1" applyFill="1" applyBorder="1" applyAlignment="1" applyProtection="1">
      <alignment horizontal="left" vertical="center" wrapText="1" shrinkToFit="1"/>
    </xf>
    <xf numFmtId="0" fontId="13" fillId="5" borderId="4" xfId="0" applyFont="1" applyFill="1" applyBorder="1" applyAlignment="1">
      <alignment horizontal="center" vertical="center" wrapText="1" shrinkToFit="1"/>
    </xf>
    <xf numFmtId="14" fontId="13" fillId="0" borderId="4" xfId="0" applyNumberFormat="1" applyFont="1" applyBorder="1" applyAlignment="1">
      <alignment horizontal="left" vertical="center" wrapText="1" shrinkToFit="1"/>
    </xf>
    <xf numFmtId="14" fontId="13" fillId="4" borderId="4" xfId="0" applyNumberFormat="1" applyFont="1" applyFill="1" applyBorder="1" applyAlignment="1">
      <alignment horizontal="left" vertical="center" wrapText="1" shrinkToFit="1"/>
    </xf>
    <xf numFmtId="14" fontId="0" fillId="0" borderId="0" xfId="0" applyNumberFormat="1"/>
    <xf numFmtId="14" fontId="13" fillId="0" borderId="4" xfId="0" applyNumberFormat="1" applyFont="1" applyBorder="1" applyAlignment="1">
      <alignment horizontal="center" vertical="center" wrapText="1" shrinkToFit="1"/>
    </xf>
    <xf numFmtId="14" fontId="13" fillId="4" borderId="4" xfId="0" applyNumberFormat="1" applyFont="1" applyFill="1" applyBorder="1" applyAlignment="1">
      <alignment horizontal="center" vertical="center" wrapText="1" shrinkToFi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13" fillId="0" borderId="4" xfId="2" applyNumberFormat="1" applyFont="1" applyFill="1" applyBorder="1" applyAlignment="1">
      <alignment horizontal="left" vertical="center" wrapText="1" shrinkToFit="1"/>
    </xf>
    <xf numFmtId="0" fontId="0" fillId="0" borderId="0" xfId="0" applyAlignment="1">
      <alignment horizontal="left"/>
    </xf>
    <xf numFmtId="165" fontId="13" fillId="0" borderId="4" xfId="1" applyNumberFormat="1" applyFont="1" applyFill="1" applyBorder="1" applyAlignment="1" applyProtection="1">
      <alignment horizontal="left" vertical="center" wrapText="1" shrinkToFit="1"/>
    </xf>
    <xf numFmtId="0" fontId="20" fillId="0" borderId="0" xfId="0" applyFont="1"/>
    <xf numFmtId="0" fontId="10" fillId="5" borderId="0" xfId="0" applyFont="1" applyFill="1"/>
    <xf numFmtId="0" fontId="12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1" fontId="10" fillId="3" borderId="4" xfId="0" quotePrefix="1" applyNumberFormat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49" fontId="13" fillId="3" borderId="4" xfId="2" applyNumberFormat="1" applyFont="1" applyFill="1" applyBorder="1" applyAlignment="1">
      <alignment horizontal="center" vertical="center" wrapText="1" shrinkToFit="1"/>
    </xf>
    <xf numFmtId="49" fontId="13" fillId="3" borderId="4" xfId="0" applyNumberFormat="1" applyFont="1" applyFill="1" applyBorder="1" applyAlignment="1">
      <alignment horizontal="center" vertical="center" wrapText="1" shrinkToFit="1"/>
    </xf>
    <xf numFmtId="15" fontId="10" fillId="3" borderId="4" xfId="0" applyNumberFormat="1" applyFont="1" applyFill="1" applyBorder="1" applyAlignment="1">
      <alignment horizontal="center" vertical="center" wrapText="1"/>
    </xf>
    <xf numFmtId="165" fontId="13" fillId="3" borderId="4" xfId="2" applyFont="1" applyFill="1" applyBorder="1" applyAlignment="1">
      <alignment horizontal="left" vertical="center" wrapText="1" shrinkToFit="1"/>
    </xf>
    <xf numFmtId="1" fontId="13" fillId="3" borderId="4" xfId="2" quotePrefix="1" applyNumberFormat="1" applyFont="1" applyFill="1" applyBorder="1" applyAlignment="1">
      <alignment horizontal="left" vertical="center" wrapText="1" shrinkToFit="1"/>
    </xf>
    <xf numFmtId="0" fontId="13" fillId="3" borderId="4" xfId="0" applyFont="1" applyFill="1" applyBorder="1" applyAlignment="1">
      <alignment horizontal="right" vertical="center" wrapText="1" shrinkToFit="1"/>
    </xf>
    <xf numFmtId="166" fontId="13" fillId="3" borderId="4" xfId="2" applyNumberFormat="1" applyFont="1" applyFill="1" applyBorder="1" applyAlignment="1">
      <alignment horizontal="right" vertical="center" wrapText="1" shrinkToFit="1"/>
    </xf>
    <xf numFmtId="0" fontId="10" fillId="3" borderId="4" xfId="0" quotePrefix="1" applyFont="1" applyFill="1" applyBorder="1" applyAlignment="1">
      <alignment horizontal="left" vertical="center" wrapText="1"/>
    </xf>
    <xf numFmtId="167" fontId="13" fillId="3" borderId="4" xfId="0" applyNumberFormat="1" applyFont="1" applyFill="1" applyBorder="1" applyAlignment="1">
      <alignment horizontal="left" vertical="center" wrapText="1" shrinkToFit="1"/>
    </xf>
    <xf numFmtId="1" fontId="13" fillId="3" borderId="4" xfId="0" quotePrefix="1" applyNumberFormat="1" applyFont="1" applyFill="1" applyBorder="1" applyAlignment="1">
      <alignment horizontal="left" vertical="center" wrapText="1" shrinkToFit="1"/>
    </xf>
    <xf numFmtId="0" fontId="13" fillId="3" borderId="4" xfId="0" quotePrefix="1" applyFont="1" applyFill="1" applyBorder="1" applyAlignment="1">
      <alignment horizontal="left" vertical="center" wrapText="1" shrinkToFit="1"/>
    </xf>
    <xf numFmtId="165" fontId="13" fillId="3" borderId="4" xfId="2" quotePrefix="1" applyFont="1" applyFill="1" applyBorder="1" applyAlignment="1">
      <alignment horizontal="left" vertical="center" wrapText="1" shrinkToFit="1"/>
    </xf>
    <xf numFmtId="42" fontId="10" fillId="3" borderId="4" xfId="0" applyNumberFormat="1" applyFont="1" applyFill="1" applyBorder="1" applyAlignment="1">
      <alignment vertical="center" wrapText="1"/>
    </xf>
    <xf numFmtId="164" fontId="15" fillId="3" borderId="4" xfId="1" applyNumberFormat="1" applyFont="1" applyFill="1" applyBorder="1" applyAlignment="1" applyProtection="1">
      <alignment horizontal="center" vertical="center" wrapText="1" shrinkToFit="1"/>
    </xf>
    <xf numFmtId="0" fontId="17" fillId="3" borderId="4" xfId="1" applyFont="1" applyFill="1" applyBorder="1" applyAlignment="1">
      <alignment horizontal="left" vertical="center" wrapText="1" shrinkToFit="1"/>
    </xf>
    <xf numFmtId="49" fontId="13" fillId="3" borderId="4" xfId="0" quotePrefix="1" applyNumberFormat="1" applyFont="1" applyFill="1" applyBorder="1" applyAlignment="1">
      <alignment horizontal="left" vertical="center" wrapText="1" shrinkToFit="1"/>
    </xf>
    <xf numFmtId="165" fontId="15" fillId="3" borderId="4" xfId="1" applyNumberFormat="1" applyFont="1" applyFill="1" applyBorder="1" applyAlignment="1" applyProtection="1">
      <alignment horizontal="left" vertical="center" wrapText="1" shrinkToFit="1"/>
    </xf>
    <xf numFmtId="0" fontId="10" fillId="3" borderId="4" xfId="0" applyFont="1" applyFill="1" applyBorder="1" applyAlignment="1">
      <alignment wrapText="1"/>
    </xf>
    <xf numFmtId="165" fontId="16" fillId="3" borderId="0" xfId="2" applyFont="1" applyFill="1" applyBorder="1" applyAlignment="1">
      <alignment horizontal="center" vertical="center" wrapText="1" shrinkToFit="1"/>
    </xf>
    <xf numFmtId="165" fontId="13" fillId="3" borderId="0" xfId="2" applyFont="1" applyFill="1" applyBorder="1" applyAlignment="1">
      <alignment horizontal="center" vertical="center" wrapText="1" shrinkToFit="1"/>
    </xf>
    <xf numFmtId="0" fontId="10" fillId="3" borderId="0" xfId="0" applyFont="1" applyFill="1" applyAlignment="1">
      <alignment wrapText="1"/>
    </xf>
    <xf numFmtId="0" fontId="13" fillId="3" borderId="4" xfId="0" quotePrefix="1" applyFont="1" applyFill="1" applyBorder="1" applyAlignment="1">
      <alignment horizontal="right" vertical="center" wrapText="1" shrinkToFit="1"/>
    </xf>
    <xf numFmtId="0" fontId="4" fillId="3" borderId="4" xfId="1" applyFill="1" applyBorder="1" applyAlignment="1">
      <alignment horizontal="left" vertical="center" wrapText="1" shrinkToFit="1"/>
    </xf>
    <xf numFmtId="165" fontId="4" fillId="3" borderId="4" xfId="1" applyNumberFormat="1" applyFill="1" applyBorder="1" applyAlignment="1" applyProtection="1">
      <alignment horizontal="left" vertical="center" wrapText="1" shrinkToFit="1"/>
    </xf>
    <xf numFmtId="165" fontId="15" fillId="3" borderId="4" xfId="1" quotePrefix="1" applyNumberFormat="1" applyFont="1" applyFill="1" applyBorder="1" applyAlignment="1" applyProtection="1">
      <alignment horizontal="left" vertical="center" wrapText="1" shrinkToFit="1"/>
    </xf>
    <xf numFmtId="1" fontId="10" fillId="4" borderId="4" xfId="0" quotePrefix="1" applyNumberFormat="1" applyFont="1" applyFill="1" applyBorder="1" applyAlignment="1">
      <alignment horizontal="center" vertical="center" wrapText="1"/>
    </xf>
    <xf numFmtId="0" fontId="13" fillId="3" borderId="4" xfId="0" quotePrefix="1" applyFont="1" applyFill="1" applyBorder="1" applyAlignment="1">
      <alignment horizontal="center" vertical="center" wrapText="1" shrinkToFit="1"/>
    </xf>
    <xf numFmtId="42" fontId="10" fillId="3" borderId="4" xfId="0" quotePrefix="1" applyNumberFormat="1" applyFont="1" applyFill="1" applyBorder="1" applyAlignment="1">
      <alignment vertical="center" wrapText="1"/>
    </xf>
    <xf numFmtId="0" fontId="21" fillId="0" borderId="4" xfId="0" applyFont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 vertical="center" wrapText="1"/>
    </xf>
    <xf numFmtId="49" fontId="13" fillId="3" borderId="4" xfId="0" quotePrefix="1" applyNumberFormat="1" applyFont="1" applyFill="1" applyBorder="1" applyAlignment="1">
      <alignment horizontal="center" vertical="center" wrapText="1" shrinkToFit="1"/>
    </xf>
    <xf numFmtId="42" fontId="13" fillId="3" borderId="4" xfId="2" quotePrefix="1" applyNumberFormat="1" applyFont="1" applyFill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/>
    </xf>
    <xf numFmtId="0" fontId="10" fillId="6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49" fontId="10" fillId="4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4" xfId="0" quotePrefix="1" applyFont="1" applyFill="1" applyBorder="1" applyAlignment="1">
      <alignment horizontal="center" vertical="center"/>
    </xf>
    <xf numFmtId="0" fontId="10" fillId="4" borderId="4" xfId="0" quotePrefix="1" applyFont="1" applyFill="1" applyBorder="1" applyAlignment="1">
      <alignment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4" xfId="0" quotePrefix="1" applyFont="1" applyFill="1" applyBorder="1" applyAlignment="1">
      <alignment horizontal="left" vertical="center"/>
    </xf>
    <xf numFmtId="0" fontId="10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 wrapText="1"/>
    </xf>
    <xf numFmtId="164" fontId="10" fillId="4" borderId="4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/>
    </xf>
    <xf numFmtId="0" fontId="4" fillId="4" borderId="4" xfId="1" applyFill="1" applyBorder="1" applyAlignment="1">
      <alignment horizontal="center" vertical="center"/>
    </xf>
    <xf numFmtId="165" fontId="16" fillId="4" borderId="0" xfId="2" applyFont="1" applyFill="1" applyBorder="1" applyAlignment="1">
      <alignment horizontal="center" vertical="center" wrapText="1" shrinkToFit="1"/>
    </xf>
    <xf numFmtId="165" fontId="13" fillId="4" borderId="0" xfId="2" applyFont="1" applyFill="1" applyBorder="1" applyAlignment="1">
      <alignment horizontal="center" vertical="center" wrapText="1" shrinkToFit="1"/>
    </xf>
    <xf numFmtId="0" fontId="10" fillId="4" borderId="0" xfId="0" applyFont="1" applyFill="1" applyAlignment="1">
      <alignment wrapText="1"/>
    </xf>
    <xf numFmtId="165" fontId="16" fillId="5" borderId="0" xfId="2" applyFont="1" applyFill="1" applyBorder="1" applyAlignment="1">
      <alignment horizontal="center" vertical="center" wrapText="1" shrinkToFit="1"/>
    </xf>
    <xf numFmtId="165" fontId="13" fillId="5" borderId="0" xfId="2" applyFont="1" applyFill="1" applyBorder="1" applyAlignment="1">
      <alignment horizontal="center" vertical="center" wrapText="1" shrinkToFit="1"/>
    </xf>
    <xf numFmtId="0" fontId="10" fillId="5" borderId="0" xfId="0" applyFont="1" applyFill="1" applyAlignment="1">
      <alignment wrapText="1"/>
    </xf>
    <xf numFmtId="165" fontId="16" fillId="7" borderId="0" xfId="2" applyFont="1" applyFill="1" applyBorder="1" applyAlignment="1">
      <alignment horizontal="center" vertical="center" wrapText="1" shrinkToFit="1"/>
    </xf>
    <xf numFmtId="165" fontId="13" fillId="7" borderId="0" xfId="2" applyFont="1" applyFill="1" applyBorder="1" applyAlignment="1">
      <alignment horizontal="center" vertical="center" wrapText="1" shrinkToFit="1"/>
    </xf>
    <xf numFmtId="0" fontId="10" fillId="7" borderId="0" xfId="0" applyFont="1" applyFill="1" applyAlignment="1">
      <alignment wrapText="1"/>
    </xf>
    <xf numFmtId="166" fontId="13" fillId="4" borderId="4" xfId="2" applyNumberFormat="1" applyFont="1" applyFill="1" applyBorder="1" applyAlignment="1">
      <alignment horizontal="left" vertical="center" wrapText="1" shrinkToFit="1"/>
    </xf>
    <xf numFmtId="165" fontId="13" fillId="4" borderId="4" xfId="1" applyNumberFormat="1" applyFont="1" applyFill="1" applyBorder="1" applyAlignment="1" applyProtection="1">
      <alignment horizontal="left" vertical="center" wrapText="1" shrinkToFit="1"/>
    </xf>
    <xf numFmtId="49" fontId="13" fillId="4" borderId="4" xfId="0" quotePrefix="1" applyNumberFormat="1" applyFont="1" applyFill="1" applyBorder="1" applyAlignment="1">
      <alignment horizontal="center" vertical="center" wrapText="1" shrinkToFit="1"/>
    </xf>
    <xf numFmtId="42" fontId="13" fillId="4" borderId="4" xfId="2" quotePrefix="1" applyNumberFormat="1" applyFont="1" applyFill="1" applyBorder="1" applyAlignment="1">
      <alignment horizontal="center" vertical="center" wrapText="1" shrinkToFit="1"/>
    </xf>
    <xf numFmtId="42" fontId="10" fillId="4" borderId="4" xfId="0" applyNumberFormat="1" applyFont="1" applyFill="1" applyBorder="1" applyAlignment="1">
      <alignment vertical="center" wrapText="1"/>
    </xf>
    <xf numFmtId="1" fontId="13" fillId="0" borderId="0" xfId="2" quotePrefix="1" applyNumberFormat="1" applyFont="1" applyFill="1" applyBorder="1" applyAlignment="1">
      <alignment horizontal="left" vertical="center" wrapText="1" shrinkToFit="1"/>
    </xf>
    <xf numFmtId="165" fontId="13" fillId="4" borderId="4" xfId="2" applyFont="1" applyFill="1" applyBorder="1" applyAlignment="1">
      <alignment horizontal="center" vertical="center" wrapText="1" shrinkToFit="1"/>
    </xf>
    <xf numFmtId="166" fontId="13" fillId="4" borderId="4" xfId="2" applyNumberFormat="1" applyFont="1" applyFill="1" applyBorder="1" applyAlignment="1">
      <alignment horizontal="center" vertical="center" wrapText="1" shrinkToFit="1"/>
    </xf>
    <xf numFmtId="165" fontId="13" fillId="0" borderId="4" xfId="2" applyFont="1" applyFill="1" applyBorder="1" applyAlignment="1">
      <alignment horizontal="center" vertical="center" wrapText="1" shrinkToFit="1"/>
    </xf>
    <xf numFmtId="166" fontId="13" fillId="0" borderId="4" xfId="2" applyNumberFormat="1" applyFont="1" applyFill="1" applyBorder="1" applyAlignment="1">
      <alignment horizontal="center" vertical="center" wrapText="1" shrinkToFit="1"/>
    </xf>
    <xf numFmtId="165" fontId="13" fillId="3" borderId="4" xfId="2" applyFont="1" applyFill="1" applyBorder="1" applyAlignment="1">
      <alignment horizontal="center" vertical="center" wrapText="1" shrinkToFit="1"/>
    </xf>
    <xf numFmtId="166" fontId="13" fillId="3" borderId="4" xfId="2" applyNumberFormat="1" applyFont="1" applyFill="1" applyBorder="1" applyAlignment="1">
      <alignment horizontal="center" vertical="center" wrapText="1" shrinkToFit="1"/>
    </xf>
    <xf numFmtId="166" fontId="13" fillId="3" borderId="4" xfId="2" applyNumberFormat="1" applyFont="1" applyFill="1" applyBorder="1" applyAlignment="1">
      <alignment horizontal="left" vertical="center" wrapText="1" shrinkToFit="1"/>
    </xf>
    <xf numFmtId="0" fontId="13" fillId="0" borderId="4" xfId="0" quotePrefix="1" applyFont="1" applyBorder="1" applyAlignment="1">
      <alignment horizontal="left" vertical="center" wrapText="1" shrinkToFit="1"/>
    </xf>
    <xf numFmtId="14" fontId="13" fillId="0" borderId="4" xfId="0" quotePrefix="1" applyNumberFormat="1" applyFont="1" applyBorder="1" applyAlignment="1">
      <alignment horizontal="left" vertical="center" wrapText="1" shrinkToFit="1"/>
    </xf>
    <xf numFmtId="49" fontId="13" fillId="0" borderId="4" xfId="0" quotePrefix="1" applyNumberFormat="1" applyFont="1" applyBorder="1" applyAlignment="1">
      <alignment horizontal="left" vertical="center" wrapText="1" shrinkToFit="1"/>
    </xf>
    <xf numFmtId="0" fontId="0" fillId="15" borderId="0" xfId="0" applyFill="1"/>
    <xf numFmtId="0" fontId="0" fillId="15" borderId="0" xfId="0" applyFill="1" applyAlignment="1">
      <alignment horizontal="left"/>
    </xf>
    <xf numFmtId="0" fontId="0" fillId="15" borderId="0" xfId="0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20" fillId="15" borderId="0" xfId="0" applyFont="1" applyFill="1"/>
    <xf numFmtId="14" fontId="0" fillId="15" borderId="0" xfId="0" applyNumberFormat="1" applyFill="1"/>
    <xf numFmtId="167" fontId="13" fillId="3" borderId="4" xfId="0" applyNumberFormat="1" applyFont="1" applyFill="1" applyBorder="1" applyAlignment="1">
      <alignment horizontal="center" vertical="center" wrapText="1" shrinkToFit="1"/>
    </xf>
    <xf numFmtId="0" fontId="10" fillId="16" borderId="4" xfId="0" quotePrefix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vertical="center"/>
    </xf>
    <xf numFmtId="0" fontId="24" fillId="0" borderId="0" xfId="0" quotePrefix="1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2" fillId="17" borderId="4" xfId="0" applyFont="1" applyFill="1" applyBorder="1" applyAlignment="1">
      <alignment vertical="center"/>
    </xf>
    <xf numFmtId="0" fontId="12" fillId="17" borderId="4" xfId="0" applyFont="1" applyFill="1" applyBorder="1" applyAlignment="1">
      <alignment vertical="center" wrapText="1"/>
    </xf>
    <xf numFmtId="0" fontId="12" fillId="17" borderId="4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4" fontId="12" fillId="17" borderId="4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17" borderId="8" xfId="0" applyFont="1" applyFill="1" applyBorder="1" applyAlignment="1">
      <alignment vertical="center"/>
    </xf>
    <xf numFmtId="0" fontId="12" fillId="17" borderId="4" xfId="0" applyFont="1" applyFill="1" applyBorder="1"/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2" fillId="18" borderId="4" xfId="0" applyFont="1" applyFill="1" applyBorder="1" applyAlignment="1">
      <alignment vertical="center"/>
    </xf>
    <xf numFmtId="0" fontId="12" fillId="18" borderId="4" xfId="0" applyFont="1" applyFill="1" applyBorder="1" applyAlignment="1">
      <alignment horizontal="center" vertical="center"/>
    </xf>
    <xf numFmtId="14" fontId="12" fillId="18" borderId="4" xfId="0" applyNumberFormat="1" applyFont="1" applyFill="1" applyBorder="1" applyAlignment="1">
      <alignment horizontal="center" vertical="center"/>
    </xf>
    <xf numFmtId="0" fontId="12" fillId="18" borderId="8" xfId="0" applyFont="1" applyFill="1" applyBorder="1" applyAlignment="1">
      <alignment vertical="center"/>
    </xf>
    <xf numFmtId="0" fontId="12" fillId="18" borderId="4" xfId="0" applyFont="1" applyFill="1" applyBorder="1"/>
    <xf numFmtId="0" fontId="25" fillId="0" borderId="4" xfId="0" applyFont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1" fontId="13" fillId="3" borderId="4" xfId="2" quotePrefix="1" applyNumberFormat="1" applyFont="1" applyFill="1" applyBorder="1" applyAlignment="1">
      <alignment vertical="center" wrapText="1" shrinkToFit="1"/>
    </xf>
    <xf numFmtId="0" fontId="13" fillId="3" borderId="4" xfId="0" applyFont="1" applyFill="1" applyBorder="1" applyAlignment="1">
      <alignment vertical="center" wrapText="1" shrinkToFit="1"/>
    </xf>
    <xf numFmtId="0" fontId="10" fillId="3" borderId="4" xfId="0" applyFont="1" applyFill="1" applyBorder="1" applyAlignment="1">
      <alignment horizontal="center" vertical="center"/>
    </xf>
    <xf numFmtId="0" fontId="13" fillId="3" borderId="4" xfId="0" quotePrefix="1" applyFont="1" applyFill="1" applyBorder="1" applyAlignment="1">
      <alignment vertical="center" wrapText="1" shrinkToFi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0" fontId="10" fillId="0" borderId="1" xfId="0" quotePrefix="1" applyFont="1" applyBorder="1" applyAlignment="1">
      <alignment horizontal="center" vertical="center" wrapText="1"/>
    </xf>
    <xf numFmtId="49" fontId="13" fillId="0" borderId="1" xfId="2" applyNumberFormat="1" applyFont="1" applyFill="1" applyBorder="1" applyAlignment="1">
      <alignment horizontal="center" vertical="center" wrapText="1" shrinkToFit="1"/>
    </xf>
    <xf numFmtId="49" fontId="13" fillId="0" borderId="1" xfId="0" applyNumberFormat="1" applyFont="1" applyBorder="1" applyAlignment="1">
      <alignment horizontal="center" vertical="center" wrapText="1" shrinkToFit="1"/>
    </xf>
    <xf numFmtId="15" fontId="10" fillId="0" borderId="1" xfId="0" applyNumberFormat="1" applyFont="1" applyBorder="1" applyAlignment="1">
      <alignment horizontal="center" vertical="center" wrapText="1"/>
    </xf>
    <xf numFmtId="15" fontId="13" fillId="3" borderId="1" xfId="0" applyNumberFormat="1" applyFont="1" applyFill="1" applyBorder="1" applyAlignment="1">
      <alignment horizontal="center" vertical="center" wrapText="1" shrinkToFit="1"/>
    </xf>
    <xf numFmtId="165" fontId="13" fillId="0" borderId="1" xfId="2" applyFont="1" applyFill="1" applyBorder="1" applyAlignment="1">
      <alignment horizontal="center" vertical="center" wrapText="1" shrinkToFit="1"/>
    </xf>
    <xf numFmtId="1" fontId="13" fillId="0" borderId="1" xfId="2" quotePrefix="1" applyNumberFormat="1" applyFont="1" applyFill="1" applyBorder="1" applyAlignment="1">
      <alignment horizontal="left" vertical="center" wrapText="1" shrinkToFit="1"/>
    </xf>
    <xf numFmtId="166" fontId="13" fillId="0" borderId="1" xfId="2" applyNumberFormat="1" applyFont="1" applyFill="1" applyBorder="1" applyAlignment="1">
      <alignment horizontal="center" vertical="center" wrapText="1" shrinkToFit="1"/>
    </xf>
    <xf numFmtId="166" fontId="13" fillId="0" borderId="1" xfId="2" applyNumberFormat="1" applyFont="1" applyFill="1" applyBorder="1" applyAlignment="1">
      <alignment horizontal="right" vertical="center" wrapText="1" shrinkToFit="1"/>
    </xf>
    <xf numFmtId="166" fontId="13" fillId="0" borderId="1" xfId="2" applyNumberFormat="1" applyFont="1" applyFill="1" applyBorder="1" applyAlignment="1">
      <alignment horizontal="left" vertical="center" wrapText="1" shrinkToFit="1"/>
    </xf>
    <xf numFmtId="14" fontId="13" fillId="0" borderId="1" xfId="0" applyNumberFormat="1" applyFont="1" applyBorder="1" applyAlignment="1">
      <alignment horizontal="center" vertical="center" wrapText="1" shrinkToFit="1"/>
    </xf>
    <xf numFmtId="167" fontId="13" fillId="0" borderId="1" xfId="0" applyNumberFormat="1" applyFont="1" applyBorder="1" applyAlignment="1">
      <alignment horizontal="left" vertical="center" wrapText="1" shrinkToFit="1"/>
    </xf>
    <xf numFmtId="1" fontId="13" fillId="0" borderId="1" xfId="0" quotePrefix="1" applyNumberFormat="1" applyFont="1" applyBorder="1" applyAlignment="1">
      <alignment horizontal="left" vertical="center" wrapText="1" shrinkToFit="1"/>
    </xf>
    <xf numFmtId="165" fontId="13" fillId="0" borderId="1" xfId="2" quotePrefix="1" applyFont="1" applyFill="1" applyBorder="1" applyAlignment="1">
      <alignment horizontal="left" vertical="center" wrapText="1" shrinkToFit="1"/>
    </xf>
    <xf numFmtId="164" fontId="10" fillId="0" borderId="1" xfId="0" applyNumberFormat="1" applyFont="1" applyBorder="1" applyAlignment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left" vertical="center" wrapText="1" shrinkToFit="1"/>
    </xf>
    <xf numFmtId="49" fontId="13" fillId="0" borderId="1" xfId="0" quotePrefix="1" applyNumberFormat="1" applyFont="1" applyBorder="1" applyAlignment="1">
      <alignment horizontal="center" vertical="center" wrapText="1" shrinkToFit="1"/>
    </xf>
    <xf numFmtId="14" fontId="13" fillId="0" borderId="1" xfId="0" applyNumberFormat="1" applyFont="1" applyBorder="1" applyAlignment="1">
      <alignment horizontal="left" vertical="center" wrapText="1" shrinkToFit="1"/>
    </xf>
    <xf numFmtId="42" fontId="13" fillId="0" borderId="1" xfId="2" quotePrefix="1" applyNumberFormat="1" applyFont="1" applyFill="1" applyBorder="1" applyAlignment="1">
      <alignment horizontal="center" vertical="center" wrapText="1" shrinkToFit="1"/>
    </xf>
    <xf numFmtId="42" fontId="10" fillId="0" borderId="1" xfId="0" applyNumberFormat="1" applyFont="1" applyBorder="1" applyAlignment="1">
      <alignment vertical="center" wrapText="1"/>
    </xf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20" fillId="5" borderId="4" xfId="0" applyFont="1" applyFill="1" applyBorder="1"/>
    <xf numFmtId="14" fontId="0" fillId="5" borderId="4" xfId="0" applyNumberFormat="1" applyFill="1" applyBorder="1"/>
    <xf numFmtId="15" fontId="10" fillId="3" borderId="4" xfId="0" quotePrefix="1" applyNumberFormat="1" applyFont="1" applyFill="1" applyBorder="1" applyAlignment="1">
      <alignment horizontal="center" vertical="center" wrapText="1"/>
    </xf>
    <xf numFmtId="12" fontId="10" fillId="3" borderId="4" xfId="0" quotePrefix="1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13" fillId="3" borderId="4" xfId="0" applyNumberFormat="1" applyFont="1" applyFill="1" applyBorder="1" applyAlignment="1">
      <alignment horizontal="center" vertical="center" wrapText="1" shrinkToFit="1"/>
    </xf>
    <xf numFmtId="14" fontId="13" fillId="3" borderId="4" xfId="0" applyNumberFormat="1" applyFont="1" applyFill="1" applyBorder="1" applyAlignment="1">
      <alignment horizontal="left" vertical="center" wrapText="1" shrinkToFit="1"/>
    </xf>
    <xf numFmtId="165" fontId="15" fillId="3" borderId="0" xfId="1" applyNumberFormat="1" applyFont="1" applyFill="1" applyBorder="1" applyAlignment="1" applyProtection="1">
      <alignment horizontal="left" vertical="center" wrapText="1" shrinkToFit="1"/>
    </xf>
    <xf numFmtId="0" fontId="10" fillId="3" borderId="4" xfId="0" applyFont="1" applyFill="1" applyBorder="1" applyAlignment="1">
      <alignment vertical="center"/>
    </xf>
    <xf numFmtId="49" fontId="10" fillId="3" borderId="4" xfId="0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quotePrefix="1" applyFont="1" applyFill="1" applyBorder="1" applyAlignment="1">
      <alignment horizontal="center" vertical="center"/>
    </xf>
    <xf numFmtId="15" fontId="10" fillId="3" borderId="4" xfId="0" applyNumberFormat="1" applyFont="1" applyFill="1" applyBorder="1" applyAlignment="1">
      <alignment horizontal="center" vertical="center"/>
    </xf>
    <xf numFmtId="0" fontId="10" fillId="3" borderId="4" xfId="0" quotePrefix="1" applyFont="1" applyFill="1" applyBorder="1" applyAlignment="1">
      <alignment horizontal="left" vertical="center"/>
    </xf>
    <xf numFmtId="0" fontId="10" fillId="3" borderId="4" xfId="0" quotePrefix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49" fontId="10" fillId="3" borderId="4" xfId="0" applyNumberFormat="1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left"/>
    </xf>
    <xf numFmtId="0" fontId="4" fillId="3" borderId="4" xfId="1" applyFill="1" applyBorder="1" applyAlignment="1">
      <alignment horizontal="center" vertical="center"/>
    </xf>
    <xf numFmtId="1" fontId="10" fillId="0" borderId="1" xfId="0" quotePrefix="1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 shrinkToFit="1"/>
    </xf>
    <xf numFmtId="0" fontId="13" fillId="4" borderId="1" xfId="0" applyFont="1" applyFill="1" applyBorder="1" applyAlignment="1">
      <alignment horizontal="center" vertical="center" wrapText="1" shrinkToFit="1"/>
    </xf>
    <xf numFmtId="1" fontId="10" fillId="4" borderId="1" xfId="0" quotePrefix="1" applyNumberFormat="1" applyFont="1" applyFill="1" applyBorder="1" applyAlignment="1">
      <alignment horizontal="center" vertical="center" wrapText="1"/>
    </xf>
    <xf numFmtId="0" fontId="10" fillId="4" borderId="1" xfId="0" quotePrefix="1" applyFont="1" applyFill="1" applyBorder="1" applyAlignment="1">
      <alignment horizontal="center" vertical="center" wrapText="1"/>
    </xf>
    <xf numFmtId="49" fontId="13" fillId="4" borderId="1" xfId="2" applyNumberFormat="1" applyFont="1" applyFill="1" applyBorder="1" applyAlignment="1">
      <alignment horizontal="center" vertical="center" wrapText="1" shrinkToFit="1"/>
    </xf>
    <xf numFmtId="49" fontId="13" fillId="4" borderId="1" xfId="0" applyNumberFormat="1" applyFont="1" applyFill="1" applyBorder="1" applyAlignment="1">
      <alignment horizontal="center" vertical="center" wrapText="1" shrinkToFit="1"/>
    </xf>
    <xf numFmtId="15" fontId="10" fillId="4" borderId="1" xfId="0" applyNumberFormat="1" applyFont="1" applyFill="1" applyBorder="1" applyAlignment="1">
      <alignment horizontal="center" vertical="center" wrapText="1"/>
    </xf>
    <xf numFmtId="15" fontId="13" fillId="4" borderId="1" xfId="0" applyNumberFormat="1" applyFont="1" applyFill="1" applyBorder="1" applyAlignment="1">
      <alignment horizontal="center" vertical="center" wrapText="1" shrinkToFit="1"/>
    </xf>
    <xf numFmtId="165" fontId="13" fillId="4" borderId="1" xfId="2" applyFont="1" applyFill="1" applyBorder="1" applyAlignment="1">
      <alignment horizontal="center" vertical="center" wrapText="1" shrinkToFit="1"/>
    </xf>
    <xf numFmtId="1" fontId="13" fillId="4" borderId="1" xfId="2" quotePrefix="1" applyNumberFormat="1" applyFont="1" applyFill="1" applyBorder="1" applyAlignment="1">
      <alignment horizontal="left" vertical="center" wrapText="1" shrinkToFit="1"/>
    </xf>
    <xf numFmtId="166" fontId="13" fillId="4" borderId="1" xfId="2" applyNumberFormat="1" applyFont="1" applyFill="1" applyBorder="1" applyAlignment="1">
      <alignment horizontal="center" vertical="center" wrapText="1" shrinkToFit="1"/>
    </xf>
    <xf numFmtId="166" fontId="13" fillId="4" borderId="1" xfId="2" applyNumberFormat="1" applyFont="1" applyFill="1" applyBorder="1" applyAlignment="1">
      <alignment horizontal="right" vertical="center" wrapText="1" shrinkToFit="1"/>
    </xf>
    <xf numFmtId="166" fontId="13" fillId="4" borderId="1" xfId="2" applyNumberFormat="1" applyFont="1" applyFill="1" applyBorder="1" applyAlignment="1">
      <alignment horizontal="left" vertical="center" wrapText="1" shrinkToFit="1"/>
    </xf>
    <xf numFmtId="167" fontId="13" fillId="4" borderId="1" xfId="0" applyNumberFormat="1" applyFont="1" applyFill="1" applyBorder="1" applyAlignment="1">
      <alignment horizontal="left" vertical="center" wrapText="1" shrinkToFit="1"/>
    </xf>
    <xf numFmtId="1" fontId="13" fillId="4" borderId="1" xfId="0" quotePrefix="1" applyNumberFormat="1" applyFont="1" applyFill="1" applyBorder="1" applyAlignment="1">
      <alignment horizontal="left" vertical="center" wrapText="1" shrinkToFit="1"/>
    </xf>
    <xf numFmtId="165" fontId="13" fillId="4" borderId="1" xfId="2" quotePrefix="1" applyFont="1" applyFill="1" applyBorder="1" applyAlignment="1">
      <alignment horizontal="left" vertical="center" wrapText="1" shrinkToFit="1"/>
    </xf>
    <xf numFmtId="164" fontId="13" fillId="4" borderId="1" xfId="2" applyNumberFormat="1" applyFont="1" applyFill="1" applyBorder="1" applyAlignment="1">
      <alignment horizontal="center" vertical="center" wrapText="1" shrinkToFit="1"/>
    </xf>
    <xf numFmtId="165" fontId="17" fillId="4" borderId="1" xfId="1" applyNumberFormat="1" applyFont="1" applyFill="1" applyBorder="1" applyAlignment="1" applyProtection="1">
      <alignment horizontal="left" vertical="center" wrapText="1" shrinkToFit="1"/>
    </xf>
    <xf numFmtId="49" fontId="10" fillId="4" borderId="1" xfId="0" quotePrefix="1" applyNumberFormat="1" applyFont="1" applyFill="1" applyBorder="1" applyAlignment="1">
      <alignment horizontal="center" vertical="center" wrapText="1"/>
    </xf>
    <xf numFmtId="49" fontId="13" fillId="4" borderId="1" xfId="0" quotePrefix="1" applyNumberFormat="1" applyFont="1" applyFill="1" applyBorder="1" applyAlignment="1">
      <alignment horizontal="center" vertical="center" wrapText="1" shrinkToFit="1"/>
    </xf>
    <xf numFmtId="42" fontId="13" fillId="4" borderId="1" xfId="2" applyNumberFormat="1" applyFont="1" applyFill="1" applyBorder="1" applyAlignment="1">
      <alignment horizontal="left" vertical="center" wrapText="1" shrinkToFit="1"/>
    </xf>
    <xf numFmtId="42" fontId="13" fillId="4" borderId="1" xfId="2" applyNumberFormat="1" applyFont="1" applyFill="1" applyBorder="1" applyAlignment="1">
      <alignment horizontal="right" vertical="center" wrapText="1" shrinkToFit="1"/>
    </xf>
    <xf numFmtId="165" fontId="15" fillId="4" borderId="1" xfId="1" applyNumberFormat="1" applyFont="1" applyFill="1" applyBorder="1" applyAlignment="1" applyProtection="1">
      <alignment horizontal="left" vertical="center" wrapText="1" shrinkToFit="1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 shrinkToFit="1"/>
    </xf>
    <xf numFmtId="0" fontId="13" fillId="0" borderId="5" xfId="0" applyFont="1" applyBorder="1" applyAlignment="1">
      <alignment horizontal="center" vertical="center" wrapText="1" shrinkToFit="1"/>
    </xf>
    <xf numFmtId="1" fontId="10" fillId="0" borderId="5" xfId="0" quotePrefix="1" applyNumberFormat="1" applyFont="1" applyBorder="1" applyAlignment="1">
      <alignment horizontal="center" vertical="center" wrapText="1"/>
    </xf>
    <xf numFmtId="0" fontId="10" fillId="0" borderId="5" xfId="0" quotePrefix="1" applyFont="1" applyBorder="1" applyAlignment="1">
      <alignment horizontal="center" vertical="center" wrapText="1"/>
    </xf>
    <xf numFmtId="49" fontId="13" fillId="0" borderId="5" xfId="2" applyNumberFormat="1" applyFont="1" applyFill="1" applyBorder="1" applyAlignment="1">
      <alignment horizontal="center" vertical="center" wrapText="1" shrinkToFit="1"/>
    </xf>
    <xf numFmtId="49" fontId="13" fillId="0" borderId="5" xfId="0" applyNumberFormat="1" applyFont="1" applyBorder="1" applyAlignment="1">
      <alignment horizontal="center" vertical="center" wrapText="1" shrinkToFit="1"/>
    </xf>
    <xf numFmtId="15" fontId="10" fillId="0" borderId="5" xfId="0" applyNumberFormat="1" applyFont="1" applyBorder="1" applyAlignment="1">
      <alignment horizontal="center" vertical="center" wrapText="1"/>
    </xf>
    <xf numFmtId="15" fontId="13" fillId="3" borderId="5" xfId="0" applyNumberFormat="1" applyFont="1" applyFill="1" applyBorder="1" applyAlignment="1">
      <alignment horizontal="center" vertical="center" wrapText="1" shrinkToFit="1"/>
    </xf>
    <xf numFmtId="165" fontId="13" fillId="0" borderId="5" xfId="2" applyFont="1" applyFill="1" applyBorder="1" applyAlignment="1">
      <alignment horizontal="center" vertical="center" wrapText="1" shrinkToFit="1"/>
    </xf>
    <xf numFmtId="1" fontId="13" fillId="0" borderId="5" xfId="2" quotePrefix="1" applyNumberFormat="1" applyFont="1" applyFill="1" applyBorder="1" applyAlignment="1">
      <alignment horizontal="left" vertical="center" wrapText="1" shrinkToFit="1"/>
    </xf>
    <xf numFmtId="166" fontId="13" fillId="0" borderId="5" xfId="2" applyNumberFormat="1" applyFont="1" applyFill="1" applyBorder="1" applyAlignment="1">
      <alignment horizontal="center" vertical="center" wrapText="1" shrinkToFit="1"/>
    </xf>
    <xf numFmtId="166" fontId="13" fillId="0" borderId="5" xfId="2" applyNumberFormat="1" applyFont="1" applyFill="1" applyBorder="1" applyAlignment="1">
      <alignment horizontal="right" vertical="center" wrapText="1" shrinkToFit="1"/>
    </xf>
    <xf numFmtId="166" fontId="13" fillId="0" borderId="5" xfId="2" applyNumberFormat="1" applyFont="1" applyFill="1" applyBorder="1" applyAlignment="1">
      <alignment horizontal="left" vertical="center" wrapText="1" shrinkToFit="1"/>
    </xf>
    <xf numFmtId="167" fontId="13" fillId="0" borderId="5" xfId="0" applyNumberFormat="1" applyFont="1" applyBorder="1" applyAlignment="1">
      <alignment horizontal="left" vertical="center" wrapText="1" shrinkToFit="1"/>
    </xf>
    <xf numFmtId="1" fontId="13" fillId="0" borderId="5" xfId="0" quotePrefix="1" applyNumberFormat="1" applyFont="1" applyBorder="1" applyAlignment="1">
      <alignment horizontal="left" vertical="center" wrapText="1" shrinkToFit="1"/>
    </xf>
    <xf numFmtId="165" fontId="13" fillId="0" borderId="5" xfId="2" quotePrefix="1" applyFont="1" applyFill="1" applyBorder="1" applyAlignment="1">
      <alignment horizontal="left" vertical="center" wrapText="1" shrinkToFit="1"/>
    </xf>
    <xf numFmtId="164" fontId="10" fillId="0" borderId="5" xfId="0" applyNumberFormat="1" applyFont="1" applyBorder="1" applyAlignment="1">
      <alignment horizontal="center" vertical="center" wrapText="1"/>
    </xf>
    <xf numFmtId="165" fontId="15" fillId="0" borderId="5" xfId="1" applyNumberFormat="1" applyFont="1" applyFill="1" applyBorder="1" applyAlignment="1" applyProtection="1">
      <alignment horizontal="left" vertical="center" wrapText="1" shrinkToFit="1"/>
    </xf>
    <xf numFmtId="49" fontId="13" fillId="0" borderId="5" xfId="0" quotePrefix="1" applyNumberFormat="1" applyFont="1" applyBorder="1" applyAlignment="1">
      <alignment horizontal="center" vertical="center" wrapText="1" shrinkToFit="1"/>
    </xf>
    <xf numFmtId="42" fontId="13" fillId="0" borderId="5" xfId="2" quotePrefix="1" applyNumberFormat="1" applyFont="1" applyFill="1" applyBorder="1" applyAlignment="1">
      <alignment horizontal="center" vertical="center" wrapText="1" shrinkToFit="1"/>
    </xf>
    <xf numFmtId="42" fontId="10" fillId="0" borderId="5" xfId="0" applyNumberFormat="1" applyFont="1" applyBorder="1" applyAlignment="1">
      <alignment vertical="center" wrapText="1"/>
    </xf>
    <xf numFmtId="0" fontId="27" fillId="17" borderId="4" xfId="0" applyFont="1" applyFill="1" applyBorder="1" applyAlignment="1">
      <alignment horizontal="center" vertical="center"/>
    </xf>
    <xf numFmtId="0" fontId="27" fillId="18" borderId="4" xfId="0" applyFont="1" applyFill="1" applyBorder="1" applyAlignment="1">
      <alignment horizontal="center" vertical="center"/>
    </xf>
    <xf numFmtId="0" fontId="0" fillId="17" borderId="4" xfId="0" applyFill="1" applyBorder="1"/>
    <xf numFmtId="0" fontId="0" fillId="18" borderId="4" xfId="0" applyFill="1" applyBorder="1"/>
    <xf numFmtId="14" fontId="27" fillId="18" borderId="4" xfId="0" applyNumberFormat="1" applyFont="1" applyFill="1" applyBorder="1" applyAlignment="1">
      <alignment vertical="center"/>
    </xf>
    <xf numFmtId="14" fontId="27" fillId="17" borderId="4" xfId="0" applyNumberFormat="1" applyFont="1" applyFill="1" applyBorder="1" applyAlignment="1">
      <alignment vertical="center"/>
    </xf>
    <xf numFmtId="0" fontId="27" fillId="18" borderId="4" xfId="0" applyFont="1" applyFill="1" applyBorder="1" applyAlignment="1">
      <alignment vertical="center"/>
    </xf>
    <xf numFmtId="0" fontId="27" fillId="17" borderId="4" xfId="0" applyFont="1" applyFill="1" applyBorder="1" applyAlignment="1">
      <alignment vertical="center"/>
    </xf>
    <xf numFmtId="15" fontId="10" fillId="3" borderId="4" xfId="0" applyNumberFormat="1" applyFont="1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4" xfId="0" applyFill="1" applyBorder="1" applyAlignment="1">
      <alignment horizontal="left" vertical="center"/>
    </xf>
    <xf numFmtId="0" fontId="20" fillId="5" borderId="4" xfId="0" applyFont="1" applyFill="1" applyBorder="1" applyAlignment="1">
      <alignment vertical="center"/>
    </xf>
    <xf numFmtId="14" fontId="0" fillId="5" borderId="4" xfId="0" applyNumberFormat="1" applyFill="1" applyBorder="1" applyAlignment="1">
      <alignment vertical="center"/>
    </xf>
    <xf numFmtId="0" fontId="28" fillId="17" borderId="0" xfId="0" quotePrefix="1" applyFont="1" applyFill="1" applyAlignment="1">
      <alignment vertical="center"/>
    </xf>
    <xf numFmtId="0" fontId="28" fillId="19" borderId="0" xfId="0" quotePrefix="1" applyFont="1" applyFill="1" applyAlignment="1">
      <alignment vertical="center"/>
    </xf>
    <xf numFmtId="0" fontId="28" fillId="17" borderId="0" xfId="0" applyFont="1" applyFill="1" applyAlignment="1">
      <alignment vertical="center"/>
    </xf>
    <xf numFmtId="0" fontId="28" fillId="19" borderId="0" xfId="0" applyFont="1" applyFill="1" applyAlignment="1">
      <alignment vertical="center"/>
    </xf>
    <xf numFmtId="14" fontId="0" fillId="5" borderId="4" xfId="0" applyNumberForma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quotePrefix="1" applyFill="1" applyBorder="1" applyAlignment="1">
      <alignment horizontal="center" vertical="center"/>
    </xf>
    <xf numFmtId="0" fontId="0" fillId="5" borderId="4" xfId="0" quotePrefix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 wrapText="1"/>
    </xf>
    <xf numFmtId="15" fontId="0" fillId="5" borderId="4" xfId="0" applyNumberFormat="1" applyFill="1" applyBorder="1" applyAlignment="1">
      <alignment horizontal="center" vertical="center"/>
    </xf>
    <xf numFmtId="15" fontId="0" fillId="5" borderId="4" xfId="0" applyNumberFormat="1" applyFill="1" applyBorder="1" applyAlignment="1">
      <alignment vertical="center"/>
    </xf>
    <xf numFmtId="164" fontId="10" fillId="5" borderId="4" xfId="0" applyNumberFormat="1" applyFont="1" applyFill="1" applyBorder="1" applyAlignment="1">
      <alignment horizontal="center" vertical="center" wrapText="1"/>
    </xf>
    <xf numFmtId="0" fontId="28" fillId="18" borderId="0" xfId="0" applyFont="1" applyFill="1" applyAlignment="1">
      <alignment vertical="center"/>
    </xf>
    <xf numFmtId="0" fontId="28" fillId="20" borderId="0" xfId="0" applyFont="1" applyFill="1" applyAlignment="1">
      <alignment vertical="center"/>
    </xf>
    <xf numFmtId="15" fontId="0" fillId="5" borderId="4" xfId="0" applyNumberFormat="1" applyFill="1" applyBorder="1"/>
    <xf numFmtId="0" fontId="0" fillId="5" borderId="4" xfId="0" quotePrefix="1" applyFill="1" applyBorder="1" applyAlignment="1">
      <alignment horizontal="center"/>
    </xf>
    <xf numFmtId="0" fontId="0" fillId="5" borderId="4" xfId="0" quotePrefix="1" applyFill="1" applyBorder="1"/>
    <xf numFmtId="0" fontId="12" fillId="4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49" fontId="12" fillId="4" borderId="5" xfId="0" applyNumberFormat="1" applyFont="1" applyFill="1" applyBorder="1" applyAlignment="1">
      <alignment horizontal="center"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4" fontId="12" fillId="21" borderId="4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21" borderId="8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 wrapText="1"/>
    </xf>
    <xf numFmtId="14" fontId="12" fillId="4" borderId="5" xfId="0" applyNumberFormat="1" applyFont="1" applyFill="1" applyBorder="1" applyAlignment="1">
      <alignment horizontal="center"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0" fillId="21" borderId="4" xfId="0" applyFill="1" applyBorder="1"/>
    <xf numFmtId="0" fontId="25" fillId="4" borderId="0" xfId="0" applyFont="1" applyFill="1" applyAlignment="1">
      <alignment horizontal="center" vertical="center"/>
    </xf>
    <xf numFmtId="0" fontId="12" fillId="22" borderId="4" xfId="0" applyFont="1" applyFill="1" applyBorder="1" applyAlignment="1">
      <alignment vertical="center"/>
    </xf>
    <xf numFmtId="0" fontId="12" fillId="22" borderId="4" xfId="0" applyFont="1" applyFill="1" applyBorder="1" applyAlignment="1">
      <alignment horizontal="center" vertical="center"/>
    </xf>
    <xf numFmtId="14" fontId="12" fillId="22" borderId="4" xfId="0" applyNumberFormat="1" applyFont="1" applyFill="1" applyBorder="1" applyAlignment="1">
      <alignment horizontal="center" vertical="center"/>
    </xf>
    <xf numFmtId="0" fontId="12" fillId="22" borderId="8" xfId="0" applyFont="1" applyFill="1" applyBorder="1" applyAlignment="1">
      <alignment vertical="center"/>
    </xf>
    <xf numFmtId="0" fontId="27" fillId="22" borderId="4" xfId="0" applyFont="1" applyFill="1" applyBorder="1" applyAlignment="1">
      <alignment horizontal="center" vertical="center"/>
    </xf>
    <xf numFmtId="0" fontId="0" fillId="22" borderId="4" xfId="0" applyFill="1" applyBorder="1"/>
    <xf numFmtId="0" fontId="13" fillId="5" borderId="1" xfId="0" applyFont="1" applyFill="1" applyBorder="1" applyAlignment="1">
      <alignment horizontal="left" vertical="center" wrapText="1" shrinkToFit="1"/>
    </xf>
    <xf numFmtId="0" fontId="10" fillId="5" borderId="1" xfId="0" applyFont="1" applyFill="1" applyBorder="1" applyAlignment="1">
      <alignment horizontal="center" vertical="center" wrapText="1"/>
    </xf>
    <xf numFmtId="0" fontId="28" fillId="19" borderId="4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28" fillId="18" borderId="0" xfId="0" quotePrefix="1" applyFont="1" applyFill="1" applyAlignment="1">
      <alignment vertical="center"/>
    </xf>
    <xf numFmtId="14" fontId="28" fillId="20" borderId="0" xfId="0" applyNumberFormat="1" applyFont="1" applyFill="1" applyAlignment="1">
      <alignment vertical="center"/>
    </xf>
    <xf numFmtId="0" fontId="28" fillId="20" borderId="0" xfId="0" quotePrefix="1" applyFont="1" applyFill="1" applyAlignment="1">
      <alignment vertical="center"/>
    </xf>
    <xf numFmtId="0" fontId="29" fillId="5" borderId="5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 wrapText="1"/>
    </xf>
    <xf numFmtId="49" fontId="29" fillId="5" borderId="5" xfId="0" applyNumberFormat="1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left" vertical="center"/>
    </xf>
    <xf numFmtId="0" fontId="29" fillId="5" borderId="5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left" vertical="center" wrapText="1"/>
    </xf>
    <xf numFmtId="14" fontId="29" fillId="5" borderId="5" xfId="0" applyNumberFormat="1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4" fillId="5" borderId="0" xfId="0" applyFont="1" applyFill="1" applyAlignment="1">
      <alignment horizontal="center" vertical="center"/>
    </xf>
    <xf numFmtId="0" fontId="29" fillId="5" borderId="5" xfId="0" quotePrefix="1" applyFont="1" applyFill="1" applyBorder="1" applyAlignment="1">
      <alignment horizontal="center" vertical="center"/>
    </xf>
    <xf numFmtId="15" fontId="29" fillId="5" borderId="5" xfId="0" applyNumberFormat="1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 wrapText="1" shrinkToFit="1"/>
    </xf>
    <xf numFmtId="0" fontId="0" fillId="5" borderId="4" xfId="0" applyFill="1" applyBorder="1" applyAlignment="1">
      <alignment horizontal="center" vertical="center" wrapText="1"/>
    </xf>
    <xf numFmtId="0" fontId="28" fillId="20" borderId="12" xfId="0" applyFont="1" applyFill="1" applyBorder="1" applyAlignment="1">
      <alignment vertical="center"/>
    </xf>
    <xf numFmtId="0" fontId="28" fillId="20" borderId="12" xfId="0" quotePrefix="1" applyFont="1" applyFill="1" applyBorder="1" applyAlignment="1">
      <alignment vertical="center"/>
    </xf>
    <xf numFmtId="0" fontId="28" fillId="20" borderId="4" xfId="0" applyFont="1" applyFill="1" applyBorder="1" applyAlignment="1">
      <alignment vertical="center"/>
    </xf>
    <xf numFmtId="14" fontId="28" fillId="20" borderId="4" xfId="0" applyNumberFormat="1" applyFont="1" applyFill="1" applyBorder="1" applyAlignment="1">
      <alignment vertical="center"/>
    </xf>
    <xf numFmtId="0" fontId="12" fillId="23" borderId="5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 wrapText="1"/>
    </xf>
    <xf numFmtId="49" fontId="12" fillId="23" borderId="5" xfId="0" applyNumberFormat="1" applyFont="1" applyFill="1" applyBorder="1" applyAlignment="1">
      <alignment horizontal="center" vertical="center"/>
    </xf>
    <xf numFmtId="0" fontId="12" fillId="24" borderId="4" xfId="0" applyFont="1" applyFill="1" applyBorder="1" applyAlignment="1">
      <alignment vertical="center"/>
    </xf>
    <xf numFmtId="0" fontId="12" fillId="24" borderId="4" xfId="0" applyFont="1" applyFill="1" applyBorder="1" applyAlignment="1">
      <alignment horizontal="center" vertical="center"/>
    </xf>
    <xf numFmtId="0" fontId="12" fillId="23" borderId="10" xfId="0" applyFont="1" applyFill="1" applyBorder="1" applyAlignment="1">
      <alignment horizontal="center" vertical="center"/>
    </xf>
    <xf numFmtId="14" fontId="12" fillId="24" borderId="4" xfId="0" applyNumberFormat="1" applyFont="1" applyFill="1" applyBorder="1" applyAlignment="1">
      <alignment horizontal="center" vertical="center"/>
    </xf>
    <xf numFmtId="0" fontId="12" fillId="23" borderId="11" xfId="0" applyFont="1" applyFill="1" applyBorder="1" applyAlignment="1">
      <alignment horizontal="center" vertical="center"/>
    </xf>
    <xf numFmtId="0" fontId="12" fillId="24" borderId="8" xfId="0" applyFont="1" applyFill="1" applyBorder="1" applyAlignment="1">
      <alignment vertical="center"/>
    </xf>
    <xf numFmtId="0" fontId="12" fillId="24" borderId="4" xfId="0" applyFont="1" applyFill="1" applyBorder="1"/>
    <xf numFmtId="0" fontId="12" fillId="23" borderId="5" xfId="0" applyFont="1" applyFill="1" applyBorder="1" applyAlignment="1">
      <alignment horizontal="left" vertical="center"/>
    </xf>
    <xf numFmtId="0" fontId="12" fillId="23" borderId="5" xfId="0" applyFont="1" applyFill="1" applyBorder="1" applyAlignment="1">
      <alignment horizontal="center" vertical="center" wrapText="1"/>
    </xf>
    <xf numFmtId="0" fontId="27" fillId="24" borderId="4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left" vertical="center" wrapText="1"/>
    </xf>
    <xf numFmtId="14" fontId="12" fillId="23" borderId="5" xfId="0" applyNumberFormat="1" applyFont="1" applyFill="1" applyBorder="1" applyAlignment="1">
      <alignment horizontal="center" vertical="center" wrapText="1"/>
    </xf>
    <xf numFmtId="164" fontId="12" fillId="23" borderId="5" xfId="0" applyNumberFormat="1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0" fillId="24" borderId="4" xfId="0" applyFill="1" applyBorder="1"/>
    <xf numFmtId="0" fontId="25" fillId="23" borderId="0" xfId="0" applyFont="1" applyFill="1" applyAlignment="1">
      <alignment horizontal="center" vertical="center"/>
    </xf>
    <xf numFmtId="0" fontId="25" fillId="23" borderId="4" xfId="0" applyFont="1" applyFill="1" applyBorder="1" applyAlignment="1">
      <alignment vertical="center"/>
    </xf>
    <xf numFmtId="14" fontId="27" fillId="24" borderId="4" xfId="0" applyNumberFormat="1" applyFont="1" applyFill="1" applyBorder="1" applyAlignment="1">
      <alignment vertical="center"/>
    </xf>
    <xf numFmtId="0" fontId="25" fillId="4" borderId="4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5" fillId="0" borderId="4" xfId="3" applyFont="1" applyBorder="1" applyAlignment="1">
      <alignment vertical="center"/>
    </xf>
    <xf numFmtId="0" fontId="13" fillId="0" borderId="4" xfId="0" applyFont="1" applyBorder="1" applyAlignment="1" applyProtection="1">
      <alignment vertical="center" wrapText="1" shrinkToFit="1"/>
      <protection hidden="1"/>
    </xf>
    <xf numFmtId="0" fontId="13" fillId="4" borderId="4" xfId="0" applyFont="1" applyFill="1" applyBorder="1" applyAlignment="1" applyProtection="1">
      <alignment vertical="center" wrapText="1" shrinkToFit="1"/>
      <protection hidden="1"/>
    </xf>
    <xf numFmtId="0" fontId="13" fillId="3" borderId="4" xfId="0" applyFont="1" applyFill="1" applyBorder="1" applyAlignment="1" applyProtection="1">
      <alignment vertical="center" wrapText="1" shrinkToFit="1"/>
      <protection hidden="1"/>
    </xf>
    <xf numFmtId="0" fontId="29" fillId="5" borderId="5" xfId="0" applyFont="1" applyFill="1" applyBorder="1" applyAlignment="1">
      <alignment vertical="center"/>
    </xf>
    <xf numFmtId="0" fontId="13" fillId="0" borderId="1" xfId="0" applyFont="1" applyBorder="1" applyAlignment="1" applyProtection="1">
      <alignment vertical="center" wrapText="1" shrinkToFit="1"/>
      <protection hidden="1"/>
    </xf>
    <xf numFmtId="0" fontId="13" fillId="4" borderId="1" xfId="0" applyFont="1" applyFill="1" applyBorder="1" applyAlignment="1" applyProtection="1">
      <alignment vertical="center" wrapText="1" shrinkToFit="1"/>
      <protection hidden="1"/>
    </xf>
    <xf numFmtId="0" fontId="13" fillId="5" borderId="4" xfId="0" applyFont="1" applyFill="1" applyBorder="1" applyAlignment="1" applyProtection="1">
      <alignment vertical="center" wrapText="1" shrinkToFit="1"/>
      <protection hidden="1"/>
    </xf>
    <xf numFmtId="0" fontId="13" fillId="0" borderId="5" xfId="0" applyFont="1" applyBorder="1" applyAlignment="1" applyProtection="1">
      <alignment vertical="center" wrapText="1" shrinkToFit="1"/>
      <protection hidden="1"/>
    </xf>
    <xf numFmtId="0" fontId="0" fillId="0" borderId="0" xfId="0" applyAlignment="1">
      <alignment vertical="center"/>
    </xf>
    <xf numFmtId="0" fontId="12" fillId="0" borderId="5" xfId="0" quotePrefix="1" applyFont="1" applyBorder="1" applyAlignment="1">
      <alignment horizontal="center" vertical="center"/>
    </xf>
    <xf numFmtId="0" fontId="12" fillId="4" borderId="5" xfId="0" quotePrefix="1" applyFont="1" applyFill="1" applyBorder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0" fontId="12" fillId="17" borderId="4" xfId="0" quotePrefix="1" applyFont="1" applyFill="1" applyBorder="1" applyAlignment="1">
      <alignment horizontal="center" vertical="center"/>
    </xf>
    <xf numFmtId="0" fontId="12" fillId="21" borderId="4" xfId="0" quotePrefix="1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 vertical="center"/>
    </xf>
    <xf numFmtId="167" fontId="13" fillId="0" borderId="4" xfId="0" quotePrefix="1" applyNumberFormat="1" applyFont="1" applyBorder="1" applyAlignment="1">
      <alignment horizontal="left" vertical="center" wrapText="1" shrinkToFit="1"/>
    </xf>
    <xf numFmtId="0" fontId="12" fillId="18" borderId="4" xfId="0" quotePrefix="1" applyFont="1" applyFill="1" applyBorder="1" applyAlignment="1">
      <alignment horizontal="center" vertical="center"/>
    </xf>
    <xf numFmtId="0" fontId="12" fillId="23" borderId="5" xfId="0" quotePrefix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0" borderId="4" xfId="0" quotePrefix="1" applyFont="1" applyBorder="1" applyAlignment="1">
      <alignment horizontal="center" vertical="center"/>
    </xf>
    <xf numFmtId="0" fontId="37" fillId="0" borderId="0" xfId="0" applyFont="1"/>
    <xf numFmtId="0" fontId="38" fillId="0" borderId="0" xfId="0" applyFont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8" borderId="4" xfId="0" applyFont="1" applyFill="1" applyBorder="1" applyAlignment="1">
      <alignment horizontal="center" vertical="center"/>
    </xf>
    <xf numFmtId="0" fontId="36" fillId="8" borderId="4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9" borderId="4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horizontal="center" vertical="center"/>
    </xf>
    <xf numFmtId="37" fontId="36" fillId="3" borderId="4" xfId="2" applyNumberFormat="1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0" borderId="0" xfId="0" quotePrefix="1" applyFont="1" applyAlignment="1">
      <alignment vertical="center" wrapText="1"/>
    </xf>
    <xf numFmtId="0" fontId="36" fillId="0" borderId="4" xfId="0" applyFont="1" applyBorder="1" applyAlignment="1">
      <alignment horizontal="center" vertical="center"/>
    </xf>
    <xf numFmtId="0" fontId="41" fillId="9" borderId="4" xfId="0" applyFont="1" applyFill="1" applyBorder="1" applyAlignment="1">
      <alignment horizontal="center" vertical="center" wrapText="1"/>
    </xf>
    <xf numFmtId="37" fontId="36" fillId="10" borderId="4" xfId="2" applyNumberFormat="1" applyFont="1" applyFill="1" applyBorder="1" applyAlignment="1">
      <alignment horizontal="center" vertical="center"/>
    </xf>
    <xf numFmtId="37" fontId="38" fillId="10" borderId="4" xfId="2" applyNumberFormat="1" applyFont="1" applyFill="1" applyBorder="1" applyAlignment="1">
      <alignment horizontal="left" vertical="center"/>
    </xf>
    <xf numFmtId="0" fontId="42" fillId="0" borderId="0" xfId="0" applyFont="1"/>
    <xf numFmtId="0" fontId="36" fillId="0" borderId="0" xfId="0" applyFont="1" applyAlignment="1">
      <alignment vertical="center"/>
    </xf>
    <xf numFmtId="0" fontId="39" fillId="11" borderId="4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41" fillId="11" borderId="4" xfId="0" applyFont="1" applyFill="1" applyBorder="1" applyAlignment="1">
      <alignment vertical="center" wrapText="1"/>
    </xf>
    <xf numFmtId="0" fontId="41" fillId="11" borderId="9" xfId="0" applyFont="1" applyFill="1" applyBorder="1" applyAlignment="1">
      <alignment vertical="center" wrapText="1"/>
    </xf>
    <xf numFmtId="0" fontId="41" fillId="11" borderId="5" xfId="0" applyFont="1" applyFill="1" applyBorder="1" applyAlignment="1">
      <alignment vertical="center" wrapText="1"/>
    </xf>
    <xf numFmtId="0" fontId="38" fillId="11" borderId="0" xfId="0" applyFont="1" applyFill="1" applyAlignment="1">
      <alignment vertical="center"/>
    </xf>
    <xf numFmtId="0" fontId="41" fillId="11" borderId="4" xfId="0" applyFont="1" applyFill="1" applyBorder="1" applyAlignment="1">
      <alignment horizontal="center" vertical="center"/>
    </xf>
    <xf numFmtId="0" fontId="37" fillId="11" borderId="4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 shrinkToFit="1"/>
    </xf>
    <xf numFmtId="0" fontId="41" fillId="0" borderId="4" xfId="0" applyFont="1" applyBorder="1" applyAlignment="1">
      <alignment vertical="center" wrapText="1"/>
    </xf>
    <xf numFmtId="0" fontId="38" fillId="0" borderId="4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1" fillId="3" borderId="4" xfId="0" applyFont="1" applyFill="1" applyBorder="1" applyAlignment="1">
      <alignment vertical="center" wrapText="1"/>
    </xf>
    <xf numFmtId="0" fontId="39" fillId="0" borderId="4" xfId="0" applyFont="1" applyBorder="1" applyAlignment="1">
      <alignment vertical="center" shrinkToFit="1"/>
    </xf>
    <xf numFmtId="0" fontId="39" fillId="3" borderId="4" xfId="0" applyFont="1" applyFill="1" applyBorder="1" applyAlignment="1">
      <alignment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center" vertical="center" shrinkToFit="1"/>
    </xf>
    <xf numFmtId="0" fontId="41" fillId="12" borderId="4" xfId="0" applyFont="1" applyFill="1" applyBorder="1" applyAlignment="1">
      <alignment vertical="center" wrapText="1"/>
    </xf>
    <xf numFmtId="0" fontId="41" fillId="25" borderId="4" xfId="0" applyFont="1" applyFill="1" applyBorder="1" applyAlignment="1">
      <alignment vertical="center" wrapText="1"/>
    </xf>
    <xf numFmtId="0" fontId="41" fillId="5" borderId="4" xfId="0" applyFont="1" applyFill="1" applyBorder="1" applyAlignment="1">
      <alignment vertical="center" wrapText="1"/>
    </xf>
    <xf numFmtId="0" fontId="41" fillId="0" borderId="9" xfId="0" applyFont="1" applyBorder="1" applyAlignment="1">
      <alignment vertical="center" wrapText="1"/>
    </xf>
    <xf numFmtId="0" fontId="38" fillId="16" borderId="0" xfId="0" applyFont="1" applyFill="1" applyAlignment="1">
      <alignment horizontal="left" vertical="center"/>
    </xf>
    <xf numFmtId="0" fontId="41" fillId="16" borderId="4" xfId="0" applyFont="1" applyFill="1" applyBorder="1" applyAlignment="1">
      <alignment vertical="center" wrapText="1"/>
    </xf>
    <xf numFmtId="0" fontId="40" fillId="12" borderId="4" xfId="0" applyFont="1" applyFill="1" applyBorder="1" applyAlignment="1">
      <alignment vertical="center" wrapText="1"/>
    </xf>
    <xf numFmtId="0" fontId="39" fillId="13" borderId="4" xfId="0" applyFont="1" applyFill="1" applyBorder="1" applyAlignment="1">
      <alignment horizontal="center" vertical="center" wrapText="1"/>
    </xf>
    <xf numFmtId="0" fontId="41" fillId="14" borderId="4" xfId="0" applyFont="1" applyFill="1" applyBorder="1" applyAlignment="1">
      <alignment vertical="center" wrapText="1"/>
    </xf>
    <xf numFmtId="0" fontId="39" fillId="13" borderId="4" xfId="0" applyFont="1" applyFill="1" applyBorder="1" applyAlignment="1">
      <alignment horizontal="center" vertical="center"/>
    </xf>
    <xf numFmtId="0" fontId="38" fillId="14" borderId="0" xfId="0" applyFont="1" applyFill="1" applyAlignment="1">
      <alignment horizontal="left" vertical="center"/>
    </xf>
    <xf numFmtId="0" fontId="39" fillId="8" borderId="4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vertical="center" wrapText="1"/>
    </xf>
    <xf numFmtId="0" fontId="38" fillId="8" borderId="4" xfId="0" applyFont="1" applyFill="1" applyBorder="1" applyAlignment="1">
      <alignment horizontal="left" vertical="center"/>
    </xf>
    <xf numFmtId="0" fontId="38" fillId="5" borderId="4" xfId="0" applyFont="1" applyFill="1" applyBorder="1" applyAlignment="1">
      <alignment horizontal="left" vertical="center"/>
    </xf>
    <xf numFmtId="0" fontId="38" fillId="8" borderId="0" xfId="0" applyFont="1" applyFill="1" applyAlignment="1">
      <alignment horizontal="left" vertical="center"/>
    </xf>
    <xf numFmtId="37" fontId="36" fillId="10" borderId="4" xfId="2" applyNumberFormat="1" applyFont="1" applyFill="1" applyBorder="1" applyAlignment="1">
      <alignment horizontal="left" vertical="center"/>
    </xf>
    <xf numFmtId="37" fontId="36" fillId="3" borderId="0" xfId="0" applyNumberFormat="1" applyFont="1" applyFill="1" applyAlignment="1">
      <alignment horizontal="center" vertical="center"/>
    </xf>
    <xf numFmtId="37" fontId="38" fillId="3" borderId="0" xfId="0" applyNumberFormat="1" applyFont="1" applyFill="1" applyAlignment="1">
      <alignment horizontal="left" vertical="center"/>
    </xf>
    <xf numFmtId="0" fontId="4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37" fontId="37" fillId="0" borderId="0" xfId="0" applyNumberFormat="1" applyFont="1" applyAlignment="1">
      <alignment horizontal="center"/>
    </xf>
    <xf numFmtId="37" fontId="37" fillId="0" borderId="0" xfId="0" applyNumberFormat="1" applyFont="1"/>
    <xf numFmtId="0" fontId="38" fillId="0" borderId="0" xfId="0" applyFont="1" applyAlignment="1">
      <alignment horizontal="center" vertical="center"/>
    </xf>
    <xf numFmtId="37" fontId="38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165" fontId="37" fillId="0" borderId="0" xfId="2" applyFont="1" applyAlignment="1"/>
    <xf numFmtId="168" fontId="37" fillId="0" borderId="0" xfId="2" applyNumberFormat="1" applyFont="1" applyAlignment="1"/>
    <xf numFmtId="168" fontId="38" fillId="0" borderId="0" xfId="2" applyNumberFormat="1" applyFont="1" applyAlignment="1">
      <alignment horizontal="left" vertical="center"/>
    </xf>
    <xf numFmtId="164" fontId="13" fillId="3" borderId="4" xfId="2" applyNumberFormat="1" applyFont="1" applyFill="1" applyBorder="1" applyAlignment="1">
      <alignment horizontal="center" vertical="center" wrapText="1" shrinkToFit="1"/>
    </xf>
    <xf numFmtId="165" fontId="17" fillId="3" borderId="4" xfId="1" applyNumberFormat="1" applyFont="1" applyFill="1" applyBorder="1" applyAlignment="1" applyProtection="1">
      <alignment horizontal="left" vertical="center" wrapText="1" shrinkToFit="1"/>
    </xf>
    <xf numFmtId="49" fontId="10" fillId="3" borderId="4" xfId="0" quotePrefix="1" applyNumberFormat="1" applyFont="1" applyFill="1" applyBorder="1" applyAlignment="1">
      <alignment horizontal="center" vertical="center" wrapText="1"/>
    </xf>
    <xf numFmtId="42" fontId="13" fillId="3" borderId="4" xfId="2" applyNumberFormat="1" applyFont="1" applyFill="1" applyBorder="1" applyAlignment="1">
      <alignment horizontal="left" vertical="center" wrapText="1" shrinkToFit="1"/>
    </xf>
    <xf numFmtId="42" fontId="13" fillId="3" borderId="4" xfId="2" applyNumberFormat="1" applyFont="1" applyFill="1" applyBorder="1" applyAlignment="1">
      <alignment horizontal="right" vertical="center" wrapText="1" shrinkToFit="1"/>
    </xf>
    <xf numFmtId="0" fontId="12" fillId="0" borderId="5" xfId="0" quotePrefix="1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 shrinkToFit="1"/>
    </xf>
    <xf numFmtId="0" fontId="10" fillId="5" borderId="4" xfId="0" quotePrefix="1" applyFont="1" applyFill="1" applyBorder="1" applyAlignment="1">
      <alignment horizontal="center" vertical="center" wrapText="1"/>
    </xf>
    <xf numFmtId="49" fontId="13" fillId="5" borderId="4" xfId="2" applyNumberFormat="1" applyFont="1" applyFill="1" applyBorder="1" applyAlignment="1">
      <alignment horizontal="center" vertical="center" wrapText="1" shrinkToFit="1"/>
    </xf>
    <xf numFmtId="49" fontId="13" fillId="5" borderId="4" xfId="0" applyNumberFormat="1" applyFont="1" applyFill="1" applyBorder="1" applyAlignment="1">
      <alignment horizontal="center" vertical="center" wrapText="1" shrinkToFit="1"/>
    </xf>
    <xf numFmtId="15" fontId="10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 wrapText="1" shrinkToFit="1"/>
    </xf>
    <xf numFmtId="165" fontId="13" fillId="5" borderId="4" xfId="2" applyFont="1" applyFill="1" applyBorder="1" applyAlignment="1">
      <alignment horizontal="center" vertical="center" wrapText="1" shrinkToFit="1"/>
    </xf>
    <xf numFmtId="1" fontId="13" fillId="5" borderId="4" xfId="2" quotePrefix="1" applyNumberFormat="1" applyFont="1" applyFill="1" applyBorder="1" applyAlignment="1">
      <alignment horizontal="left" vertical="center" wrapText="1" shrinkToFit="1"/>
    </xf>
    <xf numFmtId="166" fontId="13" fillId="5" borderId="4" xfId="2" applyNumberFormat="1" applyFont="1" applyFill="1" applyBorder="1" applyAlignment="1">
      <alignment horizontal="center" vertical="center" wrapText="1" shrinkToFit="1"/>
    </xf>
    <xf numFmtId="166" fontId="13" fillId="5" borderId="4" xfId="2" applyNumberFormat="1" applyFont="1" applyFill="1" applyBorder="1" applyAlignment="1">
      <alignment horizontal="right" vertical="center" wrapText="1" shrinkToFit="1"/>
    </xf>
    <xf numFmtId="166" fontId="13" fillId="5" borderId="4" xfId="2" applyNumberFormat="1" applyFont="1" applyFill="1" applyBorder="1" applyAlignment="1">
      <alignment horizontal="left" vertical="center" wrapText="1" shrinkToFit="1"/>
    </xf>
    <xf numFmtId="14" fontId="13" fillId="5" borderId="4" xfId="0" applyNumberFormat="1" applyFont="1" applyFill="1" applyBorder="1" applyAlignment="1">
      <alignment horizontal="center" vertical="center" wrapText="1" shrinkToFit="1"/>
    </xf>
    <xf numFmtId="167" fontId="13" fillId="5" borderId="4" xfId="0" applyNumberFormat="1" applyFont="1" applyFill="1" applyBorder="1" applyAlignment="1">
      <alignment horizontal="left" vertical="center" wrapText="1" shrinkToFit="1"/>
    </xf>
    <xf numFmtId="1" fontId="13" fillId="5" borderId="4" xfId="0" quotePrefix="1" applyNumberFormat="1" applyFont="1" applyFill="1" applyBorder="1" applyAlignment="1">
      <alignment horizontal="left" vertical="center" wrapText="1" shrinkToFit="1"/>
    </xf>
    <xf numFmtId="165" fontId="13" fillId="5" borderId="4" xfId="2" quotePrefix="1" applyFont="1" applyFill="1" applyBorder="1" applyAlignment="1">
      <alignment horizontal="left" vertical="center" wrapText="1" shrinkToFit="1"/>
    </xf>
    <xf numFmtId="165" fontId="4" fillId="5" borderId="4" xfId="1" applyNumberFormat="1" applyFill="1" applyBorder="1" applyAlignment="1" applyProtection="1">
      <alignment horizontal="left" vertical="center" wrapText="1" shrinkToFit="1"/>
    </xf>
    <xf numFmtId="49" fontId="13" fillId="5" borderId="4" xfId="0" quotePrefix="1" applyNumberFormat="1" applyFont="1" applyFill="1" applyBorder="1" applyAlignment="1">
      <alignment horizontal="center" vertical="center" wrapText="1" shrinkToFit="1"/>
    </xf>
    <xf numFmtId="14" fontId="13" fillId="5" borderId="4" xfId="0" applyNumberFormat="1" applyFont="1" applyFill="1" applyBorder="1" applyAlignment="1">
      <alignment horizontal="left" vertical="center" wrapText="1" shrinkToFit="1"/>
    </xf>
    <xf numFmtId="42" fontId="13" fillId="5" borderId="4" xfId="2" quotePrefix="1" applyNumberFormat="1" applyFont="1" applyFill="1" applyBorder="1" applyAlignment="1">
      <alignment horizontal="center" vertical="center" wrapText="1" shrinkToFit="1"/>
    </xf>
    <xf numFmtId="42" fontId="10" fillId="5" borderId="4" xfId="0" applyNumberFormat="1" applyFont="1" applyFill="1" applyBorder="1" applyAlignment="1">
      <alignment vertical="center" wrapText="1"/>
    </xf>
    <xf numFmtId="165" fontId="15" fillId="5" borderId="4" xfId="1" applyNumberFormat="1" applyFont="1" applyFill="1" applyBorder="1" applyAlignment="1" applyProtection="1">
      <alignment horizontal="left" vertical="center" wrapText="1" shrinkToFi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vertical="center"/>
    </xf>
    <xf numFmtId="0" fontId="23" fillId="15" borderId="6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40" fillId="9" borderId="4" xfId="0" applyFont="1" applyFill="1" applyBorder="1" applyAlignment="1">
      <alignment horizontal="center" vertical="center" wrapText="1"/>
    </xf>
    <xf numFmtId="0" fontId="39" fillId="9" borderId="4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37" fontId="36" fillId="3" borderId="4" xfId="2" applyNumberFormat="1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left" vertical="center" wrapText="1"/>
    </xf>
    <xf numFmtId="0" fontId="41" fillId="9" borderId="5" xfId="0" applyFont="1" applyFill="1" applyBorder="1" applyAlignment="1">
      <alignment horizontal="left" vertical="center" wrapText="1"/>
    </xf>
    <xf numFmtId="0" fontId="41" fillId="25" borderId="4" xfId="0" applyFont="1" applyFill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left" vertical="center" wrapText="1"/>
    </xf>
    <xf numFmtId="37" fontId="36" fillId="3" borderId="1" xfId="2" applyNumberFormat="1" applyFont="1" applyFill="1" applyBorder="1" applyAlignment="1">
      <alignment horizontal="center" vertical="center"/>
    </xf>
    <xf numFmtId="37" fontId="36" fillId="3" borderId="9" xfId="2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left" vertical="center" wrapText="1"/>
    </xf>
    <xf numFmtId="0" fontId="41" fillId="11" borderId="9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37" fontId="36" fillId="3" borderId="5" xfId="2" applyNumberFormat="1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left" vertical="center" wrapText="1"/>
    </xf>
    <xf numFmtId="0" fontId="41" fillId="12" borderId="5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/>
    </xf>
    <xf numFmtId="0" fontId="41" fillId="11" borderId="5" xfId="0" applyFont="1" applyFill="1" applyBorder="1" applyAlignment="1">
      <alignment horizontal="center" vertical="center"/>
    </xf>
    <xf numFmtId="0" fontId="40" fillId="8" borderId="8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 wrapText="1"/>
    </xf>
    <xf numFmtId="0" fontId="40" fillId="8" borderId="3" xfId="0" applyFont="1" applyFill="1" applyBorder="1" applyAlignment="1">
      <alignment horizontal="center" vertical="center" wrapText="1"/>
    </xf>
    <xf numFmtId="0" fontId="41" fillId="8" borderId="8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38" fillId="3" borderId="7" xfId="0" applyFont="1" applyFill="1" applyBorder="1" applyAlignment="1">
      <alignment horizontal="right" vertical="center" wrapText="1"/>
    </xf>
    <xf numFmtId="0" fontId="41" fillId="5" borderId="8" xfId="0" applyFont="1" applyFill="1" applyBorder="1" applyAlignment="1">
      <alignment horizontal="center"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41" fillId="5" borderId="3" xfId="0" applyFont="1" applyFill="1" applyBorder="1" applyAlignment="1">
      <alignment horizontal="center" vertical="center" wrapText="1"/>
    </xf>
    <xf numFmtId="0" fontId="41" fillId="11" borderId="5" xfId="0" applyFont="1" applyFill="1" applyBorder="1" applyAlignment="1">
      <alignment horizontal="left" vertical="center" wrapText="1"/>
    </xf>
    <xf numFmtId="0" fontId="41" fillId="11" borderId="9" xfId="0" applyFont="1" applyFill="1" applyBorder="1" applyAlignment="1">
      <alignment horizontal="center" vertical="center"/>
    </xf>
    <xf numFmtId="37" fontId="38" fillId="3" borderId="8" xfId="2" applyNumberFormat="1" applyFont="1" applyFill="1" applyBorder="1" applyAlignment="1">
      <alignment horizontal="center" vertical="center"/>
    </xf>
    <xf numFmtId="37" fontId="38" fillId="3" borderId="2" xfId="2" applyNumberFormat="1" applyFont="1" applyFill="1" applyBorder="1" applyAlignment="1">
      <alignment horizontal="center" vertical="center"/>
    </xf>
    <xf numFmtId="37" fontId="38" fillId="3" borderId="3" xfId="2" applyNumberFormat="1" applyFont="1" applyFill="1" applyBorder="1" applyAlignment="1">
      <alignment horizontal="center" vertical="center"/>
    </xf>
    <xf numFmtId="0" fontId="40" fillId="12" borderId="8" xfId="0" applyFont="1" applyFill="1" applyBorder="1" applyAlignment="1">
      <alignment horizontal="center" vertical="center" wrapText="1"/>
    </xf>
    <xf numFmtId="0" fontId="40" fillId="12" borderId="2" xfId="0" applyFont="1" applyFill="1" applyBorder="1" applyAlignment="1">
      <alignment horizontal="center" vertical="center" wrapText="1"/>
    </xf>
    <xf numFmtId="0" fontId="40" fillId="12" borderId="3" xfId="0" applyFont="1" applyFill="1" applyBorder="1" applyAlignment="1">
      <alignment horizontal="center" vertical="center" wrapText="1"/>
    </xf>
    <xf numFmtId="0" fontId="40" fillId="14" borderId="8" xfId="0" applyFont="1" applyFill="1" applyBorder="1" applyAlignment="1">
      <alignment horizontal="center" vertical="center" wrapText="1"/>
    </xf>
    <xf numFmtId="0" fontId="40" fillId="14" borderId="2" xfId="0" applyFont="1" applyFill="1" applyBorder="1" applyAlignment="1">
      <alignment horizontal="center" vertical="center" wrapText="1"/>
    </xf>
    <xf numFmtId="0" fontId="40" fillId="14" borderId="3" xfId="0" applyFont="1" applyFill="1" applyBorder="1" applyAlignment="1">
      <alignment horizontal="center" vertical="center" wrapText="1"/>
    </xf>
    <xf numFmtId="0" fontId="41" fillId="25" borderId="8" xfId="0" applyFont="1" applyFill="1" applyBorder="1" applyAlignment="1">
      <alignment horizontal="center" vertical="center" wrapText="1"/>
    </xf>
    <xf numFmtId="0" fontId="41" fillId="25" borderId="2" xfId="0" applyFont="1" applyFill="1" applyBorder="1" applyAlignment="1">
      <alignment horizontal="center" vertical="center" wrapText="1"/>
    </xf>
    <xf numFmtId="0" fontId="41" fillId="25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0" fontId="41" fillId="11" borderId="8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36" fillId="3" borderId="9" xfId="0" applyFont="1" applyFill="1" applyBorder="1" applyAlignment="1">
      <alignment horizontal="center" vertical="center"/>
    </xf>
    <xf numFmtId="0" fontId="39" fillId="11" borderId="4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2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4">
    <cellStyle name="Comma [0] 2" xfId="2" xr:uid="{72940228-9F0D-4C42-A7CF-521FE9A05A48}"/>
    <cellStyle name="Hyperlink" xfId="1" builtinId="8"/>
    <cellStyle name="Normal" xfId="0" builtinId="0"/>
    <cellStyle name="Normal 2" xfId="3" xr:uid="{3A197F1E-24E9-4A84-89A6-144F2A89F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A'ARUF/TAARUF%202023/DRAFT%20PENGISIAN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indaevelyn@gmail.com" TargetMode="External"/><Relationship Id="rId18" Type="http://schemas.openxmlformats.org/officeDocument/2006/relationships/hyperlink" Target="mailto:dayinta87@gmail.com" TargetMode="External"/><Relationship Id="rId26" Type="http://schemas.openxmlformats.org/officeDocument/2006/relationships/hyperlink" Target="mailto:fannyarinta22@gmail.com" TargetMode="External"/><Relationship Id="rId39" Type="http://schemas.openxmlformats.org/officeDocument/2006/relationships/hyperlink" Target="mailto:estizaduqisti@gmail.com" TargetMode="External"/><Relationship Id="rId21" Type="http://schemas.openxmlformats.org/officeDocument/2006/relationships/hyperlink" Target="mailto:ema.tiwi2321@gmail.com" TargetMode="External"/><Relationship Id="rId34" Type="http://schemas.openxmlformats.org/officeDocument/2006/relationships/hyperlink" Target="mailto:titis.setyawardani@gmail.com" TargetMode="External"/><Relationship Id="rId42" Type="http://schemas.openxmlformats.org/officeDocument/2006/relationships/hyperlink" Target="mailto:laksitavivi@gmail.com" TargetMode="External"/><Relationship Id="rId47" Type="http://schemas.openxmlformats.org/officeDocument/2006/relationships/hyperlink" Target="mailto:rozzy5758@gmail.com" TargetMode="External"/><Relationship Id="rId50" Type="http://schemas.openxmlformats.org/officeDocument/2006/relationships/hyperlink" Target="mailto:hasan_abuy@yahoo.co.id" TargetMode="External"/><Relationship Id="rId55" Type="http://schemas.openxmlformats.org/officeDocument/2006/relationships/hyperlink" Target="mailto:nanangqsm@polinema.ac.id" TargetMode="External"/><Relationship Id="rId7" Type="http://schemas.openxmlformats.org/officeDocument/2006/relationships/hyperlink" Target="mailto:baihaqi21@gmail.com" TargetMode="External"/><Relationship Id="rId2" Type="http://schemas.openxmlformats.org/officeDocument/2006/relationships/hyperlink" Target="mailto:dwidwiut@gmail.com" TargetMode="External"/><Relationship Id="rId16" Type="http://schemas.openxmlformats.org/officeDocument/2006/relationships/hyperlink" Target="mailto:abidaulima83@gmail.com" TargetMode="External"/><Relationship Id="rId29" Type="http://schemas.openxmlformats.org/officeDocument/2006/relationships/hyperlink" Target="mailto:ariefsatriyo@gmail.com" TargetMode="External"/><Relationship Id="rId11" Type="http://schemas.openxmlformats.org/officeDocument/2006/relationships/hyperlink" Target="mailto:diniandayani.d@gmail.com" TargetMode="External"/><Relationship Id="rId24" Type="http://schemas.openxmlformats.org/officeDocument/2006/relationships/hyperlink" Target="mailto:iraagung10@gmail.com" TargetMode="External"/><Relationship Id="rId32" Type="http://schemas.openxmlformats.org/officeDocument/2006/relationships/hyperlink" Target="mailto:trisia.okta@gmail.com" TargetMode="External"/><Relationship Id="rId37" Type="http://schemas.openxmlformats.org/officeDocument/2006/relationships/hyperlink" Target="mailto:elyaja194@gmail.com" TargetMode="External"/><Relationship Id="rId40" Type="http://schemas.openxmlformats.org/officeDocument/2006/relationships/hyperlink" Target="mailto:ebbisugianto290296@gmail.com" TargetMode="External"/><Relationship Id="rId45" Type="http://schemas.openxmlformats.org/officeDocument/2006/relationships/hyperlink" Target="mailto:msyahrul56@gmail.com" TargetMode="External"/><Relationship Id="rId53" Type="http://schemas.openxmlformats.org/officeDocument/2006/relationships/hyperlink" Target="mailto:yancehanzie@gmail.com" TargetMode="External"/><Relationship Id="rId58" Type="http://schemas.openxmlformats.org/officeDocument/2006/relationships/hyperlink" Target="mailto:lusiprima1989@gmail.com" TargetMode="External"/><Relationship Id="rId5" Type="http://schemas.openxmlformats.org/officeDocument/2006/relationships/hyperlink" Target="http://machfidha2gmail.com/" TargetMode="External"/><Relationship Id="rId19" Type="http://schemas.openxmlformats.org/officeDocument/2006/relationships/hyperlink" Target="mailto:trisakti10@gmail.com" TargetMode="External"/><Relationship Id="rId4" Type="http://schemas.openxmlformats.org/officeDocument/2006/relationships/hyperlink" Target="http://www.teluu.com/" TargetMode="External"/><Relationship Id="rId9" Type="http://schemas.openxmlformats.org/officeDocument/2006/relationships/hyperlink" Target="mailto:darsul.khafid@gmail.com" TargetMode="External"/><Relationship Id="rId14" Type="http://schemas.openxmlformats.org/officeDocument/2006/relationships/hyperlink" Target="mailto:adit_sandy@yahoo.co.id" TargetMode="External"/><Relationship Id="rId22" Type="http://schemas.openxmlformats.org/officeDocument/2006/relationships/hyperlink" Target="mailto:yu2nswa@gmail.com" TargetMode="External"/><Relationship Id="rId27" Type="http://schemas.openxmlformats.org/officeDocument/2006/relationships/hyperlink" Target="mailto:bocahcilik11@gmail.com" TargetMode="External"/><Relationship Id="rId30" Type="http://schemas.openxmlformats.org/officeDocument/2006/relationships/hyperlink" Target="mailto:Ranyzha@gmail.com" TargetMode="External"/><Relationship Id="rId35" Type="http://schemas.openxmlformats.org/officeDocument/2006/relationships/hyperlink" Target="mailto:bayu@ariefianto.com" TargetMode="External"/><Relationship Id="rId43" Type="http://schemas.openxmlformats.org/officeDocument/2006/relationships/hyperlink" Target="mailto:msyahrul56@gmail.com" TargetMode="External"/><Relationship Id="rId48" Type="http://schemas.openxmlformats.org/officeDocument/2006/relationships/hyperlink" Target="mailto:arifinlatif30@gmail.com" TargetMode="External"/><Relationship Id="rId56" Type="http://schemas.openxmlformats.org/officeDocument/2006/relationships/hyperlink" Target="mailto:almuhandis23@gmail.com" TargetMode="External"/><Relationship Id="rId8" Type="http://schemas.openxmlformats.org/officeDocument/2006/relationships/hyperlink" Target="mailto:ata.aristha31@gmail.com" TargetMode="External"/><Relationship Id="rId51" Type="http://schemas.openxmlformats.org/officeDocument/2006/relationships/hyperlink" Target="mailto:fajarlesta@yahoo.co.id" TargetMode="External"/><Relationship Id="rId3" Type="http://schemas.openxmlformats.org/officeDocument/2006/relationships/hyperlink" Target="mailto:witaraditya@gmail.com" TargetMode="External"/><Relationship Id="rId12" Type="http://schemas.openxmlformats.org/officeDocument/2006/relationships/hyperlink" Target="mailto:amirs1234@yahoo.co.id" TargetMode="External"/><Relationship Id="rId17" Type="http://schemas.openxmlformats.org/officeDocument/2006/relationships/hyperlink" Target="mailto:dariilhamramadhan@gmail.com" TargetMode="External"/><Relationship Id="rId25" Type="http://schemas.openxmlformats.org/officeDocument/2006/relationships/hyperlink" Target="mailto:suppermansah@gmail.com" TargetMode="External"/><Relationship Id="rId33" Type="http://schemas.openxmlformats.org/officeDocument/2006/relationships/hyperlink" Target="mailto:idhamsofyan87@gmail.com" TargetMode="External"/><Relationship Id="rId38" Type="http://schemas.openxmlformats.org/officeDocument/2006/relationships/hyperlink" Target="mailto:alimashuri76@ub.sc.id" TargetMode="External"/><Relationship Id="rId46" Type="http://schemas.openxmlformats.org/officeDocument/2006/relationships/hyperlink" Target="mailto:nellyanelly20@gmail.com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jojoetiwi@gmail.com" TargetMode="External"/><Relationship Id="rId41" Type="http://schemas.openxmlformats.org/officeDocument/2006/relationships/hyperlink" Target="mailto:khulwanafilda@gmail.com" TargetMode="External"/><Relationship Id="rId54" Type="http://schemas.openxmlformats.org/officeDocument/2006/relationships/hyperlink" Target="mailto:amanda.diniari@yahoo.com" TargetMode="External"/><Relationship Id="rId1" Type="http://schemas.openxmlformats.org/officeDocument/2006/relationships/hyperlink" Target="mailto:imam.praset@gmai.com" TargetMode="External"/><Relationship Id="rId6" Type="http://schemas.openxmlformats.org/officeDocument/2006/relationships/hyperlink" Target="mailto:silviawulandari90@gmail.com" TargetMode="External"/><Relationship Id="rId15" Type="http://schemas.openxmlformats.org/officeDocument/2006/relationships/hyperlink" Target="mailto:ulima0803@gmail.com" TargetMode="External"/><Relationship Id="rId23" Type="http://schemas.openxmlformats.org/officeDocument/2006/relationships/hyperlink" Target="mailto:13adinyanpermana@gmail.com" TargetMode="External"/><Relationship Id="rId28" Type="http://schemas.openxmlformats.org/officeDocument/2006/relationships/hyperlink" Target="mailto:sayuthi180868@gmail.com" TargetMode="External"/><Relationship Id="rId36" Type="http://schemas.openxmlformats.org/officeDocument/2006/relationships/hyperlink" Target="mailto:nina@ariefianto.com" TargetMode="External"/><Relationship Id="rId49" Type="http://schemas.openxmlformats.org/officeDocument/2006/relationships/hyperlink" Target="mailto:resturizkyta@ub.ac.id" TargetMode="External"/><Relationship Id="rId57" Type="http://schemas.openxmlformats.org/officeDocument/2006/relationships/hyperlink" Target="mailto:jayaconcept3@gmail.com" TargetMode="External"/><Relationship Id="rId10" Type="http://schemas.openxmlformats.org/officeDocument/2006/relationships/hyperlink" Target="mailto:albaitlaudzikrillah@gmail.com" TargetMode="External"/><Relationship Id="rId31" Type="http://schemas.openxmlformats.org/officeDocument/2006/relationships/hyperlink" Target="mailto:irfan.apriyan@gmail.com" TargetMode="External"/><Relationship Id="rId44" Type="http://schemas.openxmlformats.org/officeDocument/2006/relationships/hyperlink" Target="mailto:nellyanelly20@gmail.com" TargetMode="External"/><Relationship Id="rId52" Type="http://schemas.openxmlformats.org/officeDocument/2006/relationships/hyperlink" Target="mailto:arini.retno8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FC19-9180-4C8C-8C03-5B0E46D8D61D}">
  <dimension ref="A1:CS776"/>
  <sheetViews>
    <sheetView tabSelected="1" topLeftCell="BV1" zoomScale="85" zoomScaleNormal="85" workbookViewId="0">
      <pane ySplit="1200" topLeftCell="A523" activePane="bottomLeft"/>
      <selection activeCell="M1" sqref="M1:M2"/>
      <selection pane="bottomLeft" activeCell="BL541" sqref="BL541"/>
    </sheetView>
  </sheetViews>
  <sheetFormatPr defaultColWidth="9" defaultRowHeight="14.25"/>
  <cols>
    <col min="1" max="1" width="4" bestFit="1" customWidth="1"/>
    <col min="2" max="2" width="5.75" bestFit="1" customWidth="1"/>
    <col min="3" max="3" width="3.625" bestFit="1" customWidth="1"/>
    <col min="4" max="4" width="7.625" bestFit="1" customWidth="1"/>
    <col min="5" max="6" width="7.75" bestFit="1" customWidth="1"/>
    <col min="7" max="7" width="17.25" bestFit="1" customWidth="1"/>
    <col min="8" max="8" width="19.625" bestFit="1" customWidth="1"/>
    <col min="9" max="9" width="25.625" bestFit="1" customWidth="1"/>
    <col min="10" max="10" width="44.25" customWidth="1"/>
    <col min="11" max="11" width="126" style="57" customWidth="1"/>
    <col min="12" max="12" width="23.75" customWidth="1"/>
    <col min="13" max="13" width="7.625" style="55" customWidth="1"/>
    <col min="14" max="14" width="12.875" style="55" customWidth="1"/>
    <col min="15" max="15" width="22.375" style="55" customWidth="1"/>
    <col min="16" max="16" width="18.25" style="55" customWidth="1"/>
    <col min="17" max="17" width="48.75" style="397" bestFit="1" customWidth="1"/>
    <col min="18" max="18" width="7.625" style="55" bestFit="1" customWidth="1"/>
    <col min="19" max="19" width="22.875" customWidth="1"/>
    <col min="20" max="20" width="18.625" customWidth="1"/>
    <col min="21" max="21" width="12.625" customWidth="1"/>
    <col min="22" max="22" width="15.875" customWidth="1"/>
    <col min="23" max="24" width="16" customWidth="1"/>
    <col min="25" max="25" width="31.75" customWidth="1"/>
    <col min="26" max="26" width="29.75" customWidth="1"/>
    <col min="27" max="27" width="8" customWidth="1"/>
    <col min="28" max="28" width="27.875" customWidth="1"/>
    <col min="29" max="29" width="103.125" bestFit="1" customWidth="1"/>
    <col min="30" max="30" width="7.625" style="55" bestFit="1" customWidth="1"/>
    <col min="31" max="31" width="8.375" style="55" bestFit="1" customWidth="1"/>
    <col min="32" max="32" width="25.25" bestFit="1" customWidth="1"/>
    <col min="33" max="33" width="26.625" customWidth="1"/>
    <col min="34" max="34" width="18.75" bestFit="1" customWidth="1"/>
    <col min="35" max="35" width="11" bestFit="1" customWidth="1"/>
    <col min="36" max="36" width="20.875" bestFit="1" customWidth="1"/>
    <col min="37" max="37" width="17" bestFit="1" customWidth="1"/>
    <col min="38" max="38" width="19.875" bestFit="1" customWidth="1"/>
    <col min="39" max="39" width="16.25" bestFit="1" customWidth="1"/>
    <col min="40" max="40" width="30.75" bestFit="1" customWidth="1"/>
    <col min="41" max="41" width="6.75" style="55" bestFit="1" customWidth="1"/>
    <col min="42" max="42" width="16.25" style="55" customWidth="1"/>
    <col min="43" max="43" width="8.125" style="55" bestFit="1" customWidth="1"/>
    <col min="44" max="44" width="10.875" style="55" bestFit="1" customWidth="1"/>
    <col min="45" max="45" width="7.875" style="55" bestFit="1" customWidth="1"/>
    <col min="46" max="46" width="9.75" style="55" bestFit="1" customWidth="1"/>
    <col min="47" max="47" width="7.75" style="55" bestFit="1" customWidth="1"/>
    <col min="48" max="48" width="36.125" bestFit="1" customWidth="1"/>
    <col min="49" max="50" width="39.25" style="57" bestFit="1" customWidth="1"/>
    <col min="51" max="51" width="49.375" style="57" bestFit="1" customWidth="1"/>
    <col min="52" max="52" width="19.625" bestFit="1" customWidth="1"/>
    <col min="53" max="53" width="16.375" bestFit="1" customWidth="1"/>
    <col min="54" max="54" width="18.625" style="54" bestFit="1" customWidth="1"/>
    <col min="55" max="55" width="8.375" bestFit="1" customWidth="1"/>
    <col min="56" max="56" width="34.375" bestFit="1" customWidth="1"/>
    <col min="57" max="57" width="20.75" bestFit="1" customWidth="1"/>
    <col min="58" max="58" width="32.375" customWidth="1"/>
    <col min="59" max="59" width="52.75" bestFit="1" customWidth="1"/>
    <col min="60" max="60" width="169.625" bestFit="1" customWidth="1"/>
    <col min="61" max="61" width="32.375" bestFit="1" customWidth="1"/>
    <col min="62" max="62" width="32" bestFit="1" customWidth="1"/>
    <col min="63" max="63" width="35.875" bestFit="1" customWidth="1"/>
    <col min="64" max="64" width="47.875" style="59" bestFit="1" customWidth="1"/>
    <col min="65" max="65" width="20.75" bestFit="1" customWidth="1"/>
    <col min="66" max="66" width="34.375" style="55" bestFit="1" customWidth="1"/>
    <col min="67" max="67" width="18.625" style="51" bestFit="1" customWidth="1"/>
    <col min="68" max="69" width="16.25" bestFit="1" customWidth="1"/>
    <col min="70" max="70" width="20.75" bestFit="1" customWidth="1"/>
    <col min="71" max="71" width="46.875" bestFit="1" customWidth="1"/>
    <col min="72" max="72" width="85.625" bestFit="1" customWidth="1"/>
    <col min="73" max="73" width="124.75" bestFit="1" customWidth="1"/>
    <col min="74" max="74" width="23.625" bestFit="1" customWidth="1"/>
    <col min="75" max="75" width="23.25" bestFit="1" customWidth="1"/>
    <col min="76" max="76" width="32.625" bestFit="1" customWidth="1"/>
    <col min="77" max="77" width="34.75" bestFit="1" customWidth="1"/>
    <col min="78" max="78" width="16.875" bestFit="1" customWidth="1"/>
    <col min="79" max="79" width="28.25" customWidth="1"/>
    <col min="80" max="80" width="37.375" bestFit="1" customWidth="1"/>
    <col min="81" max="81" width="19.625" bestFit="1" customWidth="1"/>
    <col min="82" max="83" width="21.125" bestFit="1" customWidth="1"/>
    <col min="84" max="84" width="13.375" bestFit="1" customWidth="1"/>
    <col min="85" max="85" width="86.375" bestFit="1" customWidth="1"/>
    <col min="86" max="87" width="4.875" bestFit="1" customWidth="1"/>
    <col min="88" max="88" width="19" bestFit="1" customWidth="1"/>
    <col min="89" max="89" width="15.625" bestFit="1" customWidth="1"/>
    <col min="90" max="90" width="18.75" bestFit="1" customWidth="1"/>
  </cols>
  <sheetData>
    <row r="1" spans="1:90" s="2" customFormat="1" ht="26.25">
      <c r="A1" s="508" t="s">
        <v>0</v>
      </c>
      <c r="B1" s="510"/>
      <c r="C1" s="510"/>
      <c r="D1" s="510"/>
      <c r="E1" s="510"/>
      <c r="F1" s="511"/>
      <c r="G1" s="508" t="s">
        <v>1</v>
      </c>
      <c r="H1" s="512" t="s">
        <v>2</v>
      </c>
      <c r="I1" s="508" t="s">
        <v>3</v>
      </c>
      <c r="J1" s="508" t="s">
        <v>4</v>
      </c>
      <c r="K1" s="508" t="s">
        <v>5</v>
      </c>
      <c r="L1" s="508" t="s">
        <v>6</v>
      </c>
      <c r="M1" s="508" t="s">
        <v>7</v>
      </c>
      <c r="N1" s="508" t="s">
        <v>8</v>
      </c>
      <c r="O1" s="508" t="s">
        <v>9</v>
      </c>
      <c r="P1" s="508" t="s">
        <v>10</v>
      </c>
      <c r="Q1" s="514" t="s">
        <v>11</v>
      </c>
      <c r="R1" s="508" t="s">
        <v>12</v>
      </c>
      <c r="S1" s="508" t="s">
        <v>13</v>
      </c>
      <c r="T1" s="508" t="s">
        <v>14</v>
      </c>
      <c r="U1" s="508" t="s">
        <v>15</v>
      </c>
      <c r="V1" s="508" t="s">
        <v>16</v>
      </c>
      <c r="W1" s="508" t="s">
        <v>17</v>
      </c>
      <c r="X1" s="508" t="s">
        <v>18</v>
      </c>
      <c r="Y1" s="508" t="s">
        <v>19</v>
      </c>
      <c r="Z1" s="508" t="s">
        <v>20</v>
      </c>
      <c r="AA1" s="508" t="s">
        <v>21</v>
      </c>
      <c r="AB1" s="508" t="s">
        <v>22</v>
      </c>
      <c r="AC1" s="508" t="s">
        <v>23</v>
      </c>
      <c r="AD1" s="508" t="s">
        <v>24</v>
      </c>
      <c r="AE1" s="508" t="s">
        <v>25</v>
      </c>
      <c r="AF1" s="508" t="s">
        <v>26</v>
      </c>
      <c r="AG1" s="508" t="s">
        <v>27</v>
      </c>
      <c r="AH1" s="516" t="s">
        <v>28</v>
      </c>
      <c r="AI1" s="508" t="s">
        <v>29</v>
      </c>
      <c r="AJ1" s="508" t="s">
        <v>30</v>
      </c>
      <c r="AK1" s="516" t="s">
        <v>31</v>
      </c>
      <c r="AL1" s="516" t="s">
        <v>32</v>
      </c>
      <c r="AM1" s="516" t="s">
        <v>33</v>
      </c>
      <c r="AN1" s="508" t="s">
        <v>34</v>
      </c>
      <c r="AO1" s="516" t="s">
        <v>35</v>
      </c>
      <c r="AP1" s="518" t="s">
        <v>36</v>
      </c>
      <c r="AQ1" s="518" t="s">
        <v>37</v>
      </c>
      <c r="AR1" s="518" t="s">
        <v>38</v>
      </c>
      <c r="AS1" s="508" t="s">
        <v>39</v>
      </c>
      <c r="AT1" s="508" t="s">
        <v>40</v>
      </c>
      <c r="AU1" s="516" t="s">
        <v>41</v>
      </c>
      <c r="AV1" s="520" t="s">
        <v>42</v>
      </c>
      <c r="AW1" s="522" t="s">
        <v>43</v>
      </c>
      <c r="AX1" s="522" t="s">
        <v>44</v>
      </c>
      <c r="AY1" s="524" t="s">
        <v>45</v>
      </c>
      <c r="AZ1" s="508" t="s">
        <v>46</v>
      </c>
      <c r="BA1" s="516" t="s">
        <v>47</v>
      </c>
      <c r="BB1" s="526" t="s">
        <v>48</v>
      </c>
      <c r="BC1" s="516" t="s">
        <v>49</v>
      </c>
      <c r="BD1" s="516" t="s">
        <v>50</v>
      </c>
      <c r="BE1" s="516" t="s">
        <v>51</v>
      </c>
      <c r="BF1" s="508" t="s">
        <v>52</v>
      </c>
      <c r="BG1" s="516" t="s">
        <v>53</v>
      </c>
      <c r="BH1" s="516" t="s">
        <v>54</v>
      </c>
      <c r="BI1" s="1" t="s">
        <v>55</v>
      </c>
      <c r="BJ1" s="528" t="s">
        <v>56</v>
      </c>
      <c r="BK1" s="508" t="s">
        <v>57</v>
      </c>
      <c r="BL1" s="530" t="s">
        <v>58</v>
      </c>
      <c r="BM1" s="508" t="s">
        <v>59</v>
      </c>
      <c r="BN1" s="508" t="s">
        <v>60</v>
      </c>
      <c r="BO1" s="526" t="s">
        <v>61</v>
      </c>
      <c r="BP1" s="516" t="s">
        <v>62</v>
      </c>
      <c r="BQ1" s="516" t="s">
        <v>63</v>
      </c>
      <c r="BR1" s="516" t="s">
        <v>64</v>
      </c>
      <c r="BS1" s="508" t="s">
        <v>65</v>
      </c>
      <c r="BT1" s="516" t="s">
        <v>66</v>
      </c>
      <c r="BU1" s="516" t="s">
        <v>67</v>
      </c>
      <c r="BV1" s="516" t="s">
        <v>68</v>
      </c>
      <c r="BW1" s="516" t="s">
        <v>69</v>
      </c>
      <c r="BX1" s="508" t="s">
        <v>70</v>
      </c>
      <c r="BY1" s="508" t="s">
        <v>71</v>
      </c>
      <c r="BZ1" s="516" t="s">
        <v>72</v>
      </c>
      <c r="CA1" s="516" t="s">
        <v>73</v>
      </c>
      <c r="CB1" s="516" t="s">
        <v>74</v>
      </c>
      <c r="CC1" s="516" t="s">
        <v>75</v>
      </c>
      <c r="CD1" s="516" t="s">
        <v>76</v>
      </c>
      <c r="CE1" s="516" t="s">
        <v>77</v>
      </c>
      <c r="CF1" s="508" t="s">
        <v>78</v>
      </c>
      <c r="CG1" s="516" t="s">
        <v>79</v>
      </c>
      <c r="CH1" s="508" t="s">
        <v>24</v>
      </c>
      <c r="CI1" s="508" t="s">
        <v>25</v>
      </c>
      <c r="CJ1" s="508" t="s">
        <v>26</v>
      </c>
      <c r="CK1" s="508" t="s">
        <v>27</v>
      </c>
      <c r="CL1" s="508" t="s">
        <v>30</v>
      </c>
    </row>
    <row r="2" spans="1:90" s="2" customFormat="1" ht="30">
      <c r="A2" s="509"/>
      <c r="B2" s="3" t="s">
        <v>80</v>
      </c>
      <c r="C2" s="3" t="s">
        <v>81</v>
      </c>
      <c r="D2" s="1" t="s">
        <v>82</v>
      </c>
      <c r="E2" s="1" t="s">
        <v>83</v>
      </c>
      <c r="F2" s="1" t="s">
        <v>84</v>
      </c>
      <c r="G2" s="509"/>
      <c r="H2" s="513"/>
      <c r="I2" s="509"/>
      <c r="J2" s="509"/>
      <c r="K2" s="509"/>
      <c r="L2" s="509"/>
      <c r="M2" s="509"/>
      <c r="N2" s="509"/>
      <c r="O2" s="509"/>
      <c r="P2" s="509"/>
      <c r="Q2" s="515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09"/>
      <c r="AF2" s="509"/>
      <c r="AG2" s="509"/>
      <c r="AH2" s="517"/>
      <c r="AI2" s="509"/>
      <c r="AJ2" s="509"/>
      <c r="AK2" s="517"/>
      <c r="AL2" s="517"/>
      <c r="AM2" s="517"/>
      <c r="AN2" s="509"/>
      <c r="AO2" s="517"/>
      <c r="AP2" s="519"/>
      <c r="AQ2" s="519"/>
      <c r="AR2" s="519"/>
      <c r="AS2" s="509"/>
      <c r="AT2" s="509"/>
      <c r="AU2" s="517"/>
      <c r="AV2" s="521"/>
      <c r="AW2" s="523"/>
      <c r="AX2" s="523"/>
      <c r="AY2" s="525"/>
      <c r="AZ2" s="509"/>
      <c r="BA2" s="517"/>
      <c r="BB2" s="527"/>
      <c r="BC2" s="517"/>
      <c r="BD2" s="517"/>
      <c r="BE2" s="517"/>
      <c r="BF2" s="509"/>
      <c r="BG2" s="517"/>
      <c r="BH2" s="517"/>
      <c r="BI2" s="1"/>
      <c r="BJ2" s="529"/>
      <c r="BK2" s="509"/>
      <c r="BL2" s="531"/>
      <c r="BM2" s="509"/>
      <c r="BN2" s="509"/>
      <c r="BO2" s="527"/>
      <c r="BP2" s="517"/>
      <c r="BQ2" s="517"/>
      <c r="BR2" s="517"/>
      <c r="BS2" s="509"/>
      <c r="BT2" s="517"/>
      <c r="BU2" s="517"/>
      <c r="BV2" s="517"/>
      <c r="BW2" s="517"/>
      <c r="BX2" s="509"/>
      <c r="BY2" s="509"/>
      <c r="BZ2" s="517"/>
      <c r="CA2" s="517"/>
      <c r="CB2" s="517"/>
      <c r="CC2" s="517"/>
      <c r="CD2" s="517"/>
      <c r="CE2" s="517"/>
      <c r="CF2" s="509"/>
      <c r="CG2" s="517"/>
      <c r="CH2" s="509"/>
      <c r="CI2" s="509"/>
      <c r="CJ2" s="509"/>
      <c r="CK2" s="509"/>
      <c r="CL2" s="509"/>
    </row>
    <row r="3" spans="1:90" s="168" customFormat="1" ht="25.5" customHeight="1">
      <c r="A3" s="151">
        <v>80</v>
      </c>
      <c r="B3" s="152"/>
      <c r="C3" s="152"/>
      <c r="D3" s="6"/>
      <c r="E3" s="6"/>
      <c r="F3" s="6"/>
      <c r="G3" s="151"/>
      <c r="H3" s="153"/>
      <c r="I3" s="169" t="s">
        <v>2452</v>
      </c>
      <c r="J3" s="169" t="s">
        <v>1121</v>
      </c>
      <c r="K3" s="169" t="s">
        <v>11646</v>
      </c>
      <c r="L3" s="151"/>
      <c r="M3" s="151">
        <v>2225</v>
      </c>
      <c r="N3" s="398" t="s">
        <v>13371</v>
      </c>
      <c r="O3" s="398" t="s">
        <v>13370</v>
      </c>
      <c r="P3" s="170" t="s">
        <v>11647</v>
      </c>
      <c r="Q3" s="174" t="s">
        <v>13369</v>
      </c>
      <c r="R3" s="151" t="s">
        <v>11331</v>
      </c>
      <c r="S3" s="151" t="s">
        <v>13542</v>
      </c>
      <c r="T3" s="151" t="s">
        <v>11648</v>
      </c>
      <c r="U3" s="151" t="s">
        <v>172</v>
      </c>
      <c r="V3" s="157" t="s">
        <v>94</v>
      </c>
      <c r="W3" s="171">
        <v>44002</v>
      </c>
      <c r="X3" s="159"/>
      <c r="Y3" s="172" t="s">
        <v>95</v>
      </c>
      <c r="Z3" s="173"/>
      <c r="AA3" s="159" t="s">
        <v>96</v>
      </c>
      <c r="AB3" s="151" t="s">
        <v>97</v>
      </c>
      <c r="AC3" s="162" t="s">
        <v>11649</v>
      </c>
      <c r="AD3" s="151" t="s">
        <v>546</v>
      </c>
      <c r="AE3" s="151" t="s">
        <v>546</v>
      </c>
      <c r="AF3" s="151" t="s">
        <v>139</v>
      </c>
      <c r="AG3" s="151" t="s">
        <v>140</v>
      </c>
      <c r="AH3" s="163" t="s">
        <v>141</v>
      </c>
      <c r="AI3" s="151">
        <v>65152</v>
      </c>
      <c r="AJ3" s="151" t="s">
        <v>94</v>
      </c>
      <c r="AK3" s="163"/>
      <c r="AL3" s="163"/>
      <c r="AM3" s="163" t="s">
        <v>12157</v>
      </c>
      <c r="AN3" s="151" t="s">
        <v>12204</v>
      </c>
      <c r="AO3" s="163">
        <v>1</v>
      </c>
      <c r="AP3" s="163">
        <v>0</v>
      </c>
      <c r="AQ3" s="163"/>
      <c r="AR3" s="163"/>
      <c r="AS3" s="280">
        <v>15</v>
      </c>
      <c r="AT3" s="280">
        <v>101</v>
      </c>
      <c r="AU3" s="163"/>
      <c r="AV3" s="163" t="s">
        <v>112</v>
      </c>
      <c r="AW3" s="163" t="s">
        <v>150</v>
      </c>
      <c r="AX3" s="163" t="s">
        <v>12263</v>
      </c>
      <c r="AY3" s="164" t="s">
        <v>12302</v>
      </c>
      <c r="AZ3" s="151" t="s">
        <v>12401</v>
      </c>
      <c r="BA3" s="163" t="s">
        <v>94</v>
      </c>
      <c r="BB3" s="165">
        <v>32636</v>
      </c>
      <c r="BC3" s="163" t="s">
        <v>96</v>
      </c>
      <c r="BD3" s="163" t="s">
        <v>12157</v>
      </c>
      <c r="BE3" s="163" t="s">
        <v>153</v>
      </c>
      <c r="BF3" s="151" t="s">
        <v>247</v>
      </c>
      <c r="BG3" s="163" t="s">
        <v>12546</v>
      </c>
      <c r="BH3" s="163" t="s">
        <v>12616</v>
      </c>
      <c r="BI3" s="6"/>
      <c r="BJ3" s="166">
        <v>10000000</v>
      </c>
      <c r="BK3" s="151" t="s">
        <v>12722</v>
      </c>
      <c r="BL3" s="167" t="s">
        <v>12834</v>
      </c>
      <c r="BM3" s="151" t="s">
        <v>12933</v>
      </c>
      <c r="BN3" s="151" t="s">
        <v>94</v>
      </c>
      <c r="BO3" s="165">
        <v>35119</v>
      </c>
      <c r="BP3" s="163" t="s">
        <v>96</v>
      </c>
      <c r="BQ3" s="163" t="s">
        <v>12204</v>
      </c>
      <c r="BR3" s="163" t="s">
        <v>216</v>
      </c>
      <c r="BS3" s="151" t="s">
        <v>126</v>
      </c>
      <c r="BT3" s="163" t="s">
        <v>127</v>
      </c>
      <c r="BU3" s="163" t="s">
        <v>127</v>
      </c>
      <c r="BV3" s="163" t="s">
        <v>127</v>
      </c>
      <c r="BW3" s="163" t="s">
        <v>127</v>
      </c>
      <c r="BX3" s="151" t="s">
        <v>13135</v>
      </c>
      <c r="BY3" s="151" t="s">
        <v>12302</v>
      </c>
      <c r="BZ3" s="163" t="s">
        <v>94</v>
      </c>
      <c r="CA3" s="283">
        <v>32636</v>
      </c>
      <c r="CB3" s="163"/>
      <c r="CC3" s="163" t="s">
        <v>12157</v>
      </c>
      <c r="CD3" s="163" t="s">
        <v>153</v>
      </c>
      <c r="CE3" s="163" t="s">
        <v>247</v>
      </c>
      <c r="CF3" s="151"/>
      <c r="CG3" s="163"/>
      <c r="CH3" s="151"/>
      <c r="CI3" s="151"/>
      <c r="CJ3" s="151"/>
      <c r="CK3" s="151"/>
      <c r="CL3" s="151"/>
    </row>
    <row r="4" spans="1:90" s="168" customFormat="1" ht="25.5" customHeight="1">
      <c r="A4" s="151">
        <v>54</v>
      </c>
      <c r="B4" s="152"/>
      <c r="C4" s="152"/>
      <c r="D4" s="6"/>
      <c r="E4" s="6"/>
      <c r="F4" s="6"/>
      <c r="G4" s="151"/>
      <c r="H4" s="153"/>
      <c r="I4" s="154" t="s">
        <v>2452</v>
      </c>
      <c r="J4" s="154" t="s">
        <v>11650</v>
      </c>
      <c r="K4" s="154" t="s">
        <v>11651</v>
      </c>
      <c r="L4" s="151"/>
      <c r="M4" s="151">
        <v>2226</v>
      </c>
      <c r="N4" s="398" t="s">
        <v>13372</v>
      </c>
      <c r="O4" s="398" t="s">
        <v>2404</v>
      </c>
      <c r="P4" s="156" t="s">
        <v>11652</v>
      </c>
      <c r="Q4" s="174" t="s">
        <v>11653</v>
      </c>
      <c r="R4" s="151" t="s">
        <v>11331</v>
      </c>
      <c r="S4" s="151" t="s">
        <v>13542</v>
      </c>
      <c r="T4" s="151" t="s">
        <v>11654</v>
      </c>
      <c r="U4" s="151" t="s">
        <v>93</v>
      </c>
      <c r="V4" s="157" t="s">
        <v>94</v>
      </c>
      <c r="W4" s="158">
        <v>43985</v>
      </c>
      <c r="X4" s="159"/>
      <c r="Y4" s="160" t="s">
        <v>95</v>
      </c>
      <c r="Z4" s="161"/>
      <c r="AA4" s="159" t="s">
        <v>96</v>
      </c>
      <c r="AB4" s="151" t="s">
        <v>97</v>
      </c>
      <c r="AC4" s="162" t="s">
        <v>11655</v>
      </c>
      <c r="AD4" s="151" t="s">
        <v>99</v>
      </c>
      <c r="AE4" s="151">
        <v>16</v>
      </c>
      <c r="AF4" s="151" t="s">
        <v>1395</v>
      </c>
      <c r="AG4" s="151" t="s">
        <v>140</v>
      </c>
      <c r="AH4" s="163" t="s">
        <v>141</v>
      </c>
      <c r="AI4" s="151">
        <v>65152</v>
      </c>
      <c r="AJ4" s="151" t="s">
        <v>94</v>
      </c>
      <c r="AK4" s="163"/>
      <c r="AL4" s="163"/>
      <c r="AM4" s="163" t="s">
        <v>2409</v>
      </c>
      <c r="AN4" s="151" t="s">
        <v>2409</v>
      </c>
      <c r="AO4" s="163">
        <v>2</v>
      </c>
      <c r="AP4" s="163">
        <v>1</v>
      </c>
      <c r="AQ4" s="163"/>
      <c r="AR4" s="163"/>
      <c r="AS4" s="279">
        <v>15</v>
      </c>
      <c r="AT4" s="279">
        <v>100</v>
      </c>
      <c r="AU4" s="163"/>
      <c r="AV4" s="163" t="s">
        <v>112</v>
      </c>
      <c r="AW4" s="163" t="s">
        <v>1130</v>
      </c>
      <c r="AX4" s="163" t="s">
        <v>183</v>
      </c>
      <c r="AY4" s="164" t="s">
        <v>12303</v>
      </c>
      <c r="AZ4" s="151" t="s">
        <v>2412</v>
      </c>
      <c r="BA4" s="163" t="s">
        <v>94</v>
      </c>
      <c r="BB4" s="165">
        <v>32642</v>
      </c>
      <c r="BC4" s="163" t="s">
        <v>96</v>
      </c>
      <c r="BD4" s="163" t="s">
        <v>2410</v>
      </c>
      <c r="BE4" s="163" t="s">
        <v>118</v>
      </c>
      <c r="BF4" s="151" t="s">
        <v>276</v>
      </c>
      <c r="BG4" s="163" t="s">
        <v>12547</v>
      </c>
      <c r="BH4" s="163" t="s">
        <v>2414</v>
      </c>
      <c r="BI4" s="6"/>
      <c r="BJ4" s="166" t="s">
        <v>127</v>
      </c>
      <c r="BK4" s="151" t="s">
        <v>127</v>
      </c>
      <c r="BL4" s="167" t="s">
        <v>12835</v>
      </c>
      <c r="BM4" s="151" t="s">
        <v>2416</v>
      </c>
      <c r="BN4" s="151" t="s">
        <v>2417</v>
      </c>
      <c r="BO4" s="165">
        <v>33094</v>
      </c>
      <c r="BP4" s="163" t="s">
        <v>96</v>
      </c>
      <c r="BQ4" s="163" t="s">
        <v>2409</v>
      </c>
      <c r="BR4" s="163" t="s">
        <v>118</v>
      </c>
      <c r="BS4" s="151" t="s">
        <v>276</v>
      </c>
      <c r="BT4" s="163" t="s">
        <v>13037</v>
      </c>
      <c r="BU4" s="163" t="s">
        <v>13071</v>
      </c>
      <c r="BV4" s="163"/>
      <c r="BW4" s="163" t="s">
        <v>250</v>
      </c>
      <c r="BX4" s="151" t="s">
        <v>13136</v>
      </c>
      <c r="BY4" s="151"/>
      <c r="BZ4" s="163" t="s">
        <v>108</v>
      </c>
      <c r="CA4" s="281"/>
      <c r="CB4" s="163"/>
      <c r="CC4" s="163"/>
      <c r="CD4" s="163"/>
      <c r="CE4" s="163"/>
      <c r="CF4" s="151"/>
      <c r="CG4" s="163"/>
      <c r="CH4" s="151"/>
      <c r="CI4" s="151"/>
      <c r="CJ4" s="151"/>
      <c r="CK4" s="151"/>
      <c r="CL4" s="151"/>
    </row>
    <row r="5" spans="1:90" s="168" customFormat="1" ht="25.5" customHeight="1">
      <c r="A5" s="151">
        <v>34</v>
      </c>
      <c r="B5" s="152"/>
      <c r="C5" s="152"/>
      <c r="D5" s="6"/>
      <c r="E5" s="6"/>
      <c r="F5" s="6"/>
      <c r="G5" s="151"/>
      <c r="H5" s="153"/>
      <c r="I5" s="154" t="s">
        <v>2684</v>
      </c>
      <c r="J5" s="154" t="s">
        <v>11660</v>
      </c>
      <c r="K5" s="154" t="s">
        <v>11661</v>
      </c>
      <c r="L5" s="151"/>
      <c r="M5" s="151">
        <v>2228</v>
      </c>
      <c r="N5" s="400" t="s">
        <v>13375</v>
      </c>
      <c r="O5" s="398" t="s">
        <v>13374</v>
      </c>
      <c r="P5" s="156" t="s">
        <v>11662</v>
      </c>
      <c r="Q5" s="174" t="s">
        <v>11663</v>
      </c>
      <c r="R5" s="151" t="s">
        <v>11331</v>
      </c>
      <c r="S5" s="151" t="s">
        <v>13542</v>
      </c>
      <c r="T5" s="151" t="s">
        <v>2757</v>
      </c>
      <c r="U5" s="151" t="s">
        <v>93</v>
      </c>
      <c r="V5" s="157" t="s">
        <v>94</v>
      </c>
      <c r="W5" s="158">
        <v>43668</v>
      </c>
      <c r="X5" s="159"/>
      <c r="Y5" s="160" t="s">
        <v>95</v>
      </c>
      <c r="Z5" s="161"/>
      <c r="AA5" s="159" t="s">
        <v>96</v>
      </c>
      <c r="AB5" s="151" t="s">
        <v>97</v>
      </c>
      <c r="AC5" s="162" t="s">
        <v>11664</v>
      </c>
      <c r="AD5" s="151" t="s">
        <v>99</v>
      </c>
      <c r="AE5" s="151" t="s">
        <v>384</v>
      </c>
      <c r="AF5" s="151" t="s">
        <v>178</v>
      </c>
      <c r="AG5" s="151" t="s">
        <v>178</v>
      </c>
      <c r="AH5" s="151" t="s">
        <v>178</v>
      </c>
      <c r="AI5" s="151">
        <v>65141</v>
      </c>
      <c r="AJ5" s="151" t="s">
        <v>94</v>
      </c>
      <c r="AK5" s="163"/>
      <c r="AL5" s="163"/>
      <c r="AM5" s="163" t="s">
        <v>127</v>
      </c>
      <c r="AN5" s="151" t="s">
        <v>12205</v>
      </c>
      <c r="AO5" s="163">
        <v>1</v>
      </c>
      <c r="AP5" s="163">
        <v>1</v>
      </c>
      <c r="AQ5" s="163"/>
      <c r="AR5" s="163"/>
      <c r="AS5" s="279">
        <v>21</v>
      </c>
      <c r="AT5" s="279">
        <v>110</v>
      </c>
      <c r="AU5" s="163"/>
      <c r="AV5" s="163" t="s">
        <v>112</v>
      </c>
      <c r="AW5" s="163" t="s">
        <v>392</v>
      </c>
      <c r="AX5" s="163" t="s">
        <v>183</v>
      </c>
      <c r="AY5" s="164" t="s">
        <v>12305</v>
      </c>
      <c r="AZ5" s="151" t="s">
        <v>12403</v>
      </c>
      <c r="BA5" s="163" t="s">
        <v>1967</v>
      </c>
      <c r="BB5" s="165">
        <v>33455</v>
      </c>
      <c r="BC5" s="163" t="s">
        <v>96</v>
      </c>
      <c r="BD5" s="163" t="s">
        <v>12205</v>
      </c>
      <c r="BE5" s="163" t="s">
        <v>118</v>
      </c>
      <c r="BF5" s="151" t="s">
        <v>276</v>
      </c>
      <c r="BG5" s="163" t="s">
        <v>12549</v>
      </c>
      <c r="BH5" s="163" t="s">
        <v>12618</v>
      </c>
      <c r="BI5" s="6" t="s">
        <v>127</v>
      </c>
      <c r="BJ5" s="166" t="s">
        <v>122</v>
      </c>
      <c r="BK5" s="151" t="s">
        <v>12724</v>
      </c>
      <c r="BL5" s="167" t="s">
        <v>12837</v>
      </c>
      <c r="BM5" s="151" t="s">
        <v>12935</v>
      </c>
      <c r="BN5" s="151" t="s">
        <v>94</v>
      </c>
      <c r="BO5" s="165">
        <v>34787</v>
      </c>
      <c r="BP5" s="163" t="s">
        <v>96</v>
      </c>
      <c r="BQ5" s="163" t="s">
        <v>13007</v>
      </c>
      <c r="BR5" s="163" t="s">
        <v>118</v>
      </c>
      <c r="BS5" s="151" t="s">
        <v>126</v>
      </c>
      <c r="BT5" s="163" t="s">
        <v>127</v>
      </c>
      <c r="BU5" s="163" t="s">
        <v>127</v>
      </c>
      <c r="BV5" s="163" t="s">
        <v>127</v>
      </c>
      <c r="BW5" s="163" t="s">
        <v>127</v>
      </c>
      <c r="BX5" s="151" t="s">
        <v>13139</v>
      </c>
      <c r="BY5" s="151" t="s">
        <v>13221</v>
      </c>
      <c r="BZ5" s="163" t="s">
        <v>94</v>
      </c>
      <c r="CA5" s="284">
        <v>37295</v>
      </c>
      <c r="CB5" s="163"/>
      <c r="CC5" s="163" t="s">
        <v>13237</v>
      </c>
      <c r="CD5" s="163" t="s">
        <v>118</v>
      </c>
      <c r="CE5" s="163" t="s">
        <v>127</v>
      </c>
      <c r="CF5" s="151"/>
      <c r="CG5" s="163"/>
      <c r="CH5" s="151"/>
      <c r="CI5" s="151"/>
      <c r="CJ5" s="151"/>
      <c r="CK5" s="151"/>
      <c r="CL5" s="151"/>
    </row>
    <row r="6" spans="1:90" s="168" customFormat="1" ht="25.5" customHeight="1">
      <c r="A6" s="151">
        <v>8</v>
      </c>
      <c r="B6" s="152"/>
      <c r="C6" s="152"/>
      <c r="D6" s="6"/>
      <c r="E6" s="6"/>
      <c r="F6" s="6"/>
      <c r="G6" s="151"/>
      <c r="H6" s="153"/>
      <c r="I6" s="169" t="s">
        <v>2452</v>
      </c>
      <c r="J6" s="169" t="s">
        <v>1809</v>
      </c>
      <c r="K6" s="169" t="s">
        <v>11673</v>
      </c>
      <c r="L6" s="151"/>
      <c r="M6" s="151">
        <v>2231</v>
      </c>
      <c r="N6" s="408" t="s">
        <v>13545</v>
      </c>
      <c r="O6" s="398" t="s">
        <v>13378</v>
      </c>
      <c r="P6" s="170" t="s">
        <v>11674</v>
      </c>
      <c r="Q6" s="174" t="s">
        <v>11675</v>
      </c>
      <c r="R6" s="151" t="s">
        <v>11331</v>
      </c>
      <c r="S6" s="151" t="s">
        <v>13542</v>
      </c>
      <c r="T6" s="151" t="s">
        <v>11676</v>
      </c>
      <c r="U6" s="151" t="s">
        <v>172</v>
      </c>
      <c r="V6" s="157" t="s">
        <v>94</v>
      </c>
      <c r="W6" s="171">
        <v>43673</v>
      </c>
      <c r="X6" s="159"/>
      <c r="Y6" s="172" t="s">
        <v>95</v>
      </c>
      <c r="Z6" s="169"/>
      <c r="AA6" s="159" t="s">
        <v>96</v>
      </c>
      <c r="AB6" s="151" t="s">
        <v>97</v>
      </c>
      <c r="AC6" s="162" t="s">
        <v>11677</v>
      </c>
      <c r="AD6" s="151">
        <v>1</v>
      </c>
      <c r="AE6" s="151">
        <v>6</v>
      </c>
      <c r="AF6" s="151" t="s">
        <v>686</v>
      </c>
      <c r="AG6" s="151" t="s">
        <v>687</v>
      </c>
      <c r="AH6" s="163" t="s">
        <v>141</v>
      </c>
      <c r="AI6" s="151">
        <v>65151</v>
      </c>
      <c r="AJ6" s="151" t="s">
        <v>94</v>
      </c>
      <c r="AK6" s="163"/>
      <c r="AL6" s="163"/>
      <c r="AM6" s="163" t="s">
        <v>127</v>
      </c>
      <c r="AN6" s="151" t="s">
        <v>12206</v>
      </c>
      <c r="AO6" s="163">
        <v>1</v>
      </c>
      <c r="AP6" s="163">
        <v>0</v>
      </c>
      <c r="AQ6" s="163"/>
      <c r="AR6" s="163"/>
      <c r="AS6" s="280">
        <v>20</v>
      </c>
      <c r="AT6" s="280">
        <v>110</v>
      </c>
      <c r="AU6" s="163"/>
      <c r="AV6" s="163" t="s">
        <v>112</v>
      </c>
      <c r="AW6" s="163" t="s">
        <v>150</v>
      </c>
      <c r="AX6" s="163" t="s">
        <v>114</v>
      </c>
      <c r="AY6" s="164" t="s">
        <v>12308</v>
      </c>
      <c r="AZ6" s="151" t="s">
        <v>12404</v>
      </c>
      <c r="BA6" s="163" t="s">
        <v>94</v>
      </c>
      <c r="BB6" s="165">
        <v>35471</v>
      </c>
      <c r="BC6" s="163" t="s">
        <v>96</v>
      </c>
      <c r="BD6" s="163" t="s">
        <v>12480</v>
      </c>
      <c r="BE6" s="163" t="s">
        <v>118</v>
      </c>
      <c r="BF6" s="151" t="s">
        <v>276</v>
      </c>
      <c r="BG6" s="163" t="s">
        <v>12551</v>
      </c>
      <c r="BH6" s="163" t="s">
        <v>12621</v>
      </c>
      <c r="BI6" s="6" t="s">
        <v>12622</v>
      </c>
      <c r="BJ6" s="166" t="s">
        <v>12728</v>
      </c>
      <c r="BK6" s="151" t="s">
        <v>12729</v>
      </c>
      <c r="BL6" s="167" t="s">
        <v>12840</v>
      </c>
      <c r="BM6" s="151" t="s">
        <v>12936</v>
      </c>
      <c r="BN6" s="151" t="s">
        <v>395</v>
      </c>
      <c r="BO6" s="165">
        <v>35992</v>
      </c>
      <c r="BP6" s="163" t="s">
        <v>96</v>
      </c>
      <c r="BQ6" s="163" t="s">
        <v>12206</v>
      </c>
      <c r="BR6" s="163" t="s">
        <v>118</v>
      </c>
      <c r="BS6" s="151" t="s">
        <v>276</v>
      </c>
      <c r="BT6" s="163" t="s">
        <v>4993</v>
      </c>
      <c r="BU6" s="163" t="s">
        <v>13073</v>
      </c>
      <c r="BV6" s="163" t="s">
        <v>127</v>
      </c>
      <c r="BW6" s="163" t="s">
        <v>376</v>
      </c>
      <c r="BX6" s="151" t="s">
        <v>13142</v>
      </c>
      <c r="BY6" s="151"/>
      <c r="BZ6" s="163" t="s">
        <v>108</v>
      </c>
      <c r="CA6" s="285"/>
      <c r="CB6" s="163"/>
      <c r="CC6" s="163"/>
      <c r="CD6" s="163"/>
      <c r="CE6" s="163"/>
      <c r="CF6" s="151"/>
      <c r="CG6" s="163"/>
      <c r="CH6" s="151"/>
      <c r="CI6" s="151"/>
      <c r="CJ6" s="151"/>
      <c r="CK6" s="151"/>
      <c r="CL6" s="151"/>
    </row>
    <row r="7" spans="1:90" s="168" customFormat="1" ht="25.5" customHeight="1">
      <c r="A7" s="151">
        <v>89</v>
      </c>
      <c r="B7" s="152"/>
      <c r="C7" s="152"/>
      <c r="D7" s="6"/>
      <c r="E7" s="6"/>
      <c r="F7" s="6"/>
      <c r="G7" s="151"/>
      <c r="H7" s="153"/>
      <c r="I7" s="169" t="s">
        <v>11714</v>
      </c>
      <c r="J7" s="169" t="s">
        <v>11715</v>
      </c>
      <c r="K7" s="169" t="s">
        <v>11716</v>
      </c>
      <c r="L7" s="151"/>
      <c r="M7" s="151">
        <v>2239</v>
      </c>
      <c r="N7" s="398" t="s">
        <v>13387</v>
      </c>
      <c r="O7" s="398" t="s">
        <v>13386</v>
      </c>
      <c r="P7" s="170" t="s">
        <v>11717</v>
      </c>
      <c r="Q7" s="174" t="s">
        <v>11718</v>
      </c>
      <c r="R7" s="151" t="s">
        <v>11331</v>
      </c>
      <c r="S7" s="151" t="s">
        <v>13542</v>
      </c>
      <c r="T7" s="151" t="s">
        <v>11719</v>
      </c>
      <c r="U7" s="151" t="s">
        <v>172</v>
      </c>
      <c r="V7" s="157" t="s">
        <v>94</v>
      </c>
      <c r="W7" s="171">
        <v>43637</v>
      </c>
      <c r="X7" s="159"/>
      <c r="Y7" s="172" t="s">
        <v>95</v>
      </c>
      <c r="Z7" s="173"/>
      <c r="AA7" s="159" t="s">
        <v>96</v>
      </c>
      <c r="AB7" s="151" t="s">
        <v>97</v>
      </c>
      <c r="AC7" s="162" t="s">
        <v>11720</v>
      </c>
      <c r="AD7" s="151" t="s">
        <v>239</v>
      </c>
      <c r="AE7" s="151" t="s">
        <v>1281</v>
      </c>
      <c r="AF7" s="151" t="s">
        <v>521</v>
      </c>
      <c r="AG7" s="151" t="s">
        <v>178</v>
      </c>
      <c r="AH7" s="163" t="s">
        <v>178</v>
      </c>
      <c r="AI7" s="151">
        <v>65141</v>
      </c>
      <c r="AJ7" s="151" t="s">
        <v>94</v>
      </c>
      <c r="AK7" s="163"/>
      <c r="AL7" s="163"/>
      <c r="AM7" s="163" t="s">
        <v>12162</v>
      </c>
      <c r="AN7" s="151" t="s">
        <v>12162</v>
      </c>
      <c r="AO7" s="163">
        <v>1</v>
      </c>
      <c r="AP7" s="163">
        <v>1</v>
      </c>
      <c r="AQ7" s="163"/>
      <c r="AR7" s="163"/>
      <c r="AS7" s="280">
        <v>18</v>
      </c>
      <c r="AT7" s="280">
        <v>116</v>
      </c>
      <c r="AU7" s="163"/>
      <c r="AV7" s="163" t="s">
        <v>112</v>
      </c>
      <c r="AW7" s="163" t="s">
        <v>163</v>
      </c>
      <c r="AX7" s="163" t="s">
        <v>114</v>
      </c>
      <c r="AY7" s="164" t="s">
        <v>12316</v>
      </c>
      <c r="AZ7" s="151" t="s">
        <v>12409</v>
      </c>
      <c r="BA7" s="163" t="s">
        <v>670</v>
      </c>
      <c r="BB7" s="165">
        <v>33092</v>
      </c>
      <c r="BC7" s="163" t="s">
        <v>96</v>
      </c>
      <c r="BD7" s="163" t="s">
        <v>12484</v>
      </c>
      <c r="BE7" s="163" t="s">
        <v>118</v>
      </c>
      <c r="BF7" s="151" t="s">
        <v>276</v>
      </c>
      <c r="BG7" s="163" t="s">
        <v>12556</v>
      </c>
      <c r="BH7" s="163" t="s">
        <v>12629</v>
      </c>
      <c r="BI7" s="6" t="s">
        <v>12630</v>
      </c>
      <c r="BJ7" s="166" t="s">
        <v>190</v>
      </c>
      <c r="BK7" s="151" t="s">
        <v>12736</v>
      </c>
      <c r="BL7" s="167" t="s">
        <v>12848</v>
      </c>
      <c r="BM7" s="151" t="s">
        <v>12941</v>
      </c>
      <c r="BN7" s="151" t="s">
        <v>2016</v>
      </c>
      <c r="BO7" s="165">
        <v>34045</v>
      </c>
      <c r="BP7" s="163" t="s">
        <v>96</v>
      </c>
      <c r="BQ7" s="163" t="s">
        <v>12162</v>
      </c>
      <c r="BR7" s="163" t="s">
        <v>118</v>
      </c>
      <c r="BS7" s="151" t="s">
        <v>790</v>
      </c>
      <c r="BT7" s="163" t="s">
        <v>127</v>
      </c>
      <c r="BU7" s="163" t="s">
        <v>127</v>
      </c>
      <c r="BV7" s="163" t="s">
        <v>127</v>
      </c>
      <c r="BW7" s="163" t="s">
        <v>127</v>
      </c>
      <c r="BX7" s="151" t="s">
        <v>13147</v>
      </c>
      <c r="BY7" s="151"/>
      <c r="BZ7" s="163" t="s">
        <v>108</v>
      </c>
      <c r="CA7" s="282"/>
      <c r="CB7" s="163"/>
      <c r="CC7" s="163"/>
      <c r="CD7" s="163"/>
      <c r="CE7" s="163"/>
      <c r="CF7" s="151"/>
      <c r="CG7" s="163"/>
      <c r="CH7" s="151"/>
      <c r="CI7" s="151"/>
      <c r="CJ7" s="151"/>
      <c r="CK7" s="151"/>
      <c r="CL7" s="151"/>
    </row>
    <row r="8" spans="1:90" s="329" customFormat="1" ht="25.5" customHeight="1">
      <c r="A8" s="312">
        <v>68</v>
      </c>
      <c r="B8" s="313"/>
      <c r="C8" s="313"/>
      <c r="D8" s="28"/>
      <c r="E8" s="28"/>
      <c r="F8" s="28"/>
      <c r="G8" s="312"/>
      <c r="H8" s="314"/>
      <c r="I8" s="315" t="s">
        <v>2452</v>
      </c>
      <c r="J8" s="315" t="s">
        <v>166</v>
      </c>
      <c r="K8" s="315" t="s">
        <v>3559</v>
      </c>
      <c r="L8" s="312"/>
      <c r="M8" s="312">
        <v>2255</v>
      </c>
      <c r="N8" s="399" t="s">
        <v>13412</v>
      </c>
      <c r="O8" s="399" t="s">
        <v>13413</v>
      </c>
      <c r="P8" s="402" t="s">
        <v>13414</v>
      </c>
      <c r="Q8" s="386" t="s">
        <v>11805</v>
      </c>
      <c r="R8" s="312" t="s">
        <v>11331</v>
      </c>
      <c r="S8" s="312" t="s">
        <v>13542</v>
      </c>
      <c r="T8" s="312" t="s">
        <v>11806</v>
      </c>
      <c r="U8" s="312" t="s">
        <v>172</v>
      </c>
      <c r="V8" s="317" t="s">
        <v>469</v>
      </c>
      <c r="W8" s="318">
        <v>43439</v>
      </c>
      <c r="X8" s="319"/>
      <c r="Y8" s="320" t="s">
        <v>425</v>
      </c>
      <c r="Z8" s="315" t="s">
        <v>11807</v>
      </c>
      <c r="AA8" s="319" t="s">
        <v>96</v>
      </c>
      <c r="AB8" s="312" t="s">
        <v>97</v>
      </c>
      <c r="AC8" s="321" t="s">
        <v>11808</v>
      </c>
      <c r="AD8" s="312" t="s">
        <v>293</v>
      </c>
      <c r="AE8" s="312">
        <v>21</v>
      </c>
      <c r="AF8" s="312" t="s">
        <v>3502</v>
      </c>
      <c r="AG8" s="312" t="s">
        <v>3503</v>
      </c>
      <c r="AH8" s="322" t="s">
        <v>141</v>
      </c>
      <c r="AI8" s="312">
        <v>65153</v>
      </c>
      <c r="AJ8" s="312" t="s">
        <v>94</v>
      </c>
      <c r="AK8" s="322"/>
      <c r="AL8" s="322"/>
      <c r="AM8" s="322">
        <v>0</v>
      </c>
      <c r="AN8" s="312" t="s">
        <v>12219</v>
      </c>
      <c r="AO8" s="322">
        <v>1</v>
      </c>
      <c r="AP8" s="322">
        <v>2</v>
      </c>
      <c r="AQ8" s="322"/>
      <c r="AR8" s="322"/>
      <c r="AS8" s="323">
        <v>19</v>
      </c>
      <c r="AT8" s="323">
        <v>110</v>
      </c>
      <c r="AU8" s="322"/>
      <c r="AV8" s="322" t="s">
        <v>112</v>
      </c>
      <c r="AW8" s="322" t="s">
        <v>549</v>
      </c>
      <c r="AX8" s="322" t="s">
        <v>114</v>
      </c>
      <c r="AY8" s="324" t="s">
        <v>12332</v>
      </c>
      <c r="AZ8" s="312" t="s">
        <v>12421</v>
      </c>
      <c r="BA8" s="322" t="s">
        <v>94</v>
      </c>
      <c r="BB8" s="325">
        <v>33707</v>
      </c>
      <c r="BC8" s="322" t="s">
        <v>96</v>
      </c>
      <c r="BD8" s="322" t="s">
        <v>12493</v>
      </c>
      <c r="BE8" s="322" t="s">
        <v>118</v>
      </c>
      <c r="BF8" s="312" t="s">
        <v>12531</v>
      </c>
      <c r="BG8" s="322" t="s">
        <v>127</v>
      </c>
      <c r="BH8" s="322" t="s">
        <v>127</v>
      </c>
      <c r="BI8" s="28" t="s">
        <v>127</v>
      </c>
      <c r="BJ8" s="326" t="s">
        <v>12752</v>
      </c>
      <c r="BK8" s="312" t="s">
        <v>12753</v>
      </c>
      <c r="BL8" s="327" t="s">
        <v>12864</v>
      </c>
      <c r="BM8" s="312" t="s">
        <v>12953</v>
      </c>
      <c r="BN8" s="312" t="s">
        <v>469</v>
      </c>
      <c r="BO8" s="325">
        <v>34101</v>
      </c>
      <c r="BP8" s="322" t="s">
        <v>96</v>
      </c>
      <c r="BQ8" s="322" t="s">
        <v>12219</v>
      </c>
      <c r="BR8" s="322" t="s">
        <v>118</v>
      </c>
      <c r="BS8" s="312" t="s">
        <v>126</v>
      </c>
      <c r="BT8" s="322" t="s">
        <v>127</v>
      </c>
      <c r="BU8" s="322" t="s">
        <v>127</v>
      </c>
      <c r="BV8" s="322" t="s">
        <v>127</v>
      </c>
      <c r="BW8" s="322" t="s">
        <v>127</v>
      </c>
      <c r="BX8" s="312" t="s">
        <v>13160</v>
      </c>
      <c r="BY8" s="312"/>
      <c r="BZ8" s="322" t="s">
        <v>108</v>
      </c>
      <c r="CA8" s="328"/>
      <c r="CB8" s="322"/>
      <c r="CC8" s="322"/>
      <c r="CD8" s="322"/>
      <c r="CE8" s="322"/>
      <c r="CF8" s="312"/>
      <c r="CG8" s="322"/>
      <c r="CH8" s="312"/>
      <c r="CI8" s="312"/>
      <c r="CJ8" s="312"/>
      <c r="CK8" s="312"/>
      <c r="CL8" s="312"/>
    </row>
    <row r="9" spans="1:90" s="168" customFormat="1" ht="25.5" customHeight="1">
      <c r="A9" s="151">
        <v>6</v>
      </c>
      <c r="B9" s="152"/>
      <c r="C9" s="152"/>
      <c r="D9" s="6"/>
      <c r="E9" s="6"/>
      <c r="F9" s="6"/>
      <c r="G9" s="151"/>
      <c r="H9" s="153"/>
      <c r="I9" s="154" t="s">
        <v>2452</v>
      </c>
      <c r="J9" s="154" t="s">
        <v>166</v>
      </c>
      <c r="K9" s="154" t="s">
        <v>11816</v>
      </c>
      <c r="L9" s="151"/>
      <c r="M9" s="151">
        <v>2258</v>
      </c>
      <c r="N9" s="398" t="s">
        <v>13440</v>
      </c>
      <c r="O9" s="398" t="s">
        <v>13438</v>
      </c>
      <c r="P9" s="156" t="s">
        <v>11817</v>
      </c>
      <c r="Q9" s="174" t="s">
        <v>11818</v>
      </c>
      <c r="R9" s="151" t="s">
        <v>11331</v>
      </c>
      <c r="S9" s="151" t="s">
        <v>13542</v>
      </c>
      <c r="T9" s="151" t="s">
        <v>11819</v>
      </c>
      <c r="U9" s="151" t="s">
        <v>172</v>
      </c>
      <c r="V9" s="157" t="s">
        <v>94</v>
      </c>
      <c r="W9" s="158">
        <v>43884</v>
      </c>
      <c r="X9" s="159"/>
      <c r="Y9" s="160" t="s">
        <v>95</v>
      </c>
      <c r="Z9" s="161"/>
      <c r="AA9" s="159" t="s">
        <v>96</v>
      </c>
      <c r="AB9" s="151" t="s">
        <v>97</v>
      </c>
      <c r="AC9" s="162" t="s">
        <v>11820</v>
      </c>
      <c r="AD9" s="151" t="s">
        <v>265</v>
      </c>
      <c r="AE9" s="151" t="s">
        <v>4392</v>
      </c>
      <c r="AF9" s="151" t="s">
        <v>615</v>
      </c>
      <c r="AG9" s="151" t="s">
        <v>178</v>
      </c>
      <c r="AH9" s="151" t="s">
        <v>178</v>
      </c>
      <c r="AI9" s="151">
        <v>65142</v>
      </c>
      <c r="AJ9" s="151" t="s">
        <v>103</v>
      </c>
      <c r="AK9" s="163"/>
      <c r="AL9" s="163"/>
      <c r="AM9" s="163" t="s">
        <v>12170</v>
      </c>
      <c r="AN9" s="151" t="s">
        <v>12170</v>
      </c>
      <c r="AO9" s="163">
        <v>1</v>
      </c>
      <c r="AP9" s="163">
        <v>0</v>
      </c>
      <c r="AQ9" s="163"/>
      <c r="AR9" s="163"/>
      <c r="AS9" s="279">
        <v>22</v>
      </c>
      <c r="AT9" s="279">
        <v>120</v>
      </c>
      <c r="AU9" s="163"/>
      <c r="AV9" s="163" t="s">
        <v>112</v>
      </c>
      <c r="AW9" s="163" t="s">
        <v>150</v>
      </c>
      <c r="AX9" s="163" t="s">
        <v>183</v>
      </c>
      <c r="AY9" s="164" t="s">
        <v>12335</v>
      </c>
      <c r="AZ9" s="151" t="s">
        <v>12422</v>
      </c>
      <c r="BA9" s="163" t="s">
        <v>1208</v>
      </c>
      <c r="BB9" s="165">
        <v>35611</v>
      </c>
      <c r="BC9" s="163" t="s">
        <v>96</v>
      </c>
      <c r="BD9" s="163" t="s">
        <v>12494</v>
      </c>
      <c r="BE9" s="163" t="s">
        <v>216</v>
      </c>
      <c r="BF9" s="151" t="s">
        <v>276</v>
      </c>
      <c r="BG9" s="163" t="s">
        <v>12565</v>
      </c>
      <c r="BH9" s="163" t="s">
        <v>12647</v>
      </c>
      <c r="BI9" s="6"/>
      <c r="BJ9" s="166">
        <v>4000000</v>
      </c>
      <c r="BK9" s="151" t="s">
        <v>12755</v>
      </c>
      <c r="BL9" s="167" t="s">
        <v>12867</v>
      </c>
      <c r="BM9" s="151" t="s">
        <v>12954</v>
      </c>
      <c r="BN9" s="151" t="s">
        <v>2554</v>
      </c>
      <c r="BO9" s="165">
        <v>35592</v>
      </c>
      <c r="BP9" s="163" t="s">
        <v>96</v>
      </c>
      <c r="BQ9" s="163" t="s">
        <v>12170</v>
      </c>
      <c r="BR9" s="163" t="s">
        <v>118</v>
      </c>
      <c r="BS9" s="151" t="s">
        <v>3496</v>
      </c>
      <c r="BT9" s="163" t="s">
        <v>127</v>
      </c>
      <c r="BU9" s="163" t="s">
        <v>127</v>
      </c>
      <c r="BV9" s="163" t="s">
        <v>127</v>
      </c>
      <c r="BW9" s="163" t="s">
        <v>127</v>
      </c>
      <c r="BX9" s="151" t="s">
        <v>13161</v>
      </c>
      <c r="BY9" s="151"/>
      <c r="BZ9" s="163" t="s">
        <v>108</v>
      </c>
      <c r="CA9" s="281"/>
      <c r="CB9" s="163"/>
      <c r="CC9" s="163"/>
      <c r="CD9" s="163"/>
      <c r="CE9" s="163"/>
      <c r="CF9" s="151"/>
      <c r="CG9" s="163"/>
      <c r="CH9" s="151"/>
      <c r="CI9" s="151"/>
      <c r="CJ9" s="151"/>
      <c r="CK9" s="151"/>
      <c r="CL9" s="151"/>
    </row>
    <row r="10" spans="1:90" s="168" customFormat="1" ht="25.5" customHeight="1">
      <c r="A10" s="151">
        <v>11</v>
      </c>
      <c r="B10" s="152"/>
      <c r="C10" s="152"/>
      <c r="D10" s="6"/>
      <c r="E10" s="6"/>
      <c r="F10" s="6"/>
      <c r="G10" s="151"/>
      <c r="H10" s="153"/>
      <c r="I10" s="154" t="s">
        <v>2452</v>
      </c>
      <c r="J10" s="154" t="s">
        <v>5087</v>
      </c>
      <c r="K10" s="154" t="s">
        <v>11860</v>
      </c>
      <c r="L10" s="151"/>
      <c r="M10" s="151">
        <v>2266</v>
      </c>
      <c r="N10" s="398" t="s">
        <v>13454</v>
      </c>
      <c r="O10" s="398" t="s">
        <v>13453</v>
      </c>
      <c r="P10" s="156" t="s">
        <v>11861</v>
      </c>
      <c r="Q10" s="174" t="s">
        <v>11862</v>
      </c>
      <c r="R10" s="151" t="s">
        <v>11331</v>
      </c>
      <c r="S10" s="151" t="s">
        <v>13542</v>
      </c>
      <c r="T10" s="151" t="s">
        <v>11863</v>
      </c>
      <c r="U10" s="151" t="s">
        <v>93</v>
      </c>
      <c r="V10" s="157" t="s">
        <v>519</v>
      </c>
      <c r="W10" s="158">
        <v>43466</v>
      </c>
      <c r="X10" s="159"/>
      <c r="Y10" s="160" t="s">
        <v>95</v>
      </c>
      <c r="Z10" s="154"/>
      <c r="AA10" s="159" t="s">
        <v>96</v>
      </c>
      <c r="AB10" s="151" t="s">
        <v>97</v>
      </c>
      <c r="AC10" s="162" t="s">
        <v>11864</v>
      </c>
      <c r="AD10" s="151" t="s">
        <v>137</v>
      </c>
      <c r="AE10" s="151" t="s">
        <v>207</v>
      </c>
      <c r="AF10" s="151" t="s">
        <v>1304</v>
      </c>
      <c r="AG10" s="151" t="s">
        <v>241</v>
      </c>
      <c r="AH10" s="163" t="s">
        <v>241</v>
      </c>
      <c r="AI10" s="151">
        <v>65126</v>
      </c>
      <c r="AJ10" s="151" t="s">
        <v>94</v>
      </c>
      <c r="AK10" s="163"/>
      <c r="AL10" s="163"/>
      <c r="AM10" s="163" t="s">
        <v>12174</v>
      </c>
      <c r="AN10" s="151" t="s">
        <v>12224</v>
      </c>
      <c r="AO10" s="163">
        <v>1</v>
      </c>
      <c r="AP10" s="163">
        <v>0</v>
      </c>
      <c r="AQ10" s="163"/>
      <c r="AR10" s="163"/>
      <c r="AS10" s="279">
        <v>19</v>
      </c>
      <c r="AT10" s="279">
        <v>121</v>
      </c>
      <c r="AU10" s="163"/>
      <c r="AV10" s="163" t="s">
        <v>112</v>
      </c>
      <c r="AW10" s="163" t="s">
        <v>8809</v>
      </c>
      <c r="AX10" s="163" t="s">
        <v>114</v>
      </c>
      <c r="AY10" s="164" t="s">
        <v>12342</v>
      </c>
      <c r="AZ10" s="151" t="s">
        <v>12428</v>
      </c>
      <c r="BA10" s="163" t="s">
        <v>94</v>
      </c>
      <c r="BB10" s="165">
        <v>31441</v>
      </c>
      <c r="BC10" s="163" t="s">
        <v>96</v>
      </c>
      <c r="BD10" s="163" t="s">
        <v>12499</v>
      </c>
      <c r="BE10" s="163" t="s">
        <v>118</v>
      </c>
      <c r="BF10" s="151" t="s">
        <v>195</v>
      </c>
      <c r="BG10" s="163" t="s">
        <v>12572</v>
      </c>
      <c r="BH10" s="163" t="s">
        <v>12658</v>
      </c>
      <c r="BI10" s="6" t="s">
        <v>12659</v>
      </c>
      <c r="BJ10" s="166" t="s">
        <v>1084</v>
      </c>
      <c r="BK10" s="151" t="s">
        <v>12763</v>
      </c>
      <c r="BL10" s="167" t="s">
        <v>12874</v>
      </c>
      <c r="BM10" s="151" t="s">
        <v>12960</v>
      </c>
      <c r="BN10" s="151" t="s">
        <v>502</v>
      </c>
      <c r="BO10" s="165">
        <v>34601</v>
      </c>
      <c r="BP10" s="163" t="s">
        <v>96</v>
      </c>
      <c r="BQ10" s="163" t="s">
        <v>12224</v>
      </c>
      <c r="BR10" s="163" t="s">
        <v>216</v>
      </c>
      <c r="BS10" s="151" t="s">
        <v>126</v>
      </c>
      <c r="BT10" s="163" t="s">
        <v>452</v>
      </c>
      <c r="BU10" s="163" t="s">
        <v>13089</v>
      </c>
      <c r="BV10" s="163"/>
      <c r="BW10" s="163" t="s">
        <v>983</v>
      </c>
      <c r="BX10" s="151" t="s">
        <v>13167</v>
      </c>
      <c r="BY10" s="151"/>
      <c r="BZ10" s="163" t="s">
        <v>108</v>
      </c>
      <c r="CA10" s="286"/>
      <c r="CB10" s="163"/>
      <c r="CC10" s="163"/>
      <c r="CD10" s="163"/>
      <c r="CE10" s="163"/>
      <c r="CF10" s="151"/>
      <c r="CG10" s="163"/>
      <c r="CH10" s="151"/>
      <c r="CI10" s="151"/>
      <c r="CJ10" s="151"/>
      <c r="CK10" s="151"/>
      <c r="CL10" s="151"/>
    </row>
    <row r="11" spans="1:90" s="168" customFormat="1" ht="25.5" customHeight="1">
      <c r="A11" s="151">
        <v>103</v>
      </c>
      <c r="B11" s="152"/>
      <c r="C11" s="152"/>
      <c r="D11" s="6"/>
      <c r="E11" s="6"/>
      <c r="F11" s="6"/>
      <c r="G11" s="151"/>
      <c r="H11" s="153"/>
      <c r="I11" s="169" t="s">
        <v>2452</v>
      </c>
      <c r="J11" s="169" t="s">
        <v>402</v>
      </c>
      <c r="K11" s="169" t="s">
        <v>562</v>
      </c>
      <c r="L11" s="151"/>
      <c r="M11" s="151">
        <v>2271</v>
      </c>
      <c r="N11" s="398" t="s">
        <v>13460</v>
      </c>
      <c r="O11" s="398" t="s">
        <v>13459</v>
      </c>
      <c r="P11" s="170" t="s">
        <v>11882</v>
      </c>
      <c r="Q11" s="174" t="s">
        <v>11883</v>
      </c>
      <c r="R11" s="151" t="s">
        <v>11331</v>
      </c>
      <c r="S11" s="151" t="s">
        <v>13542</v>
      </c>
      <c r="T11" s="151" t="s">
        <v>11884</v>
      </c>
      <c r="U11" s="151" t="s">
        <v>172</v>
      </c>
      <c r="V11" s="157" t="s">
        <v>94</v>
      </c>
      <c r="W11" s="171">
        <v>43664</v>
      </c>
      <c r="X11" s="159"/>
      <c r="Y11" s="172" t="s">
        <v>11682</v>
      </c>
      <c r="Z11" s="169" t="s">
        <v>11885</v>
      </c>
      <c r="AA11" s="159" t="s">
        <v>96</v>
      </c>
      <c r="AB11" s="151" t="s">
        <v>97</v>
      </c>
      <c r="AC11" s="162" t="s">
        <v>11886</v>
      </c>
      <c r="AD11" s="151">
        <v>17</v>
      </c>
      <c r="AE11" s="151" t="s">
        <v>99</v>
      </c>
      <c r="AF11" s="151" t="s">
        <v>319</v>
      </c>
      <c r="AG11" s="151" t="s">
        <v>140</v>
      </c>
      <c r="AH11" s="163" t="s">
        <v>141</v>
      </c>
      <c r="AI11" s="151">
        <v>65152</v>
      </c>
      <c r="AJ11" s="151" t="s">
        <v>94</v>
      </c>
      <c r="AK11" s="163"/>
      <c r="AL11" s="163"/>
      <c r="AM11" s="163"/>
      <c r="AN11" s="151" t="s">
        <v>12226</v>
      </c>
      <c r="AO11" s="163">
        <v>2</v>
      </c>
      <c r="AP11" s="163">
        <v>1</v>
      </c>
      <c r="AQ11" s="163"/>
      <c r="AR11" s="163"/>
      <c r="AS11" s="280">
        <v>17</v>
      </c>
      <c r="AT11" s="280">
        <v>117</v>
      </c>
      <c r="AU11" s="163"/>
      <c r="AV11" s="163" t="s">
        <v>112</v>
      </c>
      <c r="AW11" s="163" t="s">
        <v>12290</v>
      </c>
      <c r="AX11" s="163" t="s">
        <v>1844</v>
      </c>
      <c r="AY11" s="164" t="s">
        <v>12347</v>
      </c>
      <c r="AZ11" s="151" t="s">
        <v>12432</v>
      </c>
      <c r="BA11" s="163" t="s">
        <v>222</v>
      </c>
      <c r="BB11" s="165">
        <v>31773</v>
      </c>
      <c r="BC11" s="163" t="s">
        <v>96</v>
      </c>
      <c r="BD11" s="163" t="s">
        <v>12502</v>
      </c>
      <c r="BE11" s="163" t="s">
        <v>216</v>
      </c>
      <c r="BF11" s="151" t="s">
        <v>195</v>
      </c>
      <c r="BG11" s="163" t="s">
        <v>8747</v>
      </c>
      <c r="BH11" s="163" t="s">
        <v>12665</v>
      </c>
      <c r="BI11" s="6" t="s">
        <v>12502</v>
      </c>
      <c r="BJ11" s="166" t="s">
        <v>2060</v>
      </c>
      <c r="BK11" s="151" t="s">
        <v>12770</v>
      </c>
      <c r="BL11" s="167" t="s">
        <v>12879</v>
      </c>
      <c r="BM11" s="151" t="s">
        <v>12964</v>
      </c>
      <c r="BN11" s="151" t="s">
        <v>94</v>
      </c>
      <c r="BO11" s="165">
        <v>33958</v>
      </c>
      <c r="BP11" s="163" t="s">
        <v>96</v>
      </c>
      <c r="BQ11" s="163" t="s">
        <v>13013</v>
      </c>
      <c r="BR11" s="163" t="s">
        <v>216</v>
      </c>
      <c r="BS11" s="151" t="s">
        <v>195</v>
      </c>
      <c r="BT11" s="163" t="s">
        <v>8747</v>
      </c>
      <c r="BU11" s="163" t="s">
        <v>13094</v>
      </c>
      <c r="BV11" s="163" t="s">
        <v>12502</v>
      </c>
      <c r="BW11" s="163" t="s">
        <v>127</v>
      </c>
      <c r="BX11" s="151" t="s">
        <v>12770</v>
      </c>
      <c r="BY11" s="151"/>
      <c r="BZ11" s="163" t="s">
        <v>108</v>
      </c>
      <c r="CA11" s="282"/>
      <c r="CB11" s="163"/>
      <c r="CC11" s="163"/>
      <c r="CD11" s="163"/>
      <c r="CE11" s="163"/>
      <c r="CF11" s="151"/>
      <c r="CG11" s="163"/>
      <c r="CH11" s="151"/>
      <c r="CI11" s="151"/>
      <c r="CJ11" s="151"/>
      <c r="CK11" s="151"/>
      <c r="CL11" s="151"/>
    </row>
    <row r="12" spans="1:90" s="168" customFormat="1" ht="25.5" customHeight="1">
      <c r="A12" s="151">
        <v>45</v>
      </c>
      <c r="B12" s="152"/>
      <c r="C12" s="152"/>
      <c r="D12" s="6"/>
      <c r="E12" s="6"/>
      <c r="F12" s="6"/>
      <c r="G12" s="151"/>
      <c r="H12" s="153"/>
      <c r="I12" s="154" t="s">
        <v>2452</v>
      </c>
      <c r="J12" s="154" t="s">
        <v>1218</v>
      </c>
      <c r="K12" s="154" t="s">
        <v>11916</v>
      </c>
      <c r="L12" s="151"/>
      <c r="M12" s="151">
        <v>2278</v>
      </c>
      <c r="N12" s="398" t="s">
        <v>13470</v>
      </c>
      <c r="O12" s="398" t="s">
        <v>13468</v>
      </c>
      <c r="P12" s="156" t="s">
        <v>11917</v>
      </c>
      <c r="Q12" s="174" t="s">
        <v>11918</v>
      </c>
      <c r="R12" s="151" t="s">
        <v>11331</v>
      </c>
      <c r="S12" s="151" t="s">
        <v>13542</v>
      </c>
      <c r="T12" s="151" t="s">
        <v>11156</v>
      </c>
      <c r="U12" s="151" t="s">
        <v>93</v>
      </c>
      <c r="V12" s="157" t="s">
        <v>94</v>
      </c>
      <c r="W12" s="158">
        <v>43763</v>
      </c>
      <c r="X12" s="159"/>
      <c r="Y12" s="160" t="s">
        <v>95</v>
      </c>
      <c r="Z12" s="154" t="s">
        <v>127</v>
      </c>
      <c r="AA12" s="159" t="s">
        <v>96</v>
      </c>
      <c r="AB12" s="151" t="s">
        <v>97</v>
      </c>
      <c r="AC12" s="162" t="s">
        <v>11915</v>
      </c>
      <c r="AD12" s="151" t="s">
        <v>175</v>
      </c>
      <c r="AE12" s="151" t="s">
        <v>966</v>
      </c>
      <c r="AF12" s="151" t="s">
        <v>240</v>
      </c>
      <c r="AG12" s="151" t="s">
        <v>241</v>
      </c>
      <c r="AH12" s="163" t="s">
        <v>241</v>
      </c>
      <c r="AI12" s="151">
        <v>65126</v>
      </c>
      <c r="AJ12" s="151" t="s">
        <v>103</v>
      </c>
      <c r="AK12" s="163"/>
      <c r="AL12" s="163"/>
      <c r="AM12" s="163" t="s">
        <v>127</v>
      </c>
      <c r="AN12" s="151" t="s">
        <v>12230</v>
      </c>
      <c r="AO12" s="163">
        <v>2</v>
      </c>
      <c r="AP12" s="163">
        <v>2</v>
      </c>
      <c r="AQ12" s="163"/>
      <c r="AR12" s="163"/>
      <c r="AS12" s="279">
        <v>18</v>
      </c>
      <c r="AT12" s="279" t="s">
        <v>2937</v>
      </c>
      <c r="AU12" s="163"/>
      <c r="AV12" s="163" t="s">
        <v>112</v>
      </c>
      <c r="AW12" s="163" t="s">
        <v>12293</v>
      </c>
      <c r="AX12" s="163" t="s">
        <v>114</v>
      </c>
      <c r="AY12" s="164" t="s">
        <v>12353</v>
      </c>
      <c r="AZ12" s="151" t="s">
        <v>12437</v>
      </c>
      <c r="BA12" s="163" t="s">
        <v>94</v>
      </c>
      <c r="BB12" s="165">
        <v>31207</v>
      </c>
      <c r="BC12" s="163" t="s">
        <v>96</v>
      </c>
      <c r="BD12" s="163" t="s">
        <v>12506</v>
      </c>
      <c r="BE12" s="163" t="s">
        <v>118</v>
      </c>
      <c r="BF12" s="151" t="s">
        <v>1571</v>
      </c>
      <c r="BG12" s="163" t="s">
        <v>12579</v>
      </c>
      <c r="BH12" s="163" t="s">
        <v>12670</v>
      </c>
      <c r="BI12" s="6" t="s">
        <v>127</v>
      </c>
      <c r="BJ12" s="166" t="s">
        <v>12776</v>
      </c>
      <c r="BK12" s="151" t="s">
        <v>12777</v>
      </c>
      <c r="BL12" s="167" t="s">
        <v>12885</v>
      </c>
      <c r="BM12" s="151" t="s">
        <v>12969</v>
      </c>
      <c r="BN12" s="151" t="s">
        <v>94</v>
      </c>
      <c r="BO12" s="165">
        <v>31647</v>
      </c>
      <c r="BP12" s="163" t="s">
        <v>96</v>
      </c>
      <c r="BQ12" s="163" t="s">
        <v>12230</v>
      </c>
      <c r="BR12" s="163" t="s">
        <v>118</v>
      </c>
      <c r="BS12" s="151" t="s">
        <v>13028</v>
      </c>
      <c r="BT12" s="163" t="s">
        <v>13052</v>
      </c>
      <c r="BU12" s="163" t="s">
        <v>13099</v>
      </c>
      <c r="BV12" s="163" t="s">
        <v>928</v>
      </c>
      <c r="BW12" s="163" t="s">
        <v>13177</v>
      </c>
      <c r="BX12" s="151" t="s">
        <v>13178</v>
      </c>
      <c r="BY12" s="151"/>
      <c r="BZ12" s="163" t="s">
        <v>108</v>
      </c>
      <c r="CA12" s="281"/>
      <c r="CB12" s="163"/>
      <c r="CC12" s="163"/>
      <c r="CD12" s="163"/>
      <c r="CE12" s="163"/>
      <c r="CF12" s="151"/>
      <c r="CG12" s="163"/>
      <c r="CH12" s="151"/>
      <c r="CI12" s="151"/>
      <c r="CJ12" s="151"/>
      <c r="CK12" s="151"/>
      <c r="CL12" s="151"/>
    </row>
    <row r="13" spans="1:90" s="168" customFormat="1" ht="25.5" customHeight="1">
      <c r="A13" s="151">
        <v>47</v>
      </c>
      <c r="B13" s="152"/>
      <c r="C13" s="152"/>
      <c r="D13" s="6"/>
      <c r="E13" s="6"/>
      <c r="F13" s="6"/>
      <c r="G13" s="151"/>
      <c r="H13" s="153"/>
      <c r="I13" s="169" t="s">
        <v>2452</v>
      </c>
      <c r="J13" s="169" t="s">
        <v>10506</v>
      </c>
      <c r="K13" s="169" t="s">
        <v>11919</v>
      </c>
      <c r="L13" s="151"/>
      <c r="M13" s="151">
        <v>2279</v>
      </c>
      <c r="N13" s="398" t="s">
        <v>13473</v>
      </c>
      <c r="O13" s="398" t="s">
        <v>13471</v>
      </c>
      <c r="P13" s="405" t="s">
        <v>13472</v>
      </c>
      <c r="Q13" s="174" t="s">
        <v>3906</v>
      </c>
      <c r="R13" s="151" t="s">
        <v>11331</v>
      </c>
      <c r="S13" s="151" t="s">
        <v>13542</v>
      </c>
      <c r="T13" s="151" t="s">
        <v>3906</v>
      </c>
      <c r="U13" s="151" t="s">
        <v>172</v>
      </c>
      <c r="V13" s="157" t="s">
        <v>94</v>
      </c>
      <c r="W13" s="171">
        <v>43797</v>
      </c>
      <c r="X13" s="159"/>
      <c r="Y13" s="172" t="s">
        <v>95</v>
      </c>
      <c r="Z13" s="173"/>
      <c r="AA13" s="159" t="s">
        <v>96</v>
      </c>
      <c r="AB13" s="151" t="s">
        <v>97</v>
      </c>
      <c r="AC13" s="162" t="s">
        <v>11920</v>
      </c>
      <c r="AD13" s="151">
        <v>19</v>
      </c>
      <c r="AE13" s="151" t="s">
        <v>318</v>
      </c>
      <c r="AF13" s="151" t="s">
        <v>4569</v>
      </c>
      <c r="AG13" s="151" t="s">
        <v>140</v>
      </c>
      <c r="AH13" s="163" t="s">
        <v>141</v>
      </c>
      <c r="AI13" s="151">
        <v>65152</v>
      </c>
      <c r="AJ13" s="151" t="s">
        <v>94</v>
      </c>
      <c r="AK13" s="163"/>
      <c r="AL13" s="163"/>
      <c r="AM13" s="163" t="s">
        <v>163</v>
      </c>
      <c r="AN13" s="151" t="s">
        <v>12231</v>
      </c>
      <c r="AO13" s="163">
        <v>1</v>
      </c>
      <c r="AP13" s="163" t="s">
        <v>163</v>
      </c>
      <c r="AQ13" s="163"/>
      <c r="AR13" s="163"/>
      <c r="AS13" s="280" t="s">
        <v>8027</v>
      </c>
      <c r="AT13" s="280" t="s">
        <v>9232</v>
      </c>
      <c r="AU13" s="163"/>
      <c r="AV13" s="163" t="s">
        <v>112</v>
      </c>
      <c r="AW13" s="163" t="s">
        <v>163</v>
      </c>
      <c r="AX13" s="163" t="s">
        <v>183</v>
      </c>
      <c r="AY13" s="164" t="s">
        <v>12354</v>
      </c>
      <c r="AZ13" s="151" t="s">
        <v>12438</v>
      </c>
      <c r="BA13" s="163" t="s">
        <v>94</v>
      </c>
      <c r="BB13" s="165">
        <v>34937</v>
      </c>
      <c r="BC13" s="163" t="s">
        <v>96</v>
      </c>
      <c r="BD13" s="163" t="s">
        <v>12507</v>
      </c>
      <c r="BE13" s="163" t="s">
        <v>216</v>
      </c>
      <c r="BF13" s="151" t="s">
        <v>4271</v>
      </c>
      <c r="BG13" s="163" t="s">
        <v>12580</v>
      </c>
      <c r="BH13" s="163" t="s">
        <v>12671</v>
      </c>
      <c r="BI13" s="6" t="s">
        <v>163</v>
      </c>
      <c r="BJ13" s="166" t="s">
        <v>12778</v>
      </c>
      <c r="BK13" s="151" t="s">
        <v>12779</v>
      </c>
      <c r="BL13" s="167" t="s">
        <v>12886</v>
      </c>
      <c r="BM13" s="151" t="s">
        <v>12970</v>
      </c>
      <c r="BN13" s="151" t="s">
        <v>94</v>
      </c>
      <c r="BO13" s="165">
        <v>35602</v>
      </c>
      <c r="BP13" s="163" t="s">
        <v>96</v>
      </c>
      <c r="BQ13" s="163" t="s">
        <v>12231</v>
      </c>
      <c r="BR13" s="163" t="s">
        <v>216</v>
      </c>
      <c r="BS13" s="151" t="s">
        <v>126</v>
      </c>
      <c r="BT13" s="163" t="s">
        <v>162</v>
      </c>
      <c r="BU13" s="163" t="s">
        <v>162</v>
      </c>
      <c r="BV13" s="163" t="s">
        <v>163</v>
      </c>
      <c r="BW13" s="163" t="s">
        <v>163</v>
      </c>
      <c r="BX13" s="151" t="s">
        <v>13179</v>
      </c>
      <c r="BY13" s="151"/>
      <c r="BZ13" s="163" t="s">
        <v>108</v>
      </c>
      <c r="CA13" s="282"/>
      <c r="CB13" s="163"/>
      <c r="CC13" s="163"/>
      <c r="CD13" s="163"/>
      <c r="CE13" s="163"/>
      <c r="CF13" s="151"/>
      <c r="CG13" s="163"/>
      <c r="CH13" s="151"/>
      <c r="CI13" s="151"/>
      <c r="CJ13" s="151"/>
      <c r="CK13" s="151"/>
      <c r="CL13" s="151"/>
    </row>
    <row r="14" spans="1:90" s="168" customFormat="1" ht="25.5" customHeight="1">
      <c r="A14" s="151">
        <v>60</v>
      </c>
      <c r="B14" s="152"/>
      <c r="C14" s="152"/>
      <c r="D14" s="6"/>
      <c r="E14" s="6"/>
      <c r="F14" s="6"/>
      <c r="G14" s="151"/>
      <c r="H14" s="153"/>
      <c r="I14" s="154" t="s">
        <v>2452</v>
      </c>
      <c r="J14" s="154" t="s">
        <v>11932</v>
      </c>
      <c r="K14" s="154" t="s">
        <v>11933</v>
      </c>
      <c r="L14" s="151"/>
      <c r="M14" s="151">
        <v>2282</v>
      </c>
      <c r="N14" s="398" t="s">
        <v>13479</v>
      </c>
      <c r="O14" s="398" t="s">
        <v>13478</v>
      </c>
      <c r="P14" s="156" t="s">
        <v>11934</v>
      </c>
      <c r="Q14" s="174" t="s">
        <v>13477</v>
      </c>
      <c r="R14" s="151" t="s">
        <v>11331</v>
      </c>
      <c r="S14" s="151" t="s">
        <v>13542</v>
      </c>
      <c r="T14" s="151" t="s">
        <v>11935</v>
      </c>
      <c r="U14" s="151" t="s">
        <v>172</v>
      </c>
      <c r="V14" s="157" t="s">
        <v>94</v>
      </c>
      <c r="W14" s="158">
        <v>43780</v>
      </c>
      <c r="X14" s="159"/>
      <c r="Y14" s="160" t="s">
        <v>95</v>
      </c>
      <c r="Z14" s="161"/>
      <c r="AA14" s="159" t="s">
        <v>96</v>
      </c>
      <c r="AB14" s="151" t="s">
        <v>97</v>
      </c>
      <c r="AC14" s="162" t="s">
        <v>11936</v>
      </c>
      <c r="AD14" s="151" t="s">
        <v>265</v>
      </c>
      <c r="AE14" s="151" t="s">
        <v>239</v>
      </c>
      <c r="AF14" s="151" t="s">
        <v>921</v>
      </c>
      <c r="AG14" s="151" t="s">
        <v>687</v>
      </c>
      <c r="AH14" s="163" t="s">
        <v>141</v>
      </c>
      <c r="AI14" s="151">
        <v>65151</v>
      </c>
      <c r="AJ14" s="151" t="s">
        <v>1374</v>
      </c>
      <c r="AK14" s="163"/>
      <c r="AL14" s="163"/>
      <c r="AM14" s="163" t="s">
        <v>12181</v>
      </c>
      <c r="AN14" s="151" t="s">
        <v>12181</v>
      </c>
      <c r="AO14" s="163">
        <v>1</v>
      </c>
      <c r="AP14" s="163">
        <v>1</v>
      </c>
      <c r="AQ14" s="163"/>
      <c r="AR14" s="163"/>
      <c r="AS14" s="279">
        <v>21</v>
      </c>
      <c r="AT14" s="279">
        <v>114</v>
      </c>
      <c r="AU14" s="163"/>
      <c r="AV14" s="163" t="s">
        <v>112</v>
      </c>
      <c r="AW14" s="163" t="s">
        <v>150</v>
      </c>
      <c r="AX14" s="163" t="s">
        <v>114</v>
      </c>
      <c r="AY14" s="164" t="s">
        <v>12357</v>
      </c>
      <c r="AZ14" s="151" t="s">
        <v>12441</v>
      </c>
      <c r="BA14" s="163" t="s">
        <v>12473</v>
      </c>
      <c r="BB14" s="165">
        <v>33917</v>
      </c>
      <c r="BC14" s="163" t="s">
        <v>96</v>
      </c>
      <c r="BD14" s="163" t="s">
        <v>12510</v>
      </c>
      <c r="BE14" s="163" t="s">
        <v>118</v>
      </c>
      <c r="BF14" s="151" t="s">
        <v>247</v>
      </c>
      <c r="BG14" s="163" t="s">
        <v>12582</v>
      </c>
      <c r="BH14" s="163" t="s">
        <v>12674</v>
      </c>
      <c r="BI14" s="6" t="s">
        <v>12675</v>
      </c>
      <c r="BJ14" s="166" t="s">
        <v>250</v>
      </c>
      <c r="BK14" s="151" t="s">
        <v>12783</v>
      </c>
      <c r="BL14" s="167" t="s">
        <v>12889</v>
      </c>
      <c r="BM14" s="151" t="s">
        <v>12972</v>
      </c>
      <c r="BN14" s="151" t="s">
        <v>94</v>
      </c>
      <c r="BO14" s="165">
        <v>34641</v>
      </c>
      <c r="BP14" s="163" t="s">
        <v>96</v>
      </c>
      <c r="BQ14" s="480" t="s">
        <v>13589</v>
      </c>
      <c r="BR14" s="163" t="s">
        <v>118</v>
      </c>
      <c r="BS14" s="151" t="s">
        <v>13029</v>
      </c>
      <c r="BT14" s="163" t="s">
        <v>13053</v>
      </c>
      <c r="BU14" s="163" t="s">
        <v>13101</v>
      </c>
      <c r="BV14" s="163" t="s">
        <v>13102</v>
      </c>
      <c r="BW14" s="163" t="s">
        <v>13182</v>
      </c>
      <c r="BX14" s="151" t="s">
        <v>13183</v>
      </c>
      <c r="BY14" s="151"/>
      <c r="BZ14" s="163" t="s">
        <v>108</v>
      </c>
      <c r="CA14" s="281"/>
      <c r="CB14" s="163"/>
      <c r="CC14" s="163"/>
      <c r="CD14" s="163"/>
      <c r="CE14" s="163"/>
      <c r="CF14" s="151"/>
      <c r="CG14" s="163"/>
      <c r="CH14" s="151"/>
      <c r="CI14" s="151"/>
      <c r="CJ14" s="151"/>
      <c r="CK14" s="151"/>
      <c r="CL14" s="151"/>
    </row>
    <row r="15" spans="1:90" s="383" customFormat="1" ht="25.5" customHeight="1">
      <c r="A15" s="364">
        <v>97</v>
      </c>
      <c r="B15" s="365"/>
      <c r="C15" s="365"/>
      <c r="D15" s="366"/>
      <c r="E15" s="366"/>
      <c r="F15" s="366"/>
      <c r="G15" s="364"/>
      <c r="H15" s="367"/>
      <c r="I15" s="368" t="s">
        <v>2452</v>
      </c>
      <c r="J15" s="368" t="s">
        <v>1218</v>
      </c>
      <c r="K15" s="368" t="s">
        <v>11952</v>
      </c>
      <c r="L15" s="364"/>
      <c r="M15" s="364">
        <v>2286</v>
      </c>
      <c r="N15" s="406" t="s">
        <v>13486</v>
      </c>
      <c r="O15" s="406" t="s">
        <v>352</v>
      </c>
      <c r="P15" s="369" t="s">
        <v>11953</v>
      </c>
      <c r="Q15" s="384" t="s">
        <v>11954</v>
      </c>
      <c r="R15" s="364" t="s">
        <v>11331</v>
      </c>
      <c r="S15" s="364" t="s">
        <v>13542</v>
      </c>
      <c r="T15" s="364" t="s">
        <v>11955</v>
      </c>
      <c r="U15" s="364" t="s">
        <v>172</v>
      </c>
      <c r="V15" s="370" t="s">
        <v>94</v>
      </c>
      <c r="W15" s="371">
        <v>43889</v>
      </c>
      <c r="X15" s="372"/>
      <c r="Y15" s="373" t="s">
        <v>11682</v>
      </c>
      <c r="Z15" s="368" t="s">
        <v>127</v>
      </c>
      <c r="AA15" s="372" t="s">
        <v>96</v>
      </c>
      <c r="AB15" s="364" t="s">
        <v>97</v>
      </c>
      <c r="AC15" s="375" t="s">
        <v>11956</v>
      </c>
      <c r="AD15" s="364" t="s">
        <v>358</v>
      </c>
      <c r="AE15" s="364" t="s">
        <v>358</v>
      </c>
      <c r="AF15" s="364" t="s">
        <v>359</v>
      </c>
      <c r="AG15" s="364" t="s">
        <v>241</v>
      </c>
      <c r="AH15" s="376" t="s">
        <v>241</v>
      </c>
      <c r="AI15" s="364">
        <v>65123</v>
      </c>
      <c r="AJ15" s="364" t="s">
        <v>94</v>
      </c>
      <c r="AK15" s="376"/>
      <c r="AL15" s="376"/>
      <c r="AM15" s="376" t="s">
        <v>127</v>
      </c>
      <c r="AN15" s="364" t="s">
        <v>12235</v>
      </c>
      <c r="AO15" s="376">
        <v>3</v>
      </c>
      <c r="AP15" s="376">
        <v>3</v>
      </c>
      <c r="AQ15" s="376"/>
      <c r="AR15" s="376"/>
      <c r="AS15" s="377">
        <v>20.399999999999999</v>
      </c>
      <c r="AT15" s="377">
        <v>118</v>
      </c>
      <c r="AU15" s="376"/>
      <c r="AV15" s="376" t="s">
        <v>112</v>
      </c>
      <c r="AW15" s="376" t="s">
        <v>127</v>
      </c>
      <c r="AX15" s="376" t="s">
        <v>12265</v>
      </c>
      <c r="AY15" s="378" t="s">
        <v>12361</v>
      </c>
      <c r="AZ15" s="364" t="s">
        <v>365</v>
      </c>
      <c r="BA15" s="376" t="s">
        <v>94</v>
      </c>
      <c r="BB15" s="379">
        <v>30739</v>
      </c>
      <c r="BC15" s="376" t="s">
        <v>96</v>
      </c>
      <c r="BD15" s="376" t="s">
        <v>362</v>
      </c>
      <c r="BE15" s="376" t="s">
        <v>118</v>
      </c>
      <c r="BF15" s="364" t="s">
        <v>12535</v>
      </c>
      <c r="BG15" s="376" t="s">
        <v>12585</v>
      </c>
      <c r="BH15" s="376" t="s">
        <v>368</v>
      </c>
      <c r="BI15" s="366" t="s">
        <v>127</v>
      </c>
      <c r="BJ15" s="380" t="s">
        <v>198</v>
      </c>
      <c r="BK15" s="364" t="s">
        <v>9551</v>
      </c>
      <c r="BL15" s="381" t="s">
        <v>12893</v>
      </c>
      <c r="BM15" s="364" t="s">
        <v>371</v>
      </c>
      <c r="BN15" s="364" t="s">
        <v>356</v>
      </c>
      <c r="BO15" s="379">
        <v>31543</v>
      </c>
      <c r="BP15" s="376" t="s">
        <v>96</v>
      </c>
      <c r="BQ15" s="376" t="s">
        <v>12235</v>
      </c>
      <c r="BR15" s="376" t="s">
        <v>118</v>
      </c>
      <c r="BS15" s="364" t="s">
        <v>13030</v>
      </c>
      <c r="BT15" s="376" t="s">
        <v>1218</v>
      </c>
      <c r="BU15" s="376" t="s">
        <v>13107</v>
      </c>
      <c r="BV15" s="376" t="s">
        <v>13108</v>
      </c>
      <c r="BW15" s="376" t="s">
        <v>13188</v>
      </c>
      <c r="BX15" s="364" t="s">
        <v>127</v>
      </c>
      <c r="BY15" s="364"/>
      <c r="BZ15" s="376" t="s">
        <v>108</v>
      </c>
      <c r="CA15" s="382"/>
      <c r="CB15" s="376"/>
      <c r="CC15" s="376"/>
      <c r="CD15" s="376"/>
      <c r="CE15" s="376"/>
      <c r="CF15" s="364"/>
      <c r="CG15" s="376"/>
      <c r="CH15" s="364"/>
      <c r="CI15" s="364"/>
      <c r="CJ15" s="364"/>
      <c r="CK15" s="364"/>
      <c r="CL15" s="364"/>
    </row>
    <row r="16" spans="1:90" s="168" customFormat="1" ht="25.5" customHeight="1">
      <c r="A16" s="151">
        <v>27</v>
      </c>
      <c r="B16" s="152"/>
      <c r="C16" s="152"/>
      <c r="D16" s="6"/>
      <c r="E16" s="6"/>
      <c r="F16" s="6"/>
      <c r="G16" s="151"/>
      <c r="H16" s="153"/>
      <c r="I16" s="169" t="s">
        <v>2452</v>
      </c>
      <c r="J16" s="169" t="s">
        <v>166</v>
      </c>
      <c r="K16" s="169" t="s">
        <v>11969</v>
      </c>
      <c r="L16" s="151"/>
      <c r="M16" s="151">
        <v>2289</v>
      </c>
      <c r="N16" s="398" t="s">
        <v>13490</v>
      </c>
      <c r="O16" s="398" t="s">
        <v>13491</v>
      </c>
      <c r="P16" s="170" t="s">
        <v>11970</v>
      </c>
      <c r="Q16" s="174" t="s">
        <v>11971</v>
      </c>
      <c r="R16" s="151" t="s">
        <v>11331</v>
      </c>
      <c r="S16" s="151" t="s">
        <v>13542</v>
      </c>
      <c r="T16" s="151" t="s">
        <v>11972</v>
      </c>
      <c r="U16" s="151" t="s">
        <v>172</v>
      </c>
      <c r="V16" s="157" t="s">
        <v>94</v>
      </c>
      <c r="W16" s="171">
        <v>43871</v>
      </c>
      <c r="X16" s="159"/>
      <c r="Y16" s="172" t="s">
        <v>95</v>
      </c>
      <c r="Z16" s="169" t="s">
        <v>127</v>
      </c>
      <c r="AA16" s="159" t="s">
        <v>96</v>
      </c>
      <c r="AB16" s="151" t="s">
        <v>97</v>
      </c>
      <c r="AC16" s="162" t="s">
        <v>11973</v>
      </c>
      <c r="AD16" s="151" t="s">
        <v>207</v>
      </c>
      <c r="AE16" s="151" t="s">
        <v>293</v>
      </c>
      <c r="AF16" s="151" t="s">
        <v>9059</v>
      </c>
      <c r="AG16" s="151" t="s">
        <v>4719</v>
      </c>
      <c r="AH16" s="163" t="s">
        <v>141</v>
      </c>
      <c r="AI16" s="151">
        <v>65324</v>
      </c>
      <c r="AJ16" s="151" t="s">
        <v>263</v>
      </c>
      <c r="AK16" s="163"/>
      <c r="AL16" s="163"/>
      <c r="AM16" s="163" t="s">
        <v>127</v>
      </c>
      <c r="AN16" s="151" t="s">
        <v>12237</v>
      </c>
      <c r="AO16" s="163">
        <v>2</v>
      </c>
      <c r="AP16" s="163">
        <v>2</v>
      </c>
      <c r="AQ16" s="163"/>
      <c r="AR16" s="163"/>
      <c r="AS16" s="280">
        <v>20</v>
      </c>
      <c r="AT16" s="280">
        <v>110</v>
      </c>
      <c r="AU16" s="163"/>
      <c r="AV16" s="163" t="s">
        <v>112</v>
      </c>
      <c r="AW16" s="163" t="s">
        <v>392</v>
      </c>
      <c r="AX16" s="163" t="s">
        <v>114</v>
      </c>
      <c r="AY16" s="164" t="s">
        <v>12364</v>
      </c>
      <c r="AZ16" s="151" t="s">
        <v>12446</v>
      </c>
      <c r="BA16" s="163" t="s">
        <v>12474</v>
      </c>
      <c r="BB16" s="165">
        <v>31119</v>
      </c>
      <c r="BC16" s="163" t="s">
        <v>96</v>
      </c>
      <c r="BD16" s="163">
        <v>85232620640</v>
      </c>
      <c r="BE16" s="163" t="s">
        <v>216</v>
      </c>
      <c r="BF16" s="151" t="s">
        <v>276</v>
      </c>
      <c r="BG16" s="163" t="s">
        <v>127</v>
      </c>
      <c r="BH16" s="163" t="s">
        <v>127</v>
      </c>
      <c r="BI16" s="6" t="s">
        <v>127</v>
      </c>
      <c r="BJ16" s="166" t="s">
        <v>250</v>
      </c>
      <c r="BK16" s="151" t="s">
        <v>12790</v>
      </c>
      <c r="BL16" s="167" t="s">
        <v>12896</v>
      </c>
      <c r="BM16" s="151" t="s">
        <v>12977</v>
      </c>
      <c r="BN16" s="151" t="s">
        <v>12474</v>
      </c>
      <c r="BO16" s="165">
        <v>33270</v>
      </c>
      <c r="BP16" s="163" t="s">
        <v>96</v>
      </c>
      <c r="BQ16" s="163" t="s">
        <v>12237</v>
      </c>
      <c r="BR16" s="163" t="s">
        <v>216</v>
      </c>
      <c r="BS16" s="151" t="s">
        <v>126</v>
      </c>
      <c r="BT16" s="163" t="s">
        <v>127</v>
      </c>
      <c r="BU16" s="163" t="s">
        <v>127</v>
      </c>
      <c r="BV16" s="163" t="s">
        <v>127</v>
      </c>
      <c r="BW16" s="163" t="s">
        <v>127</v>
      </c>
      <c r="BX16" s="151" t="s">
        <v>13190</v>
      </c>
      <c r="BY16" s="151" t="s">
        <v>127</v>
      </c>
      <c r="BZ16" s="163" t="s">
        <v>127</v>
      </c>
      <c r="CA16" s="282"/>
      <c r="CB16" s="163"/>
      <c r="CC16" s="163"/>
      <c r="CD16" s="163"/>
      <c r="CE16" s="163"/>
      <c r="CF16" s="151"/>
      <c r="CG16" s="163"/>
      <c r="CH16" s="151"/>
      <c r="CI16" s="151"/>
      <c r="CJ16" s="151"/>
      <c r="CK16" s="151"/>
      <c r="CL16" s="151"/>
    </row>
    <row r="17" spans="1:90" s="168" customFormat="1" ht="25.5" customHeight="1">
      <c r="A17" s="151">
        <v>76</v>
      </c>
      <c r="B17" s="152"/>
      <c r="C17" s="152"/>
      <c r="D17" s="6"/>
      <c r="E17" s="6"/>
      <c r="F17" s="6"/>
      <c r="G17" s="151"/>
      <c r="H17" s="153"/>
      <c r="I17" s="169" t="s">
        <v>2452</v>
      </c>
      <c r="J17" s="169" t="s">
        <v>11998</v>
      </c>
      <c r="K17" s="169" t="s">
        <v>11999</v>
      </c>
      <c r="L17" s="151"/>
      <c r="M17" s="151">
        <v>2295</v>
      </c>
      <c r="N17" s="398" t="s">
        <v>13500</v>
      </c>
      <c r="O17" s="398" t="s">
        <v>10676</v>
      </c>
      <c r="P17" s="170" t="s">
        <v>12000</v>
      </c>
      <c r="Q17" s="174" t="s">
        <v>12001</v>
      </c>
      <c r="R17" s="151" t="s">
        <v>11331</v>
      </c>
      <c r="S17" s="151" t="s">
        <v>13542</v>
      </c>
      <c r="T17" s="151" t="s">
        <v>12002</v>
      </c>
      <c r="U17" s="151" t="s">
        <v>172</v>
      </c>
      <c r="V17" s="157" t="s">
        <v>94</v>
      </c>
      <c r="W17" s="171">
        <v>43950</v>
      </c>
      <c r="X17" s="159"/>
      <c r="Y17" s="172" t="s">
        <v>95</v>
      </c>
      <c r="Z17" s="169" t="s">
        <v>127</v>
      </c>
      <c r="AA17" s="159" t="s">
        <v>96</v>
      </c>
      <c r="AB17" s="151" t="s">
        <v>97</v>
      </c>
      <c r="AC17" s="162" t="s">
        <v>12003</v>
      </c>
      <c r="AD17" s="151" t="s">
        <v>175</v>
      </c>
      <c r="AE17" s="151" t="s">
        <v>176</v>
      </c>
      <c r="AF17" s="151" t="s">
        <v>921</v>
      </c>
      <c r="AG17" s="151" t="s">
        <v>687</v>
      </c>
      <c r="AH17" s="163" t="s">
        <v>141</v>
      </c>
      <c r="AI17" s="151">
        <v>65151</v>
      </c>
      <c r="AJ17" s="151" t="s">
        <v>94</v>
      </c>
      <c r="AK17" s="163"/>
      <c r="AL17" s="163"/>
      <c r="AM17" s="163" t="s">
        <v>10682</v>
      </c>
      <c r="AN17" s="151" t="s">
        <v>10689</v>
      </c>
      <c r="AO17" s="163">
        <v>2</v>
      </c>
      <c r="AP17" s="163">
        <v>1</v>
      </c>
      <c r="AQ17" s="163"/>
      <c r="AR17" s="163"/>
      <c r="AS17" s="280">
        <v>16</v>
      </c>
      <c r="AT17" s="280">
        <v>106</v>
      </c>
      <c r="AU17" s="163"/>
      <c r="AV17" s="163" t="s">
        <v>112</v>
      </c>
      <c r="AW17" s="163" t="s">
        <v>3019</v>
      </c>
      <c r="AX17" s="163" t="s">
        <v>183</v>
      </c>
      <c r="AY17" s="164" t="s">
        <v>12370</v>
      </c>
      <c r="AZ17" s="151" t="s">
        <v>10681</v>
      </c>
      <c r="BA17" s="163" t="s">
        <v>94</v>
      </c>
      <c r="BB17" s="165">
        <v>32506</v>
      </c>
      <c r="BC17" s="163" t="s">
        <v>96</v>
      </c>
      <c r="BD17" s="163" t="s">
        <v>10682</v>
      </c>
      <c r="BE17" s="163" t="s">
        <v>153</v>
      </c>
      <c r="BF17" s="151" t="s">
        <v>12537</v>
      </c>
      <c r="BG17" s="163" t="s">
        <v>12591</v>
      </c>
      <c r="BH17" s="163" t="s">
        <v>12685</v>
      </c>
      <c r="BI17" s="6" t="s">
        <v>12686</v>
      </c>
      <c r="BJ17" s="166">
        <v>5000000</v>
      </c>
      <c r="BK17" s="151" t="s">
        <v>10686</v>
      </c>
      <c r="BL17" s="167" t="s">
        <v>12902</v>
      </c>
      <c r="BM17" s="151" t="s">
        <v>10688</v>
      </c>
      <c r="BN17" s="151" t="s">
        <v>94</v>
      </c>
      <c r="BO17" s="165">
        <v>32114</v>
      </c>
      <c r="BP17" s="163" t="s">
        <v>96</v>
      </c>
      <c r="BQ17" s="163" t="s">
        <v>10689</v>
      </c>
      <c r="BR17" s="163" t="s">
        <v>153</v>
      </c>
      <c r="BS17" s="151" t="s">
        <v>13033</v>
      </c>
      <c r="BT17" s="163" t="s">
        <v>13060</v>
      </c>
      <c r="BU17" s="163" t="s">
        <v>13113</v>
      </c>
      <c r="BV17" s="163" t="s">
        <v>13114</v>
      </c>
      <c r="BW17" s="163">
        <v>3000000</v>
      </c>
      <c r="BX17" s="151" t="s">
        <v>10690</v>
      </c>
      <c r="BY17" s="151" t="s">
        <v>13231</v>
      </c>
      <c r="BZ17" s="163" t="s">
        <v>94</v>
      </c>
      <c r="CA17" s="283">
        <v>24991</v>
      </c>
      <c r="CB17" s="163"/>
      <c r="CC17" s="163" t="s">
        <v>13242</v>
      </c>
      <c r="CD17" s="163" t="s">
        <v>4301</v>
      </c>
      <c r="CE17" s="163" t="s">
        <v>7113</v>
      </c>
      <c r="CF17" s="151"/>
      <c r="CG17" s="163"/>
      <c r="CH17" s="151"/>
      <c r="CI17" s="151"/>
      <c r="CJ17" s="151"/>
      <c r="CK17" s="151"/>
      <c r="CL17" s="151"/>
    </row>
    <row r="18" spans="1:90" s="168" customFormat="1" ht="25.5" customHeight="1">
      <c r="A18" s="151">
        <v>53</v>
      </c>
      <c r="B18" s="152"/>
      <c r="C18" s="152"/>
      <c r="D18" s="6"/>
      <c r="E18" s="6"/>
      <c r="F18" s="6"/>
      <c r="G18" s="151"/>
      <c r="H18" s="153"/>
      <c r="I18" s="154" t="s">
        <v>2452</v>
      </c>
      <c r="J18" s="154" t="s">
        <v>10506</v>
      </c>
      <c r="K18" s="154" t="s">
        <v>12004</v>
      </c>
      <c r="L18" s="151"/>
      <c r="M18" s="151">
        <v>2296</v>
      </c>
      <c r="N18" s="398" t="s">
        <v>13501</v>
      </c>
      <c r="O18" s="398" t="s">
        <v>11613</v>
      </c>
      <c r="P18" s="156" t="s">
        <v>12005</v>
      </c>
      <c r="Q18" s="174" t="s">
        <v>12006</v>
      </c>
      <c r="R18" s="151" t="s">
        <v>11331</v>
      </c>
      <c r="S18" s="151" t="s">
        <v>13542</v>
      </c>
      <c r="T18" s="151" t="s">
        <v>12007</v>
      </c>
      <c r="U18" s="151" t="s">
        <v>93</v>
      </c>
      <c r="V18" s="157" t="s">
        <v>94</v>
      </c>
      <c r="W18" s="158">
        <v>43912</v>
      </c>
      <c r="X18" s="159"/>
      <c r="Y18" s="160" t="s">
        <v>95</v>
      </c>
      <c r="Z18" s="161"/>
      <c r="AA18" s="159" t="s">
        <v>96</v>
      </c>
      <c r="AB18" s="151" t="s">
        <v>97</v>
      </c>
      <c r="AC18" s="162" t="s">
        <v>12008</v>
      </c>
      <c r="AD18" s="151">
        <v>18</v>
      </c>
      <c r="AE18" s="151" t="s">
        <v>293</v>
      </c>
      <c r="AF18" s="151" t="s">
        <v>177</v>
      </c>
      <c r="AG18" s="151" t="s">
        <v>178</v>
      </c>
      <c r="AH18" s="151" t="s">
        <v>178</v>
      </c>
      <c r="AI18" s="151">
        <v>65143</v>
      </c>
      <c r="AJ18" s="151" t="s">
        <v>94</v>
      </c>
      <c r="AK18" s="163"/>
      <c r="AL18" s="163"/>
      <c r="AM18" s="163" t="s">
        <v>162</v>
      </c>
      <c r="AN18" s="151" t="s">
        <v>3802</v>
      </c>
      <c r="AO18" s="163">
        <v>2</v>
      </c>
      <c r="AP18" s="163">
        <v>1</v>
      </c>
      <c r="AQ18" s="163"/>
      <c r="AR18" s="163"/>
      <c r="AS18" s="279">
        <v>16</v>
      </c>
      <c r="AT18" s="279">
        <v>110</v>
      </c>
      <c r="AU18" s="163"/>
      <c r="AV18" s="163" t="s">
        <v>112</v>
      </c>
      <c r="AW18" s="163" t="s">
        <v>392</v>
      </c>
      <c r="AX18" s="163" t="s">
        <v>2093</v>
      </c>
      <c r="AY18" s="164" t="s">
        <v>12371</v>
      </c>
      <c r="AZ18" s="151" t="s">
        <v>3804</v>
      </c>
      <c r="BA18" s="163" t="s">
        <v>94</v>
      </c>
      <c r="BB18" s="165">
        <v>32797</v>
      </c>
      <c r="BC18" s="163" t="s">
        <v>96</v>
      </c>
      <c r="BD18" s="163" t="s">
        <v>3805</v>
      </c>
      <c r="BE18" s="163" t="s">
        <v>118</v>
      </c>
      <c r="BF18" s="151" t="s">
        <v>276</v>
      </c>
      <c r="BG18" s="163" t="s">
        <v>3806</v>
      </c>
      <c r="BH18" s="163" t="s">
        <v>3807</v>
      </c>
      <c r="BI18" s="6" t="s">
        <v>162</v>
      </c>
      <c r="BJ18" s="166" t="s">
        <v>1312</v>
      </c>
      <c r="BK18" s="151" t="s">
        <v>3809</v>
      </c>
      <c r="BL18" s="167" t="s">
        <v>12903</v>
      </c>
      <c r="BM18" s="151" t="s">
        <v>3811</v>
      </c>
      <c r="BN18" s="151" t="s">
        <v>603</v>
      </c>
      <c r="BO18" s="165">
        <v>31838</v>
      </c>
      <c r="BP18" s="163" t="s">
        <v>96</v>
      </c>
      <c r="BQ18" s="163" t="s">
        <v>3802</v>
      </c>
      <c r="BR18" s="163" t="s">
        <v>118</v>
      </c>
      <c r="BS18" s="151" t="s">
        <v>1525</v>
      </c>
      <c r="BT18" s="163" t="s">
        <v>761</v>
      </c>
      <c r="BU18" s="163" t="s">
        <v>13115</v>
      </c>
      <c r="BV18" s="163" t="s">
        <v>162</v>
      </c>
      <c r="BW18" s="163" t="s">
        <v>1312</v>
      </c>
      <c r="BX18" s="151" t="s">
        <v>3814</v>
      </c>
      <c r="BY18" s="151" t="s">
        <v>162</v>
      </c>
      <c r="BZ18" s="163" t="s">
        <v>162</v>
      </c>
      <c r="CA18" s="281"/>
      <c r="CB18" s="163"/>
      <c r="CC18" s="163"/>
      <c r="CD18" s="163"/>
      <c r="CE18" s="163"/>
      <c r="CF18" s="151"/>
      <c r="CG18" s="163"/>
      <c r="CH18" s="151"/>
      <c r="CI18" s="151"/>
      <c r="CJ18" s="151"/>
      <c r="CK18" s="151"/>
      <c r="CL18" s="151"/>
    </row>
    <row r="19" spans="1:90" s="168" customFormat="1" ht="25.5" customHeight="1">
      <c r="A19" s="151">
        <v>82</v>
      </c>
      <c r="B19" s="152"/>
      <c r="C19" s="152"/>
      <c r="D19" s="6"/>
      <c r="E19" s="6"/>
      <c r="F19" s="6"/>
      <c r="G19" s="151"/>
      <c r="H19" s="153"/>
      <c r="I19" s="154" t="s">
        <v>2452</v>
      </c>
      <c r="J19" s="154" t="s">
        <v>6684</v>
      </c>
      <c r="K19" s="154" t="s">
        <v>12012</v>
      </c>
      <c r="L19" s="151"/>
      <c r="M19" s="151">
        <v>2298</v>
      </c>
      <c r="N19" s="398" t="s">
        <v>13505</v>
      </c>
      <c r="O19" s="398" t="s">
        <v>13504</v>
      </c>
      <c r="P19" s="156" t="s">
        <v>12013</v>
      </c>
      <c r="Q19" s="174" t="s">
        <v>12014</v>
      </c>
      <c r="R19" s="151" t="s">
        <v>11331</v>
      </c>
      <c r="S19" s="151" t="s">
        <v>13542</v>
      </c>
      <c r="T19" s="151" t="s">
        <v>488</v>
      </c>
      <c r="U19" s="151" t="s">
        <v>172</v>
      </c>
      <c r="V19" s="157" t="s">
        <v>94</v>
      </c>
      <c r="W19" s="158">
        <v>43665</v>
      </c>
      <c r="X19" s="159"/>
      <c r="Y19" s="160" t="s">
        <v>95</v>
      </c>
      <c r="Z19" s="161"/>
      <c r="AA19" s="159" t="s">
        <v>96</v>
      </c>
      <c r="AB19" s="151" t="s">
        <v>97</v>
      </c>
      <c r="AC19" s="162" t="s">
        <v>12015</v>
      </c>
      <c r="AD19" s="151">
        <v>43</v>
      </c>
      <c r="AE19" s="151" t="s">
        <v>1326</v>
      </c>
      <c r="AF19" s="151" t="s">
        <v>139</v>
      </c>
      <c r="AG19" s="151" t="s">
        <v>140</v>
      </c>
      <c r="AH19" s="163" t="s">
        <v>141</v>
      </c>
      <c r="AI19" s="151">
        <v>65152</v>
      </c>
      <c r="AJ19" s="151" t="s">
        <v>94</v>
      </c>
      <c r="AK19" s="163"/>
      <c r="AL19" s="163"/>
      <c r="AM19" s="163" t="s">
        <v>1326</v>
      </c>
      <c r="AN19" s="151" t="s">
        <v>12241</v>
      </c>
      <c r="AO19" s="163">
        <v>2</v>
      </c>
      <c r="AP19" s="163">
        <v>3</v>
      </c>
      <c r="AQ19" s="163"/>
      <c r="AR19" s="163"/>
      <c r="AS19" s="279">
        <v>19.5</v>
      </c>
      <c r="AT19" s="279">
        <v>114</v>
      </c>
      <c r="AU19" s="163"/>
      <c r="AV19" s="163" t="s">
        <v>112</v>
      </c>
      <c r="AW19" s="163" t="s">
        <v>3019</v>
      </c>
      <c r="AX19" s="163" t="s">
        <v>644</v>
      </c>
      <c r="AY19" s="164" t="s">
        <v>12373</v>
      </c>
      <c r="AZ19" s="151" t="s">
        <v>12451</v>
      </c>
      <c r="BA19" s="163" t="s">
        <v>469</v>
      </c>
      <c r="BB19" s="165">
        <v>33507</v>
      </c>
      <c r="BC19" s="163" t="s">
        <v>96</v>
      </c>
      <c r="BD19" s="163" t="s">
        <v>12515</v>
      </c>
      <c r="BE19" s="163" t="s">
        <v>118</v>
      </c>
      <c r="BF19" s="151" t="s">
        <v>188</v>
      </c>
      <c r="BG19" s="163" t="s">
        <v>12593</v>
      </c>
      <c r="BH19" s="163" t="s">
        <v>12688</v>
      </c>
      <c r="BI19" s="6"/>
      <c r="BJ19" s="166" t="s">
        <v>250</v>
      </c>
      <c r="BK19" s="151" t="s">
        <v>12799</v>
      </c>
      <c r="BL19" s="167" t="s">
        <v>12905</v>
      </c>
      <c r="BM19" s="151" t="s">
        <v>12982</v>
      </c>
      <c r="BN19" s="151" t="s">
        <v>519</v>
      </c>
      <c r="BO19" s="165">
        <v>33077</v>
      </c>
      <c r="BP19" s="163" t="s">
        <v>96</v>
      </c>
      <c r="BQ19" s="163" t="s">
        <v>12241</v>
      </c>
      <c r="BR19" s="163" t="s">
        <v>224</v>
      </c>
      <c r="BS19" s="151" t="s">
        <v>2339</v>
      </c>
      <c r="BT19" s="163" t="s">
        <v>13061</v>
      </c>
      <c r="BU19" s="163" t="s">
        <v>13116</v>
      </c>
      <c r="BV19" s="163"/>
      <c r="BW19" s="163" t="s">
        <v>13198</v>
      </c>
      <c r="BX19" s="151" t="s">
        <v>13199</v>
      </c>
      <c r="BY19" s="151"/>
      <c r="BZ19" s="163" t="s">
        <v>108</v>
      </c>
      <c r="CA19" s="281"/>
      <c r="CB19" s="163"/>
      <c r="CC19" s="163"/>
      <c r="CD19" s="163"/>
      <c r="CE19" s="163"/>
      <c r="CF19" s="151"/>
      <c r="CG19" s="163"/>
      <c r="CH19" s="151"/>
      <c r="CI19" s="151"/>
      <c r="CJ19" s="151"/>
      <c r="CK19" s="151"/>
      <c r="CL19" s="151"/>
    </row>
    <row r="20" spans="1:90" s="168" customFormat="1" ht="25.5" customHeight="1">
      <c r="A20" s="151">
        <v>61</v>
      </c>
      <c r="B20" s="152"/>
      <c r="C20" s="152"/>
      <c r="D20" s="6"/>
      <c r="E20" s="6"/>
      <c r="F20" s="6"/>
      <c r="G20" s="151"/>
      <c r="H20" s="153"/>
      <c r="I20" s="169" t="s">
        <v>2452</v>
      </c>
      <c r="J20" s="169" t="s">
        <v>12016</v>
      </c>
      <c r="K20" s="169" t="s">
        <v>3392</v>
      </c>
      <c r="L20" s="151"/>
      <c r="M20" s="151">
        <v>2299</v>
      </c>
      <c r="N20" s="398" t="s">
        <v>13506</v>
      </c>
      <c r="O20" s="398" t="s">
        <v>13507</v>
      </c>
      <c r="P20" s="170" t="s">
        <v>12017</v>
      </c>
      <c r="Q20" s="174" t="s">
        <v>12018</v>
      </c>
      <c r="R20" s="151" t="s">
        <v>11331</v>
      </c>
      <c r="S20" s="151" t="s">
        <v>13542</v>
      </c>
      <c r="T20" s="151" t="s">
        <v>12019</v>
      </c>
      <c r="U20" s="151" t="s">
        <v>172</v>
      </c>
      <c r="V20" s="157" t="s">
        <v>395</v>
      </c>
      <c r="W20" s="171">
        <v>43643</v>
      </c>
      <c r="X20" s="159"/>
      <c r="Y20" s="172" t="s">
        <v>95</v>
      </c>
      <c r="Z20" s="173"/>
      <c r="AA20" s="159" t="s">
        <v>96</v>
      </c>
      <c r="AB20" s="151" t="s">
        <v>97</v>
      </c>
      <c r="AC20" s="162" t="s">
        <v>12020</v>
      </c>
      <c r="AD20" s="151">
        <v>10</v>
      </c>
      <c r="AE20" s="151" t="s">
        <v>100</v>
      </c>
      <c r="AF20" s="151" t="s">
        <v>1155</v>
      </c>
      <c r="AG20" s="151" t="s">
        <v>140</v>
      </c>
      <c r="AH20" s="163" t="s">
        <v>141</v>
      </c>
      <c r="AI20" s="151">
        <v>65152</v>
      </c>
      <c r="AJ20" s="151" t="s">
        <v>94</v>
      </c>
      <c r="AK20" s="163"/>
      <c r="AL20" s="163"/>
      <c r="AM20" s="163" t="s">
        <v>12188</v>
      </c>
      <c r="AN20" s="151" t="s">
        <v>12188</v>
      </c>
      <c r="AO20" s="163">
        <v>1</v>
      </c>
      <c r="AP20" s="163">
        <v>1</v>
      </c>
      <c r="AQ20" s="163"/>
      <c r="AR20" s="163"/>
      <c r="AS20" s="280">
        <v>30</v>
      </c>
      <c r="AT20" s="280">
        <v>120</v>
      </c>
      <c r="AU20" s="163"/>
      <c r="AV20" s="163" t="s">
        <v>112</v>
      </c>
      <c r="AW20" s="163" t="s">
        <v>150</v>
      </c>
      <c r="AX20" s="163" t="s">
        <v>114</v>
      </c>
      <c r="AY20" s="164" t="s">
        <v>12374</v>
      </c>
      <c r="AZ20" s="151" t="s">
        <v>12452</v>
      </c>
      <c r="BA20" s="163" t="s">
        <v>395</v>
      </c>
      <c r="BB20" s="165">
        <v>32815</v>
      </c>
      <c r="BC20" s="163" t="s">
        <v>96</v>
      </c>
      <c r="BD20" s="163" t="s">
        <v>12188</v>
      </c>
      <c r="BE20" s="163" t="s">
        <v>118</v>
      </c>
      <c r="BF20" s="151" t="s">
        <v>195</v>
      </c>
      <c r="BG20" s="163" t="s">
        <v>12594</v>
      </c>
      <c r="BH20" s="163" t="s">
        <v>12689</v>
      </c>
      <c r="BI20" s="6"/>
      <c r="BJ20" s="166">
        <v>10000000</v>
      </c>
      <c r="BK20" s="151" t="s">
        <v>12800</v>
      </c>
      <c r="BL20" s="167" t="s">
        <v>12906</v>
      </c>
      <c r="BM20" s="151" t="s">
        <v>12983</v>
      </c>
      <c r="BN20" s="151" t="s">
        <v>395</v>
      </c>
      <c r="BO20" s="165">
        <v>32839</v>
      </c>
      <c r="BP20" s="163" t="s">
        <v>96</v>
      </c>
      <c r="BQ20" s="163" t="s">
        <v>13017</v>
      </c>
      <c r="BR20" s="163" t="s">
        <v>153</v>
      </c>
      <c r="BS20" s="151" t="s">
        <v>195</v>
      </c>
      <c r="BT20" s="163" t="s">
        <v>12594</v>
      </c>
      <c r="BU20" s="163" t="s">
        <v>12689</v>
      </c>
      <c r="BV20" s="163"/>
      <c r="BW20" s="163">
        <v>10000000</v>
      </c>
      <c r="BX20" s="151" t="s">
        <v>13200</v>
      </c>
      <c r="BY20" s="151"/>
      <c r="BZ20" s="163" t="s">
        <v>108</v>
      </c>
      <c r="CA20" s="282"/>
      <c r="CB20" s="163"/>
      <c r="CC20" s="163"/>
      <c r="CD20" s="163"/>
      <c r="CE20" s="163"/>
      <c r="CF20" s="151"/>
      <c r="CG20" s="163"/>
      <c r="CH20" s="151"/>
      <c r="CI20" s="151"/>
      <c r="CJ20" s="151"/>
      <c r="CK20" s="151"/>
      <c r="CL20" s="151"/>
    </row>
    <row r="21" spans="1:90" s="168" customFormat="1" ht="25.5" customHeight="1">
      <c r="A21" s="151">
        <v>5</v>
      </c>
      <c r="B21" s="152"/>
      <c r="C21" s="152"/>
      <c r="D21" s="6"/>
      <c r="E21" s="6"/>
      <c r="F21" s="6"/>
      <c r="G21" s="151"/>
      <c r="H21" s="153"/>
      <c r="I21" s="154" t="s">
        <v>2452</v>
      </c>
      <c r="J21" s="154" t="s">
        <v>311</v>
      </c>
      <c r="K21" s="154" t="s">
        <v>12032</v>
      </c>
      <c r="L21" s="151"/>
      <c r="M21" s="151">
        <v>2302</v>
      </c>
      <c r="N21" s="398" t="s">
        <v>13513</v>
      </c>
      <c r="O21" s="398" t="s">
        <v>13512</v>
      </c>
      <c r="P21" s="156" t="s">
        <v>12033</v>
      </c>
      <c r="Q21" s="174" t="s">
        <v>12034</v>
      </c>
      <c r="R21" s="151" t="s">
        <v>11331</v>
      </c>
      <c r="S21" s="151" t="s">
        <v>13542</v>
      </c>
      <c r="T21" s="151" t="s">
        <v>11297</v>
      </c>
      <c r="U21" s="151" t="s">
        <v>172</v>
      </c>
      <c r="V21" s="157" t="s">
        <v>94</v>
      </c>
      <c r="W21" s="158">
        <v>43928</v>
      </c>
      <c r="X21" s="159"/>
      <c r="Y21" s="160" t="s">
        <v>95</v>
      </c>
      <c r="Z21" s="161"/>
      <c r="AA21" s="159" t="s">
        <v>96</v>
      </c>
      <c r="AB21" s="151" t="s">
        <v>97</v>
      </c>
      <c r="AC21" s="162" t="s">
        <v>12035</v>
      </c>
      <c r="AD21" s="151" t="s">
        <v>176</v>
      </c>
      <c r="AE21" s="151" t="s">
        <v>966</v>
      </c>
      <c r="AF21" s="151" t="s">
        <v>891</v>
      </c>
      <c r="AG21" s="151" t="s">
        <v>178</v>
      </c>
      <c r="AH21" s="151" t="s">
        <v>178</v>
      </c>
      <c r="AI21" s="151">
        <v>65141</v>
      </c>
      <c r="AJ21" s="151" t="s">
        <v>103</v>
      </c>
      <c r="AK21" s="163"/>
      <c r="AL21" s="163"/>
      <c r="AM21" s="163" t="s">
        <v>12191</v>
      </c>
      <c r="AN21" s="151" t="s">
        <v>12243</v>
      </c>
      <c r="AO21" s="163">
        <v>3</v>
      </c>
      <c r="AP21" s="163">
        <v>2</v>
      </c>
      <c r="AQ21" s="163"/>
      <c r="AR21" s="163"/>
      <c r="AS21" s="279">
        <v>18</v>
      </c>
      <c r="AT21" s="279">
        <v>110</v>
      </c>
      <c r="AU21" s="163"/>
      <c r="AV21" s="163" t="s">
        <v>112</v>
      </c>
      <c r="AW21" s="163" t="s">
        <v>12295</v>
      </c>
      <c r="AX21" s="163" t="s">
        <v>441</v>
      </c>
      <c r="AY21" s="164" t="s">
        <v>12377</v>
      </c>
      <c r="AZ21" s="151" t="s">
        <v>12455</v>
      </c>
      <c r="BA21" s="163" t="s">
        <v>713</v>
      </c>
      <c r="BB21" s="165">
        <v>29058</v>
      </c>
      <c r="BC21" s="163" t="s">
        <v>96</v>
      </c>
      <c r="BD21" s="163" t="s">
        <v>12516</v>
      </c>
      <c r="BE21" s="163" t="s">
        <v>118</v>
      </c>
      <c r="BF21" s="151" t="s">
        <v>247</v>
      </c>
      <c r="BG21" s="163" t="s">
        <v>327</v>
      </c>
      <c r="BH21" s="163" t="s">
        <v>12693</v>
      </c>
      <c r="BI21" s="6" t="s">
        <v>12694</v>
      </c>
      <c r="BJ21" s="166">
        <v>6000000</v>
      </c>
      <c r="BK21" s="151" t="s">
        <v>12804</v>
      </c>
      <c r="BL21" s="167" t="s">
        <v>12909</v>
      </c>
      <c r="BM21" s="151" t="s">
        <v>12986</v>
      </c>
      <c r="BN21" s="151" t="s">
        <v>94</v>
      </c>
      <c r="BO21" s="165">
        <v>30186</v>
      </c>
      <c r="BP21" s="163" t="s">
        <v>96</v>
      </c>
      <c r="BQ21" s="163" t="s">
        <v>12243</v>
      </c>
      <c r="BR21" s="163" t="s">
        <v>118</v>
      </c>
      <c r="BS21" s="151" t="s">
        <v>126</v>
      </c>
      <c r="BT21" s="163" t="s">
        <v>452</v>
      </c>
      <c r="BU21" s="163" t="s">
        <v>13119</v>
      </c>
      <c r="BV21" s="163" t="s">
        <v>12191</v>
      </c>
      <c r="BW21" s="163">
        <v>0</v>
      </c>
      <c r="BX21" s="151" t="s">
        <v>13204</v>
      </c>
      <c r="BY21" s="151"/>
      <c r="BZ21" s="163" t="s">
        <v>108</v>
      </c>
      <c r="CA21" s="281"/>
      <c r="CB21" s="163"/>
      <c r="CC21" s="163"/>
      <c r="CD21" s="163"/>
      <c r="CE21" s="163"/>
      <c r="CF21" s="151"/>
      <c r="CG21" s="163"/>
      <c r="CH21" s="151"/>
      <c r="CI21" s="151"/>
      <c r="CJ21" s="151"/>
      <c r="CK21" s="151"/>
      <c r="CL21" s="151"/>
    </row>
    <row r="22" spans="1:90" s="168" customFormat="1" ht="25.5" customHeight="1">
      <c r="A22" s="151">
        <v>2</v>
      </c>
      <c r="B22" s="152"/>
      <c r="C22" s="152"/>
      <c r="D22" s="6"/>
      <c r="E22" s="6"/>
      <c r="F22" s="6"/>
      <c r="G22" s="151"/>
      <c r="H22" s="153"/>
      <c r="I22" s="169" t="s">
        <v>2452</v>
      </c>
      <c r="J22" s="169" t="s">
        <v>287</v>
      </c>
      <c r="K22" s="169" t="s">
        <v>11877</v>
      </c>
      <c r="L22" s="151"/>
      <c r="M22" s="151">
        <v>2303</v>
      </c>
      <c r="N22" s="398" t="s">
        <v>13546</v>
      </c>
      <c r="O22" s="398" t="s">
        <v>456</v>
      </c>
      <c r="P22" s="170" t="s">
        <v>12036</v>
      </c>
      <c r="Q22" s="174" t="s">
        <v>12037</v>
      </c>
      <c r="R22" s="151" t="s">
        <v>11331</v>
      </c>
      <c r="S22" s="151" t="s">
        <v>13542</v>
      </c>
      <c r="T22" s="151" t="s">
        <v>12038</v>
      </c>
      <c r="U22" s="151" t="s">
        <v>93</v>
      </c>
      <c r="V22" s="157" t="s">
        <v>94</v>
      </c>
      <c r="W22" s="171">
        <v>43529</v>
      </c>
      <c r="X22" s="159"/>
      <c r="Y22" s="172" t="s">
        <v>95</v>
      </c>
      <c r="Z22" s="173"/>
      <c r="AA22" s="159" t="s">
        <v>96</v>
      </c>
      <c r="AB22" s="151" t="s">
        <v>97</v>
      </c>
      <c r="AC22" s="162" t="s">
        <v>12039</v>
      </c>
      <c r="AD22" s="151">
        <v>3</v>
      </c>
      <c r="AE22" s="151">
        <v>9</v>
      </c>
      <c r="AF22" s="151" t="s">
        <v>295</v>
      </c>
      <c r="AG22" s="151" t="s">
        <v>178</v>
      </c>
      <c r="AH22" s="151" t="s">
        <v>178</v>
      </c>
      <c r="AI22" s="151">
        <v>65144</v>
      </c>
      <c r="AJ22" s="151" t="s">
        <v>94</v>
      </c>
      <c r="AK22" s="163"/>
      <c r="AL22" s="163"/>
      <c r="AM22" s="163" t="s">
        <v>462</v>
      </c>
      <c r="AN22" s="151" t="s">
        <v>462</v>
      </c>
      <c r="AO22" s="163">
        <v>3</v>
      </c>
      <c r="AP22" s="163">
        <v>2</v>
      </c>
      <c r="AQ22" s="163"/>
      <c r="AR22" s="163"/>
      <c r="AS22" s="280" t="s">
        <v>12281</v>
      </c>
      <c r="AT22" s="280" t="s">
        <v>12282</v>
      </c>
      <c r="AU22" s="163"/>
      <c r="AV22" s="163" t="s">
        <v>112</v>
      </c>
      <c r="AW22" s="163" t="s">
        <v>549</v>
      </c>
      <c r="AX22" s="163" t="s">
        <v>114</v>
      </c>
      <c r="AY22" s="164" t="s">
        <v>12378</v>
      </c>
      <c r="AZ22" s="151" t="s">
        <v>468</v>
      </c>
      <c r="BA22" s="163" t="s">
        <v>469</v>
      </c>
      <c r="BB22" s="165">
        <v>30336</v>
      </c>
      <c r="BC22" s="163" t="s">
        <v>96</v>
      </c>
      <c r="BD22" s="163" t="s">
        <v>470</v>
      </c>
      <c r="BE22" s="163" t="s">
        <v>118</v>
      </c>
      <c r="BF22" s="151" t="s">
        <v>471</v>
      </c>
      <c r="BG22" s="163" t="s">
        <v>12597</v>
      </c>
      <c r="BH22" s="163" t="s">
        <v>12695</v>
      </c>
      <c r="BI22" s="6" t="s">
        <v>12696</v>
      </c>
      <c r="BJ22" s="166" t="s">
        <v>12805</v>
      </c>
      <c r="BK22" s="151" t="s">
        <v>12806</v>
      </c>
      <c r="BL22" s="167" t="s">
        <v>12910</v>
      </c>
      <c r="BM22" s="151" t="s">
        <v>478</v>
      </c>
      <c r="BN22" s="151" t="s">
        <v>94</v>
      </c>
      <c r="BO22" s="165">
        <v>31314</v>
      </c>
      <c r="BP22" s="163" t="s">
        <v>96</v>
      </c>
      <c r="BQ22" s="163" t="s">
        <v>462</v>
      </c>
      <c r="BR22" s="163" t="s">
        <v>118</v>
      </c>
      <c r="BS22" s="151" t="s">
        <v>126</v>
      </c>
      <c r="BT22" s="163" t="s">
        <v>452</v>
      </c>
      <c r="BU22" s="163" t="s">
        <v>13120</v>
      </c>
      <c r="BV22" s="163" t="s">
        <v>462</v>
      </c>
      <c r="BW22" s="163" t="s">
        <v>127</v>
      </c>
      <c r="BX22" s="151" t="s">
        <v>13205</v>
      </c>
      <c r="BY22" s="151" t="s">
        <v>12910</v>
      </c>
      <c r="BZ22" s="163" t="s">
        <v>94</v>
      </c>
      <c r="CA22" s="283">
        <v>31314</v>
      </c>
      <c r="CB22" s="163"/>
      <c r="CC22" s="163" t="s">
        <v>462</v>
      </c>
      <c r="CD22" s="163" t="s">
        <v>118</v>
      </c>
      <c r="CE22" s="163" t="s">
        <v>7967</v>
      </c>
      <c r="CF22" s="151"/>
      <c r="CG22" s="163"/>
      <c r="CH22" s="151"/>
      <c r="CI22" s="151"/>
      <c r="CJ22" s="151"/>
      <c r="CK22" s="151"/>
      <c r="CL22" s="151"/>
    </row>
    <row r="23" spans="1:90" s="329" customFormat="1" ht="25.5" customHeight="1">
      <c r="A23" s="312">
        <v>63</v>
      </c>
      <c r="B23" s="313"/>
      <c r="C23" s="313"/>
      <c r="D23" s="28"/>
      <c r="E23" s="28"/>
      <c r="F23" s="28"/>
      <c r="G23" s="312"/>
      <c r="H23" s="314"/>
      <c r="I23" s="330" t="s">
        <v>2452</v>
      </c>
      <c r="J23" s="330" t="s">
        <v>257</v>
      </c>
      <c r="K23" s="330" t="s">
        <v>11721</v>
      </c>
      <c r="L23" s="312"/>
      <c r="M23" s="312">
        <v>2308</v>
      </c>
      <c r="N23" s="399" t="s">
        <v>13521</v>
      </c>
      <c r="O23" s="399" t="s">
        <v>13520</v>
      </c>
      <c r="P23" s="331" t="s">
        <v>12058</v>
      </c>
      <c r="Q23" s="386" t="s">
        <v>12059</v>
      </c>
      <c r="R23" s="312" t="s">
        <v>11331</v>
      </c>
      <c r="S23" s="312" t="s">
        <v>13542</v>
      </c>
      <c r="T23" s="312" t="s">
        <v>11296</v>
      </c>
      <c r="U23" s="312" t="s">
        <v>93</v>
      </c>
      <c r="V23" s="317" t="s">
        <v>94</v>
      </c>
      <c r="W23" s="332">
        <v>43675</v>
      </c>
      <c r="X23" s="319"/>
      <c r="Y23" s="333" t="s">
        <v>425</v>
      </c>
      <c r="Z23" s="330" t="s">
        <v>12060</v>
      </c>
      <c r="AA23" s="319" t="s">
        <v>96</v>
      </c>
      <c r="AB23" s="312" t="s">
        <v>97</v>
      </c>
      <c r="AC23" s="321" t="s">
        <v>12061</v>
      </c>
      <c r="AD23" s="312">
        <v>10</v>
      </c>
      <c r="AE23" s="312" t="s">
        <v>99</v>
      </c>
      <c r="AF23" s="312" t="s">
        <v>177</v>
      </c>
      <c r="AG23" s="312" t="s">
        <v>178</v>
      </c>
      <c r="AH23" s="322" t="s">
        <v>178</v>
      </c>
      <c r="AI23" s="312">
        <v>65143</v>
      </c>
      <c r="AJ23" s="312" t="s">
        <v>103</v>
      </c>
      <c r="AK23" s="322"/>
      <c r="AL23" s="322"/>
      <c r="AM23" s="322" t="s">
        <v>127</v>
      </c>
      <c r="AN23" s="312" t="s">
        <v>12245</v>
      </c>
      <c r="AO23" s="322">
        <v>1</v>
      </c>
      <c r="AP23" s="322" t="s">
        <v>127</v>
      </c>
      <c r="AQ23" s="322"/>
      <c r="AR23" s="322"/>
      <c r="AS23" s="334" t="s">
        <v>12276</v>
      </c>
      <c r="AT23" s="334" t="s">
        <v>2045</v>
      </c>
      <c r="AU23" s="322"/>
      <c r="AV23" s="322" t="s">
        <v>112</v>
      </c>
      <c r="AW23" s="322" t="s">
        <v>127</v>
      </c>
      <c r="AX23" s="322" t="s">
        <v>183</v>
      </c>
      <c r="AY23" s="324" t="s">
        <v>12383</v>
      </c>
      <c r="AZ23" s="312" t="s">
        <v>12460</v>
      </c>
      <c r="BA23" s="322" t="s">
        <v>94</v>
      </c>
      <c r="BB23" s="325">
        <v>33111</v>
      </c>
      <c r="BC23" s="322" t="s">
        <v>96</v>
      </c>
      <c r="BD23" s="322" t="s">
        <v>12245</v>
      </c>
      <c r="BE23" s="322" t="s">
        <v>118</v>
      </c>
      <c r="BF23" s="312" t="s">
        <v>247</v>
      </c>
      <c r="BG23" s="322" t="s">
        <v>12600</v>
      </c>
      <c r="BH23" s="322" t="s">
        <v>12700</v>
      </c>
      <c r="BI23" s="28" t="s">
        <v>127</v>
      </c>
      <c r="BJ23" s="326" t="s">
        <v>12812</v>
      </c>
      <c r="BK23" s="312" t="s">
        <v>12813</v>
      </c>
      <c r="BL23" s="327" t="s">
        <v>12915</v>
      </c>
      <c r="BM23" s="312" t="s">
        <v>12991</v>
      </c>
      <c r="BN23" s="312" t="s">
        <v>94</v>
      </c>
      <c r="BO23" s="325">
        <v>33879</v>
      </c>
      <c r="BP23" s="322" t="s">
        <v>96</v>
      </c>
      <c r="BQ23" s="322" t="s">
        <v>12245</v>
      </c>
      <c r="BR23" s="322" t="s">
        <v>118</v>
      </c>
      <c r="BS23" s="312" t="s">
        <v>254</v>
      </c>
      <c r="BT23" s="322" t="s">
        <v>452</v>
      </c>
      <c r="BU23" s="322" t="s">
        <v>127</v>
      </c>
      <c r="BV23" s="322" t="s">
        <v>127</v>
      </c>
      <c r="BW23" s="322" t="s">
        <v>127</v>
      </c>
      <c r="BX23" s="312" t="s">
        <v>12813</v>
      </c>
      <c r="BY23" s="312" t="s">
        <v>13233</v>
      </c>
      <c r="BZ23" s="322" t="s">
        <v>94</v>
      </c>
      <c r="CA23" s="335"/>
      <c r="CB23" s="322"/>
      <c r="CC23" s="322" t="s">
        <v>13244</v>
      </c>
      <c r="CD23" s="322" t="s">
        <v>118</v>
      </c>
      <c r="CE23" s="322" t="s">
        <v>247</v>
      </c>
      <c r="CF23" s="312"/>
      <c r="CG23" s="322"/>
      <c r="CH23" s="312"/>
      <c r="CI23" s="312"/>
      <c r="CJ23" s="312"/>
      <c r="CK23" s="312"/>
      <c r="CL23" s="312"/>
    </row>
    <row r="24" spans="1:90" s="168" customFormat="1" ht="25.5" customHeight="1">
      <c r="A24" s="151">
        <v>46</v>
      </c>
      <c r="B24" s="152"/>
      <c r="C24" s="152"/>
      <c r="D24" s="6"/>
      <c r="E24" s="6"/>
      <c r="F24" s="6"/>
      <c r="G24" s="151"/>
      <c r="H24" s="153"/>
      <c r="I24" s="169" t="s">
        <v>2452</v>
      </c>
      <c r="J24" s="169" t="s">
        <v>12062</v>
      </c>
      <c r="K24" s="169" t="s">
        <v>12063</v>
      </c>
      <c r="L24" s="151"/>
      <c r="M24" s="151">
        <v>2309</v>
      </c>
      <c r="N24" s="151"/>
      <c r="O24" s="398" t="s">
        <v>13522</v>
      </c>
      <c r="P24" s="170" t="s">
        <v>12064</v>
      </c>
      <c r="Q24" s="174" t="s">
        <v>12065</v>
      </c>
      <c r="R24" s="151" t="s">
        <v>11331</v>
      </c>
      <c r="S24" s="151" t="s">
        <v>13542</v>
      </c>
      <c r="T24" s="151" t="s">
        <v>12066</v>
      </c>
      <c r="U24" s="151" t="s">
        <v>172</v>
      </c>
      <c r="V24" s="157" t="s">
        <v>94</v>
      </c>
      <c r="W24" s="171">
        <v>43612</v>
      </c>
      <c r="X24" s="159"/>
      <c r="Y24" s="172" t="s">
        <v>95</v>
      </c>
      <c r="Z24" s="173"/>
      <c r="AA24" s="159" t="s">
        <v>96</v>
      </c>
      <c r="AB24" s="151" t="s">
        <v>97</v>
      </c>
      <c r="AC24" s="162" t="s">
        <v>12067</v>
      </c>
      <c r="AD24" s="151" t="s">
        <v>318</v>
      </c>
      <c r="AE24" s="151" t="s">
        <v>99</v>
      </c>
      <c r="AF24" s="151" t="s">
        <v>177</v>
      </c>
      <c r="AG24" s="151" t="s">
        <v>547</v>
      </c>
      <c r="AH24" s="151" t="s">
        <v>178</v>
      </c>
      <c r="AI24" s="151">
        <v>65143</v>
      </c>
      <c r="AJ24" s="151" t="s">
        <v>94</v>
      </c>
      <c r="AK24" s="163"/>
      <c r="AL24" s="163"/>
      <c r="AM24" s="163" t="s">
        <v>12196</v>
      </c>
      <c r="AN24" s="151" t="s">
        <v>12246</v>
      </c>
      <c r="AO24" s="163">
        <v>1</v>
      </c>
      <c r="AP24" s="163">
        <v>1</v>
      </c>
      <c r="AQ24" s="163"/>
      <c r="AR24" s="163"/>
      <c r="AS24" s="280">
        <v>20</v>
      </c>
      <c r="AT24" s="280">
        <v>117</v>
      </c>
      <c r="AU24" s="163"/>
      <c r="AV24" s="163" t="s">
        <v>112</v>
      </c>
      <c r="AW24" s="163" t="s">
        <v>127</v>
      </c>
      <c r="AX24" s="163" t="s">
        <v>183</v>
      </c>
      <c r="AY24" s="164" t="s">
        <v>12384</v>
      </c>
      <c r="AZ24" s="151" t="s">
        <v>12461</v>
      </c>
      <c r="BA24" s="163" t="s">
        <v>2524</v>
      </c>
      <c r="BB24" s="165">
        <v>31893</v>
      </c>
      <c r="BC24" s="163" t="s">
        <v>96</v>
      </c>
      <c r="BD24" s="163" t="s">
        <v>12196</v>
      </c>
      <c r="BE24" s="163" t="s">
        <v>224</v>
      </c>
      <c r="BF24" s="151" t="s">
        <v>12539</v>
      </c>
      <c r="BG24" s="163" t="s">
        <v>761</v>
      </c>
      <c r="BH24" s="163" t="s">
        <v>12701</v>
      </c>
      <c r="BI24" s="6" t="s">
        <v>12702</v>
      </c>
      <c r="BJ24" s="166" t="s">
        <v>12814</v>
      </c>
      <c r="BK24" s="151" t="s">
        <v>12815</v>
      </c>
      <c r="BL24" s="167" t="s">
        <v>12916</v>
      </c>
      <c r="BM24" s="151" t="s">
        <v>12992</v>
      </c>
      <c r="BN24" s="151" t="s">
        <v>13004</v>
      </c>
      <c r="BO24" s="165">
        <v>35745</v>
      </c>
      <c r="BP24" s="163" t="s">
        <v>96</v>
      </c>
      <c r="BQ24" s="163" t="s">
        <v>12246</v>
      </c>
      <c r="BR24" s="163" t="s">
        <v>118</v>
      </c>
      <c r="BS24" s="151" t="s">
        <v>13035</v>
      </c>
      <c r="BT24" s="163" t="s">
        <v>127</v>
      </c>
      <c r="BU24" s="163" t="s">
        <v>127</v>
      </c>
      <c r="BV24" s="163" t="s">
        <v>127</v>
      </c>
      <c r="BW24" s="163" t="s">
        <v>13210</v>
      </c>
      <c r="BX24" s="151" t="s">
        <v>13211</v>
      </c>
      <c r="BY24" s="151"/>
      <c r="BZ24" s="163" t="s">
        <v>108</v>
      </c>
      <c r="CA24" s="282"/>
      <c r="CB24" s="163"/>
      <c r="CC24" s="163"/>
      <c r="CD24" s="163"/>
      <c r="CE24" s="163"/>
      <c r="CF24" s="151"/>
      <c r="CG24" s="163"/>
      <c r="CH24" s="151"/>
      <c r="CI24" s="151"/>
      <c r="CJ24" s="151"/>
      <c r="CK24" s="151"/>
      <c r="CL24" s="151"/>
    </row>
    <row r="25" spans="1:90" s="168" customFormat="1" ht="25.5" customHeight="1">
      <c r="A25" s="151">
        <v>58</v>
      </c>
      <c r="B25" s="152"/>
      <c r="C25" s="152"/>
      <c r="D25" s="6"/>
      <c r="E25" s="6"/>
      <c r="F25" s="6"/>
      <c r="G25" s="151"/>
      <c r="H25" s="153"/>
      <c r="I25" s="154" t="s">
        <v>2452</v>
      </c>
      <c r="J25" s="154" t="s">
        <v>12068</v>
      </c>
      <c r="K25" s="154" t="s">
        <v>884</v>
      </c>
      <c r="L25" s="151"/>
      <c r="M25" s="151">
        <v>2310</v>
      </c>
      <c r="N25" s="398" t="s">
        <v>13524</v>
      </c>
      <c r="O25" s="398" t="s">
        <v>13523</v>
      </c>
      <c r="P25" s="156" t="s">
        <v>12069</v>
      </c>
      <c r="Q25" s="174" t="s">
        <v>12070</v>
      </c>
      <c r="R25" s="151" t="s">
        <v>11331</v>
      </c>
      <c r="S25" s="151" t="s">
        <v>13542</v>
      </c>
      <c r="T25" s="151" t="s">
        <v>12071</v>
      </c>
      <c r="U25" s="151" t="s">
        <v>93</v>
      </c>
      <c r="V25" s="157" t="s">
        <v>1294</v>
      </c>
      <c r="W25" s="158">
        <v>43721</v>
      </c>
      <c r="X25" s="159"/>
      <c r="Y25" s="160" t="s">
        <v>95</v>
      </c>
      <c r="Z25" s="161"/>
      <c r="AA25" s="159" t="s">
        <v>96</v>
      </c>
      <c r="AB25" s="151" t="s">
        <v>97</v>
      </c>
      <c r="AC25" s="162" t="s">
        <v>12072</v>
      </c>
      <c r="AD25" s="151">
        <v>0</v>
      </c>
      <c r="AE25" s="151">
        <v>0</v>
      </c>
      <c r="AF25" s="151" t="s">
        <v>139</v>
      </c>
      <c r="AG25" s="151" t="s">
        <v>140</v>
      </c>
      <c r="AH25" s="163" t="s">
        <v>141</v>
      </c>
      <c r="AI25" s="151">
        <v>65152</v>
      </c>
      <c r="AJ25" s="151" t="s">
        <v>142</v>
      </c>
      <c r="AK25" s="163"/>
      <c r="AL25" s="163"/>
      <c r="AM25" s="163" t="s">
        <v>127</v>
      </c>
      <c r="AN25" s="151" t="s">
        <v>12247</v>
      </c>
      <c r="AO25" s="163">
        <v>1</v>
      </c>
      <c r="AP25" s="163">
        <v>1</v>
      </c>
      <c r="AQ25" s="163"/>
      <c r="AR25" s="163"/>
      <c r="AS25" s="279">
        <v>16</v>
      </c>
      <c r="AT25" s="279">
        <v>113.5</v>
      </c>
      <c r="AU25" s="163"/>
      <c r="AV25" s="163" t="s">
        <v>112</v>
      </c>
      <c r="AW25" s="163" t="s">
        <v>150</v>
      </c>
      <c r="AX25" s="163" t="s">
        <v>114</v>
      </c>
      <c r="AY25" s="164" t="s">
        <v>12385</v>
      </c>
      <c r="AZ25" s="151" t="s">
        <v>12462</v>
      </c>
      <c r="BA25" s="163" t="s">
        <v>395</v>
      </c>
      <c r="BB25" s="165">
        <v>32574</v>
      </c>
      <c r="BC25" s="163" t="s">
        <v>96</v>
      </c>
      <c r="BD25" s="163" t="s">
        <v>12521</v>
      </c>
      <c r="BE25" s="163" t="s">
        <v>118</v>
      </c>
      <c r="BF25" s="151" t="s">
        <v>1571</v>
      </c>
      <c r="BG25" s="163" t="s">
        <v>12601</v>
      </c>
      <c r="BH25" s="163" t="s">
        <v>12703</v>
      </c>
      <c r="BI25" s="6"/>
      <c r="BJ25" s="166" t="s">
        <v>2700</v>
      </c>
      <c r="BK25" s="151" t="s">
        <v>12816</v>
      </c>
      <c r="BL25" s="167" t="s">
        <v>12917</v>
      </c>
      <c r="BM25" s="151" t="s">
        <v>12993</v>
      </c>
      <c r="BN25" s="151" t="s">
        <v>1294</v>
      </c>
      <c r="BO25" s="165">
        <v>32737</v>
      </c>
      <c r="BP25" s="163" t="s">
        <v>96</v>
      </c>
      <c r="BQ25" s="163" t="s">
        <v>12247</v>
      </c>
      <c r="BR25" s="163" t="s">
        <v>118</v>
      </c>
      <c r="BS25" s="151" t="s">
        <v>554</v>
      </c>
      <c r="BT25" s="163" t="s">
        <v>9861</v>
      </c>
      <c r="BU25" s="163" t="s">
        <v>13124</v>
      </c>
      <c r="BV25" s="163"/>
      <c r="BW25" s="163" t="s">
        <v>3407</v>
      </c>
      <c r="BX25" s="151" t="s">
        <v>13212</v>
      </c>
      <c r="BY25" s="151"/>
      <c r="BZ25" s="163" t="s">
        <v>108</v>
      </c>
      <c r="CA25" s="281"/>
      <c r="CB25" s="163"/>
      <c r="CC25" s="163"/>
      <c r="CD25" s="163"/>
      <c r="CE25" s="163"/>
      <c r="CF25" s="151"/>
      <c r="CG25" s="163"/>
      <c r="CH25" s="151"/>
      <c r="CI25" s="151"/>
      <c r="CJ25" s="151"/>
      <c r="CK25" s="151"/>
      <c r="CL25" s="151"/>
    </row>
    <row r="26" spans="1:90" s="168" customFormat="1" ht="25.5" customHeight="1">
      <c r="A26" s="151">
        <v>70</v>
      </c>
      <c r="B26" s="152"/>
      <c r="C26" s="152"/>
      <c r="D26" s="6"/>
      <c r="E26" s="6"/>
      <c r="F26" s="6"/>
      <c r="G26" s="151"/>
      <c r="H26" s="153"/>
      <c r="I26" s="154" t="s">
        <v>11714</v>
      </c>
      <c r="J26" s="154" t="s">
        <v>4387</v>
      </c>
      <c r="K26" s="154" t="s">
        <v>12117</v>
      </c>
      <c r="L26" s="151"/>
      <c r="M26" s="151">
        <v>2320</v>
      </c>
      <c r="N26" s="398" t="s">
        <v>13537</v>
      </c>
      <c r="O26" s="398" t="s">
        <v>10303</v>
      </c>
      <c r="P26" s="156" t="s">
        <v>12118</v>
      </c>
      <c r="Q26" s="174" t="s">
        <v>12119</v>
      </c>
      <c r="R26" s="151" t="s">
        <v>11331</v>
      </c>
      <c r="S26" s="151" t="s">
        <v>13542</v>
      </c>
      <c r="T26" s="151" t="s">
        <v>12120</v>
      </c>
      <c r="U26" s="151" t="s">
        <v>93</v>
      </c>
      <c r="V26" s="157" t="s">
        <v>94</v>
      </c>
      <c r="W26" s="158">
        <v>43588</v>
      </c>
      <c r="X26" s="159"/>
      <c r="Y26" s="160" t="s">
        <v>95</v>
      </c>
      <c r="Z26" s="161"/>
      <c r="AA26" s="159" t="s">
        <v>96</v>
      </c>
      <c r="AB26" s="151" t="s">
        <v>97</v>
      </c>
      <c r="AC26" s="162" t="s">
        <v>12121</v>
      </c>
      <c r="AD26" s="151" t="s">
        <v>99</v>
      </c>
      <c r="AE26" s="151" t="s">
        <v>384</v>
      </c>
      <c r="AF26" s="151" t="s">
        <v>10307</v>
      </c>
      <c r="AG26" s="151" t="s">
        <v>241</v>
      </c>
      <c r="AH26" s="163" t="s">
        <v>241</v>
      </c>
      <c r="AI26" s="151">
        <v>65127</v>
      </c>
      <c r="AJ26" s="151" t="s">
        <v>103</v>
      </c>
      <c r="AK26" s="163"/>
      <c r="AL26" s="163"/>
      <c r="AM26" s="163" t="s">
        <v>10316</v>
      </c>
      <c r="AN26" s="151" t="s">
        <v>10316</v>
      </c>
      <c r="AO26" s="163">
        <v>2</v>
      </c>
      <c r="AP26" s="163">
        <v>1</v>
      </c>
      <c r="AQ26" s="163"/>
      <c r="AR26" s="163"/>
      <c r="AS26" s="279" t="s">
        <v>1906</v>
      </c>
      <c r="AT26" s="279" t="s">
        <v>9232</v>
      </c>
      <c r="AU26" s="163"/>
      <c r="AV26" s="163" t="s">
        <v>112</v>
      </c>
      <c r="AW26" s="163" t="s">
        <v>549</v>
      </c>
      <c r="AX26" s="163" t="s">
        <v>183</v>
      </c>
      <c r="AY26" s="164" t="s">
        <v>12395</v>
      </c>
      <c r="AZ26" s="151" t="s">
        <v>10309</v>
      </c>
      <c r="BA26" s="163" t="s">
        <v>94</v>
      </c>
      <c r="BB26" s="165">
        <v>32301</v>
      </c>
      <c r="BC26" s="163" t="s">
        <v>96</v>
      </c>
      <c r="BD26" s="163" t="s">
        <v>12524</v>
      </c>
      <c r="BE26" s="163" t="s">
        <v>3623</v>
      </c>
      <c r="BF26" s="151" t="s">
        <v>12541</v>
      </c>
      <c r="BG26" s="163" t="s">
        <v>12607</v>
      </c>
      <c r="BH26" s="163" t="s">
        <v>12714</v>
      </c>
      <c r="BI26" s="6">
        <v>0</v>
      </c>
      <c r="BJ26" s="166" t="s">
        <v>8014</v>
      </c>
      <c r="BK26" s="151" t="s">
        <v>12826</v>
      </c>
      <c r="BL26" s="167" t="s">
        <v>12927</v>
      </c>
      <c r="BM26" s="151" t="s">
        <v>10315</v>
      </c>
      <c r="BN26" s="151" t="s">
        <v>94</v>
      </c>
      <c r="BO26" s="165">
        <v>32822</v>
      </c>
      <c r="BP26" s="163" t="s">
        <v>96</v>
      </c>
      <c r="BQ26" s="163" t="s">
        <v>10316</v>
      </c>
      <c r="BR26" s="163" t="s">
        <v>118</v>
      </c>
      <c r="BS26" s="151" t="s">
        <v>126</v>
      </c>
      <c r="BT26" s="163" t="s">
        <v>147</v>
      </c>
      <c r="BU26" s="163" t="s">
        <v>147</v>
      </c>
      <c r="BV26" s="163">
        <v>0</v>
      </c>
      <c r="BW26" s="163">
        <v>0</v>
      </c>
      <c r="BX26" s="151" t="s">
        <v>13218</v>
      </c>
      <c r="BY26" s="151"/>
      <c r="BZ26" s="163" t="s">
        <v>108</v>
      </c>
      <c r="CA26" s="281"/>
      <c r="CB26" s="163"/>
      <c r="CC26" s="163"/>
      <c r="CD26" s="163"/>
      <c r="CE26" s="163"/>
      <c r="CF26" s="151"/>
      <c r="CG26" s="163"/>
      <c r="CH26" s="151"/>
      <c r="CI26" s="151"/>
      <c r="CJ26" s="151"/>
      <c r="CK26" s="151"/>
      <c r="CL26" s="151"/>
    </row>
    <row r="27" spans="1:90" s="168" customFormat="1" ht="25.5" customHeight="1">
      <c r="A27" s="151">
        <v>94</v>
      </c>
      <c r="B27" s="152"/>
      <c r="C27" s="152"/>
      <c r="D27" s="6"/>
      <c r="E27" s="6"/>
      <c r="F27" s="6"/>
      <c r="G27" s="151"/>
      <c r="H27" s="153"/>
      <c r="I27" s="169" t="s">
        <v>2684</v>
      </c>
      <c r="J27" s="169" t="s">
        <v>12122</v>
      </c>
      <c r="K27" s="169" t="s">
        <v>12123</v>
      </c>
      <c r="L27" s="151"/>
      <c r="M27" s="151">
        <v>2321</v>
      </c>
      <c r="N27" s="398" t="s">
        <v>13538</v>
      </c>
      <c r="O27" s="398" t="s">
        <v>11304</v>
      </c>
      <c r="P27" s="170" t="s">
        <v>12124</v>
      </c>
      <c r="Q27" s="388" t="s">
        <v>12125</v>
      </c>
      <c r="R27" s="151" t="s">
        <v>11331</v>
      </c>
      <c r="S27" s="151" t="s">
        <v>13542</v>
      </c>
      <c r="T27" s="151" t="s">
        <v>12126</v>
      </c>
      <c r="U27" s="151" t="s">
        <v>93</v>
      </c>
      <c r="V27" s="157" t="s">
        <v>94</v>
      </c>
      <c r="W27" s="171">
        <v>43787</v>
      </c>
      <c r="X27" s="159"/>
      <c r="Y27" s="172" t="s">
        <v>95</v>
      </c>
      <c r="Z27" s="173"/>
      <c r="AA27" s="159" t="s">
        <v>96</v>
      </c>
      <c r="AB27" s="151" t="s">
        <v>97</v>
      </c>
      <c r="AC27" s="162" t="s">
        <v>12127</v>
      </c>
      <c r="AD27" s="151">
        <v>5</v>
      </c>
      <c r="AE27" s="151">
        <v>5</v>
      </c>
      <c r="AF27" s="151" t="s">
        <v>1395</v>
      </c>
      <c r="AG27" s="151" t="s">
        <v>140</v>
      </c>
      <c r="AH27" s="163" t="s">
        <v>141</v>
      </c>
      <c r="AI27" s="151">
        <v>65152</v>
      </c>
      <c r="AJ27" s="151" t="s">
        <v>94</v>
      </c>
      <c r="AK27" s="163"/>
      <c r="AL27" s="163"/>
      <c r="AM27" s="163" t="s">
        <v>11306</v>
      </c>
      <c r="AN27" s="151" t="s">
        <v>12253</v>
      </c>
      <c r="AO27" s="163">
        <v>2</v>
      </c>
      <c r="AP27" s="163" t="s">
        <v>12256</v>
      </c>
      <c r="AQ27" s="163"/>
      <c r="AR27" s="163"/>
      <c r="AS27" s="280">
        <v>18.7</v>
      </c>
      <c r="AT27" s="280">
        <v>106</v>
      </c>
      <c r="AU27" s="163"/>
      <c r="AV27" s="163" t="s">
        <v>212</v>
      </c>
      <c r="AW27" s="163" t="s">
        <v>549</v>
      </c>
      <c r="AX27" s="163" t="s">
        <v>114</v>
      </c>
      <c r="AY27" s="164" t="s">
        <v>12396</v>
      </c>
      <c r="AZ27" s="151" t="s">
        <v>11307</v>
      </c>
      <c r="BA27" s="163" t="s">
        <v>1967</v>
      </c>
      <c r="BB27" s="165">
        <v>32827</v>
      </c>
      <c r="BC27" s="163" t="s">
        <v>96</v>
      </c>
      <c r="BD27" s="163" t="s">
        <v>11306</v>
      </c>
      <c r="BE27" s="163" t="s">
        <v>118</v>
      </c>
      <c r="BF27" s="151" t="s">
        <v>471</v>
      </c>
      <c r="BG27" s="163" t="s">
        <v>12608</v>
      </c>
      <c r="BH27" s="163" t="s">
        <v>12715</v>
      </c>
      <c r="BI27" s="6" t="s">
        <v>10258</v>
      </c>
      <c r="BJ27" s="166">
        <v>7000000</v>
      </c>
      <c r="BK27" s="151" t="s">
        <v>4765</v>
      </c>
      <c r="BL27" s="167" t="s">
        <v>12928</v>
      </c>
      <c r="BM27" s="151" t="s">
        <v>11308</v>
      </c>
      <c r="BN27" s="151" t="s">
        <v>1967</v>
      </c>
      <c r="BO27" s="165">
        <v>33244</v>
      </c>
      <c r="BP27" s="163" t="s">
        <v>96</v>
      </c>
      <c r="BQ27" s="163" t="s">
        <v>13024</v>
      </c>
      <c r="BR27" s="163" t="s">
        <v>118</v>
      </c>
      <c r="BS27" s="151" t="s">
        <v>471</v>
      </c>
      <c r="BT27" s="163" t="s">
        <v>13067</v>
      </c>
      <c r="BU27" s="163" t="s">
        <v>13127</v>
      </c>
      <c r="BV27" s="163" t="s">
        <v>13024</v>
      </c>
      <c r="BW27" s="163">
        <v>14000000</v>
      </c>
      <c r="BX27" s="151" t="s">
        <v>4769</v>
      </c>
      <c r="BY27" s="151" t="s">
        <v>13234</v>
      </c>
      <c r="BZ27" s="163" t="s">
        <v>1967</v>
      </c>
      <c r="CA27" s="283">
        <v>24881</v>
      </c>
      <c r="CB27" s="163"/>
      <c r="CC27" s="163" t="s">
        <v>11309</v>
      </c>
      <c r="CD27" s="163" t="s">
        <v>118</v>
      </c>
      <c r="CE27" s="163" t="s">
        <v>471</v>
      </c>
      <c r="CF27" s="151"/>
      <c r="CG27" s="163"/>
      <c r="CH27" s="151"/>
      <c r="CI27" s="151"/>
      <c r="CJ27" s="151"/>
      <c r="CK27" s="151"/>
      <c r="CL27" s="151"/>
    </row>
    <row r="28" spans="1:90" s="168" customFormat="1" ht="25.5" customHeight="1">
      <c r="A28" s="151">
        <v>7</v>
      </c>
      <c r="B28" s="152"/>
      <c r="C28" s="152"/>
      <c r="D28" s="6"/>
      <c r="E28" s="6"/>
      <c r="F28" s="6"/>
      <c r="G28" s="151"/>
      <c r="H28" s="153"/>
      <c r="I28" s="154" t="s">
        <v>2452</v>
      </c>
      <c r="J28" s="154" t="s">
        <v>166</v>
      </c>
      <c r="K28" s="154" t="s">
        <v>12128</v>
      </c>
      <c r="L28" s="151"/>
      <c r="M28" s="151">
        <v>2322</v>
      </c>
      <c r="N28" s="398" t="s">
        <v>13540</v>
      </c>
      <c r="O28" s="398" t="s">
        <v>13539</v>
      </c>
      <c r="P28" s="156" t="s">
        <v>12129</v>
      </c>
      <c r="Q28" s="174" t="s">
        <v>12130</v>
      </c>
      <c r="R28" s="151" t="s">
        <v>11331</v>
      </c>
      <c r="S28" s="151" t="s">
        <v>13542</v>
      </c>
      <c r="T28" s="151" t="s">
        <v>12131</v>
      </c>
      <c r="U28" s="151" t="s">
        <v>93</v>
      </c>
      <c r="V28" s="157" t="s">
        <v>94</v>
      </c>
      <c r="W28" s="158">
        <v>43645</v>
      </c>
      <c r="X28" s="159"/>
      <c r="Y28" s="160" t="s">
        <v>95</v>
      </c>
      <c r="Z28" s="154"/>
      <c r="AA28" s="159" t="s">
        <v>96</v>
      </c>
      <c r="AB28" s="151" t="s">
        <v>97</v>
      </c>
      <c r="AC28" s="162" t="s">
        <v>12132</v>
      </c>
      <c r="AD28" s="151">
        <v>7</v>
      </c>
      <c r="AE28" s="151">
        <v>4</v>
      </c>
      <c r="AF28" s="151" t="s">
        <v>942</v>
      </c>
      <c r="AG28" s="151" t="s">
        <v>178</v>
      </c>
      <c r="AH28" s="151" t="s">
        <v>178</v>
      </c>
      <c r="AI28" s="151">
        <v>65143</v>
      </c>
      <c r="AJ28" s="151" t="s">
        <v>103</v>
      </c>
      <c r="AK28" s="163"/>
      <c r="AL28" s="163"/>
      <c r="AM28" s="163" t="s">
        <v>127</v>
      </c>
      <c r="AN28" s="151" t="s">
        <v>12254</v>
      </c>
      <c r="AO28" s="163" t="s">
        <v>3419</v>
      </c>
      <c r="AP28" s="163" t="s">
        <v>12255</v>
      </c>
      <c r="AQ28" s="163"/>
      <c r="AR28" s="163"/>
      <c r="AS28" s="279" t="s">
        <v>4937</v>
      </c>
      <c r="AT28" s="279" t="s">
        <v>2045</v>
      </c>
      <c r="AU28" s="163"/>
      <c r="AV28" s="163" t="s">
        <v>112</v>
      </c>
      <c r="AW28" s="163" t="s">
        <v>392</v>
      </c>
      <c r="AX28" s="163" t="s">
        <v>114</v>
      </c>
      <c r="AY28" s="164" t="s">
        <v>12397</v>
      </c>
      <c r="AZ28" s="151" t="s">
        <v>12469</v>
      </c>
      <c r="BA28" s="163" t="s">
        <v>511</v>
      </c>
      <c r="BB28" s="165">
        <v>33926</v>
      </c>
      <c r="BC28" s="163" t="s">
        <v>96</v>
      </c>
      <c r="BD28" s="163" t="s">
        <v>12525</v>
      </c>
      <c r="BE28" s="163" t="s">
        <v>153</v>
      </c>
      <c r="BF28" s="151" t="s">
        <v>503</v>
      </c>
      <c r="BG28" s="163" t="s">
        <v>12609</v>
      </c>
      <c r="BH28" s="163" t="s">
        <v>12716</v>
      </c>
      <c r="BI28" s="6"/>
      <c r="BJ28" s="166" t="s">
        <v>12827</v>
      </c>
      <c r="BK28" s="151" t="s">
        <v>12828</v>
      </c>
      <c r="BL28" s="167" t="s">
        <v>12929</v>
      </c>
      <c r="BM28" s="151" t="s">
        <v>12999</v>
      </c>
      <c r="BN28" s="151" t="s">
        <v>94</v>
      </c>
      <c r="BO28" s="165">
        <v>33605</v>
      </c>
      <c r="BP28" s="163" t="s">
        <v>96</v>
      </c>
      <c r="BQ28" s="163" t="s">
        <v>12254</v>
      </c>
      <c r="BR28" s="163" t="s">
        <v>153</v>
      </c>
      <c r="BS28" s="151" t="s">
        <v>503</v>
      </c>
      <c r="BT28" s="163" t="s">
        <v>13068</v>
      </c>
      <c r="BU28" s="163" t="s">
        <v>13128</v>
      </c>
      <c r="BV28" s="163"/>
      <c r="BW28" s="163" t="s">
        <v>983</v>
      </c>
      <c r="BX28" s="151" t="s">
        <v>13219</v>
      </c>
      <c r="BY28" s="151" t="s">
        <v>13235</v>
      </c>
      <c r="BZ28" s="163" t="s">
        <v>94</v>
      </c>
      <c r="CA28" s="284">
        <v>22881</v>
      </c>
      <c r="CB28" s="163"/>
      <c r="CC28" s="163" t="s">
        <v>13245</v>
      </c>
      <c r="CD28" s="163" t="s">
        <v>118</v>
      </c>
      <c r="CE28" s="163"/>
      <c r="CF28" s="151"/>
      <c r="CG28" s="163"/>
      <c r="CH28" s="151"/>
      <c r="CI28" s="151"/>
      <c r="CJ28" s="151"/>
      <c r="CK28" s="151"/>
      <c r="CL28" s="151"/>
    </row>
    <row r="29" spans="1:90" s="329" customFormat="1" ht="21" customHeight="1">
      <c r="A29" s="312">
        <v>83</v>
      </c>
      <c r="B29" s="313"/>
      <c r="C29" s="313"/>
      <c r="D29" s="28"/>
      <c r="E29" s="28"/>
      <c r="F29" s="28"/>
      <c r="G29" s="312"/>
      <c r="H29" s="314"/>
      <c r="I29" s="315" t="s">
        <v>2452</v>
      </c>
      <c r="J29" s="315" t="s">
        <v>11735</v>
      </c>
      <c r="K29" s="315" t="s">
        <v>11736</v>
      </c>
      <c r="L29" s="312"/>
      <c r="M29" s="312">
        <v>2243</v>
      </c>
      <c r="N29" s="399" t="s">
        <v>13393</v>
      </c>
      <c r="O29" s="399" t="s">
        <v>13392</v>
      </c>
      <c r="P29" s="316" t="s">
        <v>11737</v>
      </c>
      <c r="Q29" s="386" t="s">
        <v>11738</v>
      </c>
      <c r="R29" s="312" t="s">
        <v>11333</v>
      </c>
      <c r="S29" s="312" t="s">
        <v>13543</v>
      </c>
      <c r="T29" s="312" t="s">
        <v>2974</v>
      </c>
      <c r="U29" s="312" t="s">
        <v>172</v>
      </c>
      <c r="V29" s="317" t="s">
        <v>94</v>
      </c>
      <c r="W29" s="318">
        <v>43458</v>
      </c>
      <c r="X29" s="319"/>
      <c r="Y29" s="320" t="s">
        <v>425</v>
      </c>
      <c r="Z29" s="315" t="s">
        <v>11739</v>
      </c>
      <c r="AA29" s="319" t="s">
        <v>96</v>
      </c>
      <c r="AB29" s="312" t="s">
        <v>97</v>
      </c>
      <c r="AC29" s="321" t="s">
        <v>11740</v>
      </c>
      <c r="AD29" s="312" t="s">
        <v>827</v>
      </c>
      <c r="AE29" s="312" t="s">
        <v>239</v>
      </c>
      <c r="AF29" s="312" t="s">
        <v>11741</v>
      </c>
      <c r="AG29" s="312" t="s">
        <v>687</v>
      </c>
      <c r="AH29" s="322" t="s">
        <v>141</v>
      </c>
      <c r="AI29" s="312">
        <v>65151</v>
      </c>
      <c r="AJ29" s="312" t="s">
        <v>94</v>
      </c>
      <c r="AK29" s="322"/>
      <c r="AL29" s="322"/>
      <c r="AM29" s="322" t="s">
        <v>127</v>
      </c>
      <c r="AN29" s="312" t="s">
        <v>12211</v>
      </c>
      <c r="AO29" s="322">
        <v>1</v>
      </c>
      <c r="AP29" s="322" t="s">
        <v>12258</v>
      </c>
      <c r="AQ29" s="322"/>
      <c r="AR29" s="322"/>
      <c r="AS29" s="323">
        <v>20</v>
      </c>
      <c r="AT29" s="323">
        <v>110</v>
      </c>
      <c r="AU29" s="322"/>
      <c r="AV29" s="322" t="s">
        <v>112</v>
      </c>
      <c r="AW29" s="322" t="s">
        <v>150</v>
      </c>
      <c r="AX29" s="322" t="s">
        <v>183</v>
      </c>
      <c r="AY29" s="324" t="s">
        <v>12320</v>
      </c>
      <c r="AZ29" s="312" t="s">
        <v>12411</v>
      </c>
      <c r="BA29" s="322" t="s">
        <v>395</v>
      </c>
      <c r="BB29" s="325">
        <v>33492</v>
      </c>
      <c r="BC29" s="322" t="s">
        <v>96</v>
      </c>
      <c r="BD29" s="322" t="s">
        <v>12486</v>
      </c>
      <c r="BE29" s="322" t="s">
        <v>153</v>
      </c>
      <c r="BF29" s="312" t="s">
        <v>327</v>
      </c>
      <c r="BG29" s="322" t="s">
        <v>12558</v>
      </c>
      <c r="BH29" s="322" t="s">
        <v>12634</v>
      </c>
      <c r="BI29" s="28"/>
      <c r="BJ29" s="326" t="s">
        <v>2559</v>
      </c>
      <c r="BK29" s="312" t="s">
        <v>12739</v>
      </c>
      <c r="BL29" s="327" t="s">
        <v>12852</v>
      </c>
      <c r="BM29" s="312" t="s">
        <v>12943</v>
      </c>
      <c r="BN29" s="312" t="s">
        <v>94</v>
      </c>
      <c r="BO29" s="325">
        <v>33724</v>
      </c>
      <c r="BP29" s="322" t="s">
        <v>96</v>
      </c>
      <c r="BQ29" s="322" t="s">
        <v>12211</v>
      </c>
      <c r="BR29" s="322" t="s">
        <v>153</v>
      </c>
      <c r="BS29" s="312" t="s">
        <v>247</v>
      </c>
      <c r="BT29" s="322" t="s">
        <v>13041</v>
      </c>
      <c r="BU29" s="322" t="s">
        <v>13080</v>
      </c>
      <c r="BV29" s="322"/>
      <c r="BW29" s="322" t="s">
        <v>250</v>
      </c>
      <c r="BX29" s="312" t="s">
        <v>13150</v>
      </c>
      <c r="BY29" s="312"/>
      <c r="BZ29" s="322" t="s">
        <v>108</v>
      </c>
      <c r="CA29" s="328"/>
      <c r="CB29" s="322"/>
      <c r="CC29" s="322"/>
      <c r="CD29" s="322"/>
      <c r="CE29" s="322"/>
      <c r="CF29" s="312"/>
      <c r="CG29" s="322"/>
      <c r="CH29" s="312"/>
      <c r="CI29" s="312"/>
      <c r="CJ29" s="312"/>
      <c r="CK29" s="312"/>
      <c r="CL29" s="312"/>
    </row>
    <row r="30" spans="1:90" s="168" customFormat="1" ht="21" customHeight="1">
      <c r="A30" s="151">
        <v>85</v>
      </c>
      <c r="B30" s="152"/>
      <c r="C30" s="152"/>
      <c r="D30" s="6"/>
      <c r="E30" s="6"/>
      <c r="F30" s="6"/>
      <c r="G30" s="151"/>
      <c r="H30" s="153"/>
      <c r="I30" s="169" t="s">
        <v>2452</v>
      </c>
      <c r="J30" s="169" t="s">
        <v>10506</v>
      </c>
      <c r="K30" s="169" t="s">
        <v>4014</v>
      </c>
      <c r="L30" s="151"/>
      <c r="M30" s="151">
        <v>2227</v>
      </c>
      <c r="N30" s="168">
        <v>3187956648</v>
      </c>
      <c r="O30" s="398" t="s">
        <v>13373</v>
      </c>
      <c r="P30" s="170" t="s">
        <v>11656</v>
      </c>
      <c r="Q30" s="174" t="s">
        <v>11657</v>
      </c>
      <c r="R30" s="151" t="s">
        <v>11333</v>
      </c>
      <c r="S30" s="407" t="s">
        <v>13543</v>
      </c>
      <c r="T30" s="151" t="s">
        <v>11658</v>
      </c>
      <c r="U30" s="151" t="s">
        <v>93</v>
      </c>
      <c r="V30" s="157" t="s">
        <v>94</v>
      </c>
      <c r="W30" s="171">
        <v>43453</v>
      </c>
      <c r="X30" s="159"/>
      <c r="Y30" s="172" t="s">
        <v>95</v>
      </c>
      <c r="Z30" s="173"/>
      <c r="AA30" s="159" t="s">
        <v>96</v>
      </c>
      <c r="AB30" s="151" t="s">
        <v>97</v>
      </c>
      <c r="AC30" s="162" t="s">
        <v>11659</v>
      </c>
      <c r="AD30" s="151">
        <v>1</v>
      </c>
      <c r="AE30" s="151">
        <v>4</v>
      </c>
      <c r="AF30" s="151" t="s">
        <v>177</v>
      </c>
      <c r="AG30" s="151" t="s">
        <v>178</v>
      </c>
      <c r="AH30" s="151" t="s">
        <v>178</v>
      </c>
      <c r="AI30" s="151">
        <v>65143</v>
      </c>
      <c r="AJ30" s="151" t="s">
        <v>94</v>
      </c>
      <c r="AK30" s="163"/>
      <c r="AL30" s="163"/>
      <c r="AM30" s="163" t="s">
        <v>12158</v>
      </c>
      <c r="AN30" s="151" t="s">
        <v>12158</v>
      </c>
      <c r="AO30" s="163">
        <v>1</v>
      </c>
      <c r="AP30" s="163">
        <v>1</v>
      </c>
      <c r="AQ30" s="163"/>
      <c r="AR30" s="163"/>
      <c r="AS30" s="280">
        <v>19</v>
      </c>
      <c r="AT30" s="280">
        <v>108</v>
      </c>
      <c r="AU30" s="163"/>
      <c r="AV30" s="163" t="s">
        <v>212</v>
      </c>
      <c r="AW30" s="163" t="s">
        <v>40</v>
      </c>
      <c r="AX30" s="163" t="s">
        <v>114</v>
      </c>
      <c r="AY30" s="164" t="s">
        <v>12304</v>
      </c>
      <c r="AZ30" s="151" t="s">
        <v>12402</v>
      </c>
      <c r="BA30" s="163" t="s">
        <v>94</v>
      </c>
      <c r="BB30" s="165">
        <v>32534</v>
      </c>
      <c r="BC30" s="163" t="s">
        <v>96</v>
      </c>
      <c r="BD30" s="163" t="s">
        <v>12158</v>
      </c>
      <c r="BE30" s="163" t="s">
        <v>118</v>
      </c>
      <c r="BF30" s="151" t="s">
        <v>276</v>
      </c>
      <c r="BG30" s="163" t="s">
        <v>12548</v>
      </c>
      <c r="BH30" s="163" t="s">
        <v>12617</v>
      </c>
      <c r="BI30" s="6"/>
      <c r="BJ30" s="166">
        <v>15000000</v>
      </c>
      <c r="BK30" s="151" t="s">
        <v>12723</v>
      </c>
      <c r="BL30" s="167" t="s">
        <v>12836</v>
      </c>
      <c r="BM30" s="151" t="s">
        <v>12934</v>
      </c>
      <c r="BN30" s="151" t="s">
        <v>94</v>
      </c>
      <c r="BO30" s="165">
        <v>32666</v>
      </c>
      <c r="BP30" s="163" t="s">
        <v>96</v>
      </c>
      <c r="BQ30" s="163" t="s">
        <v>13006</v>
      </c>
      <c r="BR30" s="163" t="s">
        <v>118</v>
      </c>
      <c r="BS30" s="151" t="s">
        <v>503</v>
      </c>
      <c r="BT30" s="163" t="s">
        <v>13038</v>
      </c>
      <c r="BU30" s="163" t="s">
        <v>13072</v>
      </c>
      <c r="BV30" s="163"/>
      <c r="BW30" s="163" t="s">
        <v>13137</v>
      </c>
      <c r="BX30" s="151" t="s">
        <v>13138</v>
      </c>
      <c r="BY30" s="151"/>
      <c r="BZ30" s="163" t="s">
        <v>108</v>
      </c>
      <c r="CA30" s="282"/>
      <c r="CB30" s="163"/>
      <c r="CC30" s="163"/>
      <c r="CD30" s="163"/>
      <c r="CE30" s="163"/>
      <c r="CF30" s="151"/>
      <c r="CG30" s="163"/>
      <c r="CH30" s="151"/>
      <c r="CI30" s="151"/>
      <c r="CJ30" s="151"/>
      <c r="CK30" s="151"/>
      <c r="CL30" s="151"/>
    </row>
    <row r="31" spans="1:90" s="168" customFormat="1" ht="21" customHeight="1">
      <c r="A31" s="151">
        <v>31</v>
      </c>
      <c r="B31" s="152"/>
      <c r="C31" s="152"/>
      <c r="D31" s="6"/>
      <c r="E31" s="6"/>
      <c r="F31" s="6"/>
      <c r="G31" s="151"/>
      <c r="H31" s="153"/>
      <c r="I31" s="169" t="s">
        <v>2452</v>
      </c>
      <c r="J31" s="169" t="s">
        <v>166</v>
      </c>
      <c r="K31" s="169" t="s">
        <v>585</v>
      </c>
      <c r="L31" s="151"/>
      <c r="M31" s="151">
        <v>2229</v>
      </c>
      <c r="N31" s="398" t="s">
        <v>13376</v>
      </c>
      <c r="O31" s="398" t="s">
        <v>7127</v>
      </c>
      <c r="P31" s="170" t="s">
        <v>11665</v>
      </c>
      <c r="Q31" s="174" t="s">
        <v>11666</v>
      </c>
      <c r="R31" s="151" t="s">
        <v>11333</v>
      </c>
      <c r="S31" s="407" t="s">
        <v>13543</v>
      </c>
      <c r="T31" s="151" t="s">
        <v>11667</v>
      </c>
      <c r="U31" s="151" t="s">
        <v>93</v>
      </c>
      <c r="V31" s="157" t="s">
        <v>94</v>
      </c>
      <c r="W31" s="171">
        <v>43836</v>
      </c>
      <c r="X31" s="159"/>
      <c r="Y31" s="172" t="s">
        <v>95</v>
      </c>
      <c r="Z31" s="173"/>
      <c r="AA31" s="159" t="s">
        <v>96</v>
      </c>
      <c r="AB31" s="151" t="s">
        <v>97</v>
      </c>
      <c r="AC31" s="162" t="s">
        <v>11668</v>
      </c>
      <c r="AD31" s="151" t="s">
        <v>1281</v>
      </c>
      <c r="AE31" s="151" t="s">
        <v>176</v>
      </c>
      <c r="AF31" s="151" t="s">
        <v>755</v>
      </c>
      <c r="AG31" s="151" t="s">
        <v>102</v>
      </c>
      <c r="AH31" s="163" t="s">
        <v>102</v>
      </c>
      <c r="AI31" s="151">
        <v>65146</v>
      </c>
      <c r="AJ31" s="151" t="s">
        <v>103</v>
      </c>
      <c r="AK31" s="163"/>
      <c r="AL31" s="163"/>
      <c r="AM31" s="163" t="s">
        <v>7135</v>
      </c>
      <c r="AN31" s="151" t="s">
        <v>7134</v>
      </c>
      <c r="AO31" s="163">
        <v>2</v>
      </c>
      <c r="AP31" s="163">
        <v>1</v>
      </c>
      <c r="AQ31" s="163"/>
      <c r="AR31" s="163"/>
      <c r="AS31" s="280" t="s">
        <v>12269</v>
      </c>
      <c r="AT31" s="280" t="s">
        <v>5307</v>
      </c>
      <c r="AU31" s="163"/>
      <c r="AV31" s="163" t="s">
        <v>112</v>
      </c>
      <c r="AW31" s="163" t="s">
        <v>150</v>
      </c>
      <c r="AX31" s="163" t="s">
        <v>183</v>
      </c>
      <c r="AY31" s="164" t="s">
        <v>12306</v>
      </c>
      <c r="AZ31" s="151" t="s">
        <v>7138</v>
      </c>
      <c r="BA31" s="163" t="s">
        <v>94</v>
      </c>
      <c r="BB31" s="165">
        <v>32914</v>
      </c>
      <c r="BC31" s="163" t="s">
        <v>96</v>
      </c>
      <c r="BD31" s="163" t="s">
        <v>7135</v>
      </c>
      <c r="BE31" s="163" t="s">
        <v>216</v>
      </c>
      <c r="BF31" s="151" t="s">
        <v>4271</v>
      </c>
      <c r="BG31" s="163" t="s">
        <v>12550</v>
      </c>
      <c r="BH31" s="163" t="s">
        <v>12619</v>
      </c>
      <c r="BI31" s="6" t="s">
        <v>7135</v>
      </c>
      <c r="BJ31" s="166" t="s">
        <v>12725</v>
      </c>
      <c r="BK31" s="151" t="s">
        <v>12726</v>
      </c>
      <c r="BL31" s="167" t="s">
        <v>12838</v>
      </c>
      <c r="BM31" s="151" t="s">
        <v>7144</v>
      </c>
      <c r="BN31" s="151" t="s">
        <v>5903</v>
      </c>
      <c r="BO31" s="165">
        <v>32903</v>
      </c>
      <c r="BP31" s="163" t="s">
        <v>96</v>
      </c>
      <c r="BQ31" s="163" t="s">
        <v>7134</v>
      </c>
      <c r="BR31" s="163" t="s">
        <v>216</v>
      </c>
      <c r="BS31" s="151" t="s">
        <v>126</v>
      </c>
      <c r="BT31" s="163" t="s">
        <v>452</v>
      </c>
      <c r="BU31" s="163" t="s">
        <v>11668</v>
      </c>
      <c r="BV31" s="163" t="s">
        <v>7134</v>
      </c>
      <c r="BW31" s="163">
        <v>0</v>
      </c>
      <c r="BX31" s="151" t="s">
        <v>13140</v>
      </c>
      <c r="BY31" s="151"/>
      <c r="BZ31" s="163" t="s">
        <v>108</v>
      </c>
      <c r="CA31" s="282"/>
      <c r="CB31" s="163"/>
      <c r="CC31" s="163"/>
      <c r="CD31" s="163"/>
      <c r="CE31" s="163"/>
      <c r="CF31" s="151"/>
      <c r="CG31" s="163"/>
      <c r="CH31" s="151"/>
      <c r="CI31" s="151"/>
      <c r="CJ31" s="151"/>
      <c r="CK31" s="151"/>
      <c r="CL31" s="151"/>
    </row>
    <row r="32" spans="1:90" s="168" customFormat="1" ht="21" customHeight="1">
      <c r="A32" s="151">
        <v>49</v>
      </c>
      <c r="B32" s="152"/>
      <c r="C32" s="152"/>
      <c r="D32" s="6"/>
      <c r="E32" s="6"/>
      <c r="F32" s="6"/>
      <c r="G32" s="151"/>
      <c r="H32" s="153"/>
      <c r="I32" s="169" t="s">
        <v>2452</v>
      </c>
      <c r="J32" s="169" t="s">
        <v>8569</v>
      </c>
      <c r="K32" s="169" t="s">
        <v>2158</v>
      </c>
      <c r="L32" s="151"/>
      <c r="M32" s="151">
        <v>2237</v>
      </c>
      <c r="N32" s="151">
        <v>3193132028</v>
      </c>
      <c r="O32" s="398" t="s">
        <v>8416</v>
      </c>
      <c r="P32" s="170" t="s">
        <v>11705</v>
      </c>
      <c r="Q32" s="174" t="s">
        <v>11706</v>
      </c>
      <c r="R32" s="151" t="s">
        <v>11333</v>
      </c>
      <c r="S32" s="407" t="s">
        <v>13543</v>
      </c>
      <c r="T32" s="151" t="s">
        <v>888</v>
      </c>
      <c r="U32" s="151" t="s">
        <v>93</v>
      </c>
      <c r="V32" s="157" t="s">
        <v>94</v>
      </c>
      <c r="W32" s="171">
        <v>43807</v>
      </c>
      <c r="X32" s="159"/>
      <c r="Y32" s="172" t="s">
        <v>95</v>
      </c>
      <c r="Z32" s="173"/>
      <c r="AA32" s="159" t="s">
        <v>96</v>
      </c>
      <c r="AB32" s="151" t="s">
        <v>97</v>
      </c>
      <c r="AC32" s="162" t="s">
        <v>11707</v>
      </c>
      <c r="AD32" s="151" t="s">
        <v>384</v>
      </c>
      <c r="AE32" s="151">
        <v>14</v>
      </c>
      <c r="AF32" s="151" t="s">
        <v>2158</v>
      </c>
      <c r="AG32" s="151" t="s">
        <v>2159</v>
      </c>
      <c r="AH32" s="163" t="s">
        <v>2159</v>
      </c>
      <c r="AI32" s="151">
        <v>65139</v>
      </c>
      <c r="AJ32" s="151" t="s">
        <v>103</v>
      </c>
      <c r="AK32" s="163"/>
      <c r="AL32" s="163"/>
      <c r="AM32" s="163" t="s">
        <v>12161</v>
      </c>
      <c r="AN32" s="151" t="s">
        <v>12161</v>
      </c>
      <c r="AO32" s="163">
        <v>2</v>
      </c>
      <c r="AP32" s="163">
        <v>1</v>
      </c>
      <c r="AQ32" s="163"/>
      <c r="AR32" s="163"/>
      <c r="AS32" s="280">
        <v>15</v>
      </c>
      <c r="AT32" s="280">
        <v>108</v>
      </c>
      <c r="AU32" s="163"/>
      <c r="AV32" s="163" t="s">
        <v>112</v>
      </c>
      <c r="AW32" s="163" t="s">
        <v>163</v>
      </c>
      <c r="AX32" s="163" t="s">
        <v>183</v>
      </c>
      <c r="AY32" s="164" t="s">
        <v>12314</v>
      </c>
      <c r="AZ32" s="151" t="s">
        <v>8423</v>
      </c>
      <c r="BA32" s="163" t="s">
        <v>511</v>
      </c>
      <c r="BB32" s="165">
        <v>31696</v>
      </c>
      <c r="BC32" s="163" t="s">
        <v>96</v>
      </c>
      <c r="BD32" s="163" t="s">
        <v>12161</v>
      </c>
      <c r="BE32" s="163" t="s">
        <v>118</v>
      </c>
      <c r="BF32" s="151" t="s">
        <v>195</v>
      </c>
      <c r="BG32" s="163" t="s">
        <v>12554</v>
      </c>
      <c r="BH32" s="163" t="s">
        <v>12627</v>
      </c>
      <c r="BI32" s="6" t="s">
        <v>12161</v>
      </c>
      <c r="BJ32" s="166">
        <v>5000000</v>
      </c>
      <c r="BK32" s="151" t="s">
        <v>8425</v>
      </c>
      <c r="BL32" s="167" t="s">
        <v>12846</v>
      </c>
      <c r="BM32" s="151" t="s">
        <v>8427</v>
      </c>
      <c r="BN32" s="151" t="s">
        <v>94</v>
      </c>
      <c r="BO32" s="165">
        <v>31953</v>
      </c>
      <c r="BP32" s="163" t="s">
        <v>96</v>
      </c>
      <c r="BQ32" s="163" t="s">
        <v>8421</v>
      </c>
      <c r="BR32" s="163" t="s">
        <v>118</v>
      </c>
      <c r="BS32" s="151" t="s">
        <v>195</v>
      </c>
      <c r="BT32" s="163" t="s">
        <v>12554</v>
      </c>
      <c r="BU32" s="163" t="s">
        <v>13076</v>
      </c>
      <c r="BV32" s="163" t="s">
        <v>8421</v>
      </c>
      <c r="BW32" s="163">
        <v>5000000</v>
      </c>
      <c r="BX32" s="151" t="s">
        <v>8429</v>
      </c>
      <c r="BY32" s="151"/>
      <c r="BZ32" s="163" t="s">
        <v>108</v>
      </c>
      <c r="CA32" s="282"/>
      <c r="CB32" s="163"/>
      <c r="CC32" s="163"/>
      <c r="CD32" s="163"/>
      <c r="CE32" s="163"/>
      <c r="CF32" s="151"/>
      <c r="CG32" s="163"/>
      <c r="CH32" s="151"/>
      <c r="CI32" s="151"/>
      <c r="CJ32" s="151"/>
      <c r="CK32" s="151"/>
      <c r="CL32" s="151"/>
    </row>
    <row r="33" spans="1:90" s="168" customFormat="1" ht="21" customHeight="1">
      <c r="A33" s="151">
        <v>13</v>
      </c>
      <c r="B33" s="152"/>
      <c r="C33" s="152"/>
      <c r="D33" s="6"/>
      <c r="E33" s="6"/>
      <c r="F33" s="6"/>
      <c r="G33" s="151"/>
      <c r="H33" s="153"/>
      <c r="I33" s="154" t="s">
        <v>2452</v>
      </c>
      <c r="J33" s="154" t="s">
        <v>257</v>
      </c>
      <c r="K33" s="154" t="s">
        <v>11708</v>
      </c>
      <c r="L33" s="151"/>
      <c r="M33" s="151">
        <v>2238</v>
      </c>
      <c r="N33" s="151">
        <v>3190327329</v>
      </c>
      <c r="O33" s="398" t="s">
        <v>2018</v>
      </c>
      <c r="P33" s="156" t="s">
        <v>11709</v>
      </c>
      <c r="Q33" s="174" t="s">
        <v>11710</v>
      </c>
      <c r="R33" s="151" t="s">
        <v>11333</v>
      </c>
      <c r="S33" s="407" t="s">
        <v>13543</v>
      </c>
      <c r="T33" s="151" t="s">
        <v>11711</v>
      </c>
      <c r="U33" s="151" t="s">
        <v>93</v>
      </c>
      <c r="V33" s="157" t="s">
        <v>94</v>
      </c>
      <c r="W33" s="158">
        <v>43681</v>
      </c>
      <c r="X33" s="159"/>
      <c r="Y33" s="160" t="s">
        <v>95</v>
      </c>
      <c r="Z33" s="161"/>
      <c r="AA33" s="159" t="s">
        <v>96</v>
      </c>
      <c r="AB33" s="151" t="s">
        <v>97</v>
      </c>
      <c r="AC33" s="162" t="s">
        <v>11712</v>
      </c>
      <c r="AD33" s="151">
        <v>10</v>
      </c>
      <c r="AE33" s="151">
        <v>10</v>
      </c>
      <c r="AF33" s="151" t="s">
        <v>11713</v>
      </c>
      <c r="AG33" s="151" t="s">
        <v>263</v>
      </c>
      <c r="AH33" s="163" t="s">
        <v>141</v>
      </c>
      <c r="AI33" s="151">
        <v>65315</v>
      </c>
      <c r="AJ33" s="151" t="s">
        <v>263</v>
      </c>
      <c r="AK33" s="163"/>
      <c r="AL33" s="163"/>
      <c r="AM33" s="163">
        <v>0</v>
      </c>
      <c r="AN33" s="151" t="s">
        <v>12210</v>
      </c>
      <c r="AO33" s="163">
        <v>2</v>
      </c>
      <c r="AP33" s="163">
        <v>1</v>
      </c>
      <c r="AQ33" s="163"/>
      <c r="AR33" s="163"/>
      <c r="AS33" s="279" t="s">
        <v>8786</v>
      </c>
      <c r="AT33" s="279" t="s">
        <v>9232</v>
      </c>
      <c r="AU33" s="163"/>
      <c r="AV33" s="163" t="s">
        <v>112</v>
      </c>
      <c r="AW33" s="163" t="s">
        <v>549</v>
      </c>
      <c r="AX33" s="163" t="s">
        <v>114</v>
      </c>
      <c r="AY33" s="164" t="s">
        <v>12315</v>
      </c>
      <c r="AZ33" s="151" t="s">
        <v>2028</v>
      </c>
      <c r="BA33" s="163" t="s">
        <v>94</v>
      </c>
      <c r="BB33" s="165">
        <v>32691</v>
      </c>
      <c r="BC33" s="163" t="s">
        <v>96</v>
      </c>
      <c r="BD33" s="163" t="s">
        <v>2029</v>
      </c>
      <c r="BE33" s="163" t="s">
        <v>118</v>
      </c>
      <c r="BF33" s="151" t="s">
        <v>276</v>
      </c>
      <c r="BG33" s="163" t="s">
        <v>12555</v>
      </c>
      <c r="BH33" s="163" t="s">
        <v>12628</v>
      </c>
      <c r="BI33" s="6">
        <v>0</v>
      </c>
      <c r="BJ33" s="166" t="s">
        <v>12735</v>
      </c>
      <c r="BK33" s="151" t="s">
        <v>2034</v>
      </c>
      <c r="BL33" s="167" t="s">
        <v>12847</v>
      </c>
      <c r="BM33" s="151" t="s">
        <v>2036</v>
      </c>
      <c r="BN33" s="151" t="s">
        <v>444</v>
      </c>
      <c r="BO33" s="165">
        <v>33907</v>
      </c>
      <c r="BP33" s="163" t="s">
        <v>96</v>
      </c>
      <c r="BQ33" s="163" t="s">
        <v>2026</v>
      </c>
      <c r="BR33" s="163" t="s">
        <v>118</v>
      </c>
      <c r="BS33" s="151" t="s">
        <v>247</v>
      </c>
      <c r="BT33" s="163" t="s">
        <v>13040</v>
      </c>
      <c r="BU33" s="163" t="s">
        <v>13077</v>
      </c>
      <c r="BV33" s="163">
        <v>0</v>
      </c>
      <c r="BW33" s="163" t="s">
        <v>7341</v>
      </c>
      <c r="BX33" s="151" t="s">
        <v>2037</v>
      </c>
      <c r="BY33" s="151"/>
      <c r="BZ33" s="163" t="s">
        <v>108</v>
      </c>
      <c r="CA33" s="281"/>
      <c r="CB33" s="163"/>
      <c r="CC33" s="163"/>
      <c r="CD33" s="163"/>
      <c r="CE33" s="163"/>
      <c r="CF33" s="151"/>
      <c r="CG33" s="163"/>
      <c r="CH33" s="151"/>
      <c r="CI33" s="151"/>
      <c r="CJ33" s="151"/>
      <c r="CK33" s="151"/>
      <c r="CL33" s="151"/>
    </row>
    <row r="34" spans="1:90" s="168" customFormat="1" ht="21" customHeight="1">
      <c r="A34" s="151">
        <v>22</v>
      </c>
      <c r="B34" s="152"/>
      <c r="C34" s="152"/>
      <c r="D34" s="6"/>
      <c r="E34" s="6"/>
      <c r="F34" s="6"/>
      <c r="G34" s="151"/>
      <c r="H34" s="153"/>
      <c r="I34" s="169" t="s">
        <v>2452</v>
      </c>
      <c r="J34" s="169" t="s">
        <v>6522</v>
      </c>
      <c r="K34" s="169" t="s">
        <v>11725</v>
      </c>
      <c r="L34" s="151"/>
      <c r="M34" s="151">
        <v>2241</v>
      </c>
      <c r="N34" s="398" t="s">
        <v>13390</v>
      </c>
      <c r="O34" s="398" t="s">
        <v>13389</v>
      </c>
      <c r="P34" s="170" t="s">
        <v>11726</v>
      </c>
      <c r="Q34" s="174" t="s">
        <v>11727</v>
      </c>
      <c r="R34" s="151" t="s">
        <v>11333</v>
      </c>
      <c r="S34" s="407" t="s">
        <v>13543</v>
      </c>
      <c r="T34" s="151" t="s">
        <v>11728</v>
      </c>
      <c r="U34" s="151" t="s">
        <v>93</v>
      </c>
      <c r="V34" s="157" t="s">
        <v>94</v>
      </c>
      <c r="W34" s="171">
        <v>43904</v>
      </c>
      <c r="X34" s="159"/>
      <c r="Y34" s="172" t="s">
        <v>95</v>
      </c>
      <c r="Z34" s="173"/>
      <c r="AA34" s="159" t="s">
        <v>96</v>
      </c>
      <c r="AB34" s="151" t="s">
        <v>97</v>
      </c>
      <c r="AC34" s="162" t="s">
        <v>11729</v>
      </c>
      <c r="AD34" s="151" t="s">
        <v>2589</v>
      </c>
      <c r="AE34" s="151" t="s">
        <v>265</v>
      </c>
      <c r="AF34" s="151" t="s">
        <v>1840</v>
      </c>
      <c r="AG34" s="151" t="s">
        <v>178</v>
      </c>
      <c r="AH34" s="151" t="s">
        <v>178</v>
      </c>
      <c r="AI34" s="151">
        <v>65142</v>
      </c>
      <c r="AJ34" s="151" t="s">
        <v>94</v>
      </c>
      <c r="AK34" s="163"/>
      <c r="AL34" s="163"/>
      <c r="AM34" s="163" t="s">
        <v>12164</v>
      </c>
      <c r="AN34" s="151" t="s">
        <v>12164</v>
      </c>
      <c r="AO34" s="163">
        <v>1</v>
      </c>
      <c r="AP34" s="163">
        <v>1</v>
      </c>
      <c r="AQ34" s="163"/>
      <c r="AR34" s="163"/>
      <c r="AS34" s="280">
        <v>18</v>
      </c>
      <c r="AT34" s="280">
        <v>110</v>
      </c>
      <c r="AU34" s="163"/>
      <c r="AV34" s="163" t="s">
        <v>112</v>
      </c>
      <c r="AW34" s="163" t="s">
        <v>549</v>
      </c>
      <c r="AX34" s="163" t="s">
        <v>183</v>
      </c>
      <c r="AY34" s="164" t="s">
        <v>12318</v>
      </c>
      <c r="AZ34" s="151" t="s">
        <v>12410</v>
      </c>
      <c r="BA34" s="163" t="s">
        <v>719</v>
      </c>
      <c r="BB34" s="165">
        <v>34004</v>
      </c>
      <c r="BC34" s="163" t="s">
        <v>96</v>
      </c>
      <c r="BD34" s="163" t="s">
        <v>12164</v>
      </c>
      <c r="BE34" s="163" t="s">
        <v>153</v>
      </c>
      <c r="BF34" s="151" t="s">
        <v>154</v>
      </c>
      <c r="BG34" s="163" t="s">
        <v>12557</v>
      </c>
      <c r="BH34" s="163" t="s">
        <v>12632</v>
      </c>
      <c r="BI34" s="6" t="s">
        <v>1251</v>
      </c>
      <c r="BJ34" s="166" t="s">
        <v>1829</v>
      </c>
      <c r="BK34" s="151" t="s">
        <v>12737</v>
      </c>
      <c r="BL34" s="167" t="s">
        <v>12850</v>
      </c>
      <c r="BM34" s="151" t="s">
        <v>12942</v>
      </c>
      <c r="BN34" s="151" t="s">
        <v>94</v>
      </c>
      <c r="BO34" s="165">
        <v>34144</v>
      </c>
      <c r="BP34" s="163" t="s">
        <v>96</v>
      </c>
      <c r="BQ34" s="163" t="s">
        <v>13008</v>
      </c>
      <c r="BR34" s="163" t="s">
        <v>153</v>
      </c>
      <c r="BS34" s="151" t="s">
        <v>154</v>
      </c>
      <c r="BT34" s="163" t="s">
        <v>12557</v>
      </c>
      <c r="BU34" s="163" t="s">
        <v>12632</v>
      </c>
      <c r="BV34" s="163" t="s">
        <v>1251</v>
      </c>
      <c r="BW34" s="163" t="s">
        <v>1829</v>
      </c>
      <c r="BX34" s="151" t="s">
        <v>13148</v>
      </c>
      <c r="BY34" s="151"/>
      <c r="BZ34" s="163" t="s">
        <v>108</v>
      </c>
      <c r="CA34" s="282"/>
      <c r="CB34" s="163"/>
      <c r="CC34" s="163"/>
      <c r="CD34" s="163"/>
      <c r="CE34" s="163"/>
      <c r="CF34" s="151"/>
      <c r="CG34" s="163"/>
      <c r="CH34" s="151"/>
      <c r="CI34" s="151"/>
      <c r="CJ34" s="151"/>
      <c r="CK34" s="151"/>
      <c r="CL34" s="151"/>
    </row>
    <row r="35" spans="1:90" s="168" customFormat="1" ht="21" customHeight="1">
      <c r="A35" s="151">
        <v>78</v>
      </c>
      <c r="B35" s="152"/>
      <c r="C35" s="152"/>
      <c r="D35" s="6"/>
      <c r="E35" s="6"/>
      <c r="F35" s="6"/>
      <c r="G35" s="151"/>
      <c r="H35" s="153"/>
      <c r="I35" s="169" t="s">
        <v>2452</v>
      </c>
      <c r="J35" s="169" t="s">
        <v>11774</v>
      </c>
      <c r="K35" s="169" t="s">
        <v>11775</v>
      </c>
      <c r="L35" s="151"/>
      <c r="M35" s="151">
        <v>2249</v>
      </c>
      <c r="N35" s="398" t="s">
        <v>108</v>
      </c>
      <c r="O35" s="398" t="s">
        <v>13402</v>
      </c>
      <c r="P35" s="170" t="s">
        <v>11776</v>
      </c>
      <c r="Q35" s="174" t="s">
        <v>11777</v>
      </c>
      <c r="R35" s="151" t="s">
        <v>11333</v>
      </c>
      <c r="S35" s="407" t="s">
        <v>13543</v>
      </c>
      <c r="T35" s="151" t="s">
        <v>11778</v>
      </c>
      <c r="U35" s="151" t="s">
        <v>93</v>
      </c>
      <c r="V35" s="157" t="s">
        <v>94</v>
      </c>
      <c r="W35" s="171">
        <v>43918</v>
      </c>
      <c r="X35" s="159"/>
      <c r="Y35" s="172" t="s">
        <v>95</v>
      </c>
      <c r="Z35" s="173"/>
      <c r="AA35" s="159" t="s">
        <v>96</v>
      </c>
      <c r="AB35" s="151" t="s">
        <v>97</v>
      </c>
      <c r="AC35" s="162" t="s">
        <v>11779</v>
      </c>
      <c r="AD35" s="151" t="s">
        <v>966</v>
      </c>
      <c r="AE35" s="151" t="s">
        <v>358</v>
      </c>
      <c r="AF35" s="151" t="s">
        <v>177</v>
      </c>
      <c r="AG35" s="151" t="s">
        <v>178</v>
      </c>
      <c r="AH35" s="151" t="s">
        <v>178</v>
      </c>
      <c r="AI35" s="151">
        <v>65142</v>
      </c>
      <c r="AJ35" s="151" t="s">
        <v>94</v>
      </c>
      <c r="AK35" s="163"/>
      <c r="AL35" s="163"/>
      <c r="AM35" s="163" t="s">
        <v>12166</v>
      </c>
      <c r="AN35" s="151" t="s">
        <v>12166</v>
      </c>
      <c r="AO35" s="163">
        <v>1</v>
      </c>
      <c r="AP35" s="163">
        <v>1</v>
      </c>
      <c r="AQ35" s="163"/>
      <c r="AR35" s="163"/>
      <c r="AS35" s="280">
        <v>19</v>
      </c>
      <c r="AT35" s="280">
        <v>120</v>
      </c>
      <c r="AU35" s="163"/>
      <c r="AV35" s="163" t="s">
        <v>112</v>
      </c>
      <c r="AW35" s="163" t="s">
        <v>150</v>
      </c>
      <c r="AX35" s="163" t="s">
        <v>114</v>
      </c>
      <c r="AY35" s="164" t="s">
        <v>12326</v>
      </c>
      <c r="AZ35" s="151" t="s">
        <v>12416</v>
      </c>
      <c r="BA35" s="163" t="s">
        <v>12471</v>
      </c>
      <c r="BB35" s="165">
        <v>33607</v>
      </c>
      <c r="BC35" s="163" t="s">
        <v>96</v>
      </c>
      <c r="BD35" s="163" t="s">
        <v>12166</v>
      </c>
      <c r="BE35" s="163" t="s">
        <v>224</v>
      </c>
      <c r="BF35" s="151" t="s">
        <v>12530</v>
      </c>
      <c r="BG35" s="163" t="s">
        <v>12560</v>
      </c>
      <c r="BH35" s="163" t="s">
        <v>12642</v>
      </c>
      <c r="BI35" s="6"/>
      <c r="BJ35" s="166" t="s">
        <v>12745</v>
      </c>
      <c r="BK35" s="151" t="s">
        <v>12746</v>
      </c>
      <c r="BL35" s="167" t="s">
        <v>12858</v>
      </c>
      <c r="BM35" s="151" t="s">
        <v>12948</v>
      </c>
      <c r="BN35" s="151" t="s">
        <v>13001</v>
      </c>
      <c r="BO35" s="165">
        <v>33486</v>
      </c>
      <c r="BP35" s="163" t="s">
        <v>96</v>
      </c>
      <c r="BQ35" s="163" t="s">
        <v>13010</v>
      </c>
      <c r="BR35" s="163" t="s">
        <v>118</v>
      </c>
      <c r="BS35" s="151" t="s">
        <v>925</v>
      </c>
      <c r="BT35" s="163" t="s">
        <v>13044</v>
      </c>
      <c r="BU35" s="163" t="s">
        <v>13085</v>
      </c>
      <c r="BV35" s="163"/>
      <c r="BW35" s="163" t="s">
        <v>13154</v>
      </c>
      <c r="BX35" s="151" t="s">
        <v>13155</v>
      </c>
      <c r="BY35" s="151"/>
      <c r="BZ35" s="163" t="s">
        <v>108</v>
      </c>
      <c r="CA35" s="282"/>
      <c r="CB35" s="163"/>
      <c r="CC35" s="163"/>
      <c r="CD35" s="163"/>
      <c r="CE35" s="163"/>
      <c r="CF35" s="151"/>
      <c r="CG35" s="163"/>
      <c r="CH35" s="151"/>
      <c r="CI35" s="151"/>
      <c r="CJ35" s="151"/>
      <c r="CK35" s="151"/>
      <c r="CL35" s="151"/>
    </row>
    <row r="36" spans="1:90" s="168" customFormat="1" ht="21" customHeight="1">
      <c r="A36" s="151">
        <v>12</v>
      </c>
      <c r="B36" s="152"/>
      <c r="C36" s="152"/>
      <c r="D36" s="6"/>
      <c r="E36" s="6"/>
      <c r="F36" s="6"/>
      <c r="G36" s="151"/>
      <c r="H36" s="153"/>
      <c r="I36" s="169" t="s">
        <v>2452</v>
      </c>
      <c r="J36" s="169" t="s">
        <v>11795</v>
      </c>
      <c r="K36" s="169" t="s">
        <v>11796</v>
      </c>
      <c r="L36" s="151"/>
      <c r="M36" s="151">
        <v>2253</v>
      </c>
      <c r="N36" s="398" t="s">
        <v>13409</v>
      </c>
      <c r="O36" s="398" t="s">
        <v>13408</v>
      </c>
      <c r="P36" s="170" t="s">
        <v>11797</v>
      </c>
      <c r="Q36" s="174" t="s">
        <v>11798</v>
      </c>
      <c r="R36" s="151" t="s">
        <v>11333</v>
      </c>
      <c r="S36" s="407" t="s">
        <v>13543</v>
      </c>
      <c r="T36" s="151" t="s">
        <v>11799</v>
      </c>
      <c r="U36" s="151" t="s">
        <v>93</v>
      </c>
      <c r="V36" s="157" t="s">
        <v>4601</v>
      </c>
      <c r="W36" s="171">
        <v>43634</v>
      </c>
      <c r="X36" s="159"/>
      <c r="Y36" s="172" t="s">
        <v>95</v>
      </c>
      <c r="Z36" s="169"/>
      <c r="AA36" s="159" t="s">
        <v>96</v>
      </c>
      <c r="AB36" s="151" t="s">
        <v>97</v>
      </c>
      <c r="AC36" s="162" t="s">
        <v>11800</v>
      </c>
      <c r="AD36" s="151">
        <v>12</v>
      </c>
      <c r="AE36" s="151" t="s">
        <v>293</v>
      </c>
      <c r="AF36" s="151" t="s">
        <v>1024</v>
      </c>
      <c r="AG36" s="151" t="s">
        <v>547</v>
      </c>
      <c r="AH36" s="151" t="s">
        <v>178</v>
      </c>
      <c r="AI36" s="151">
        <v>65143</v>
      </c>
      <c r="AJ36" s="151" t="s">
        <v>103</v>
      </c>
      <c r="AK36" s="163"/>
      <c r="AL36" s="163"/>
      <c r="AM36" s="163" t="s">
        <v>12169</v>
      </c>
      <c r="AN36" s="151" t="s">
        <v>12217</v>
      </c>
      <c r="AO36" s="163">
        <v>1</v>
      </c>
      <c r="AP36" s="163">
        <v>0</v>
      </c>
      <c r="AQ36" s="163"/>
      <c r="AR36" s="163"/>
      <c r="AS36" s="280">
        <v>16</v>
      </c>
      <c r="AT36" s="280">
        <v>110</v>
      </c>
      <c r="AU36" s="163"/>
      <c r="AV36" s="163" t="s">
        <v>112</v>
      </c>
      <c r="AW36" s="163" t="s">
        <v>150</v>
      </c>
      <c r="AX36" s="163" t="s">
        <v>734</v>
      </c>
      <c r="AY36" s="164" t="s">
        <v>12330</v>
      </c>
      <c r="AZ36" s="151" t="s">
        <v>12419</v>
      </c>
      <c r="BA36" s="163" t="s">
        <v>971</v>
      </c>
      <c r="BB36" s="165">
        <v>34029</v>
      </c>
      <c r="BC36" s="163" t="s">
        <v>96</v>
      </c>
      <c r="BD36" s="163" t="s">
        <v>12491</v>
      </c>
      <c r="BE36" s="163" t="s">
        <v>118</v>
      </c>
      <c r="BF36" s="151" t="s">
        <v>276</v>
      </c>
      <c r="BG36" s="163" t="s">
        <v>12562</v>
      </c>
      <c r="BH36" s="163" t="s">
        <v>12645</v>
      </c>
      <c r="BI36" s="6"/>
      <c r="BJ36" s="166" t="s">
        <v>122</v>
      </c>
      <c r="BK36" s="151" t="s">
        <v>12750</v>
      </c>
      <c r="BL36" s="167" t="s">
        <v>12862</v>
      </c>
      <c r="BM36" s="151" t="s">
        <v>12951</v>
      </c>
      <c r="BN36" s="151" t="s">
        <v>971</v>
      </c>
      <c r="BO36" s="165">
        <v>32994</v>
      </c>
      <c r="BP36" s="163" t="s">
        <v>96</v>
      </c>
      <c r="BQ36" s="163" t="s">
        <v>12169</v>
      </c>
      <c r="BR36" s="163" t="s">
        <v>118</v>
      </c>
      <c r="BS36" s="151" t="s">
        <v>126</v>
      </c>
      <c r="BT36" s="163" t="s">
        <v>452</v>
      </c>
      <c r="BU36" s="163" t="s">
        <v>13087</v>
      </c>
      <c r="BV36" s="163"/>
      <c r="BW36" s="163" t="s">
        <v>13157</v>
      </c>
      <c r="BX36" s="151" t="s">
        <v>13158</v>
      </c>
      <c r="BY36" s="151"/>
      <c r="BZ36" s="163" t="s">
        <v>108</v>
      </c>
      <c r="CA36" s="285"/>
      <c r="CB36" s="163"/>
      <c r="CC36" s="163"/>
      <c r="CD36" s="163"/>
      <c r="CE36" s="163"/>
      <c r="CF36" s="151"/>
      <c r="CG36" s="163"/>
      <c r="CH36" s="151"/>
      <c r="CI36" s="151"/>
      <c r="CJ36" s="151"/>
      <c r="CK36" s="151"/>
      <c r="CL36" s="151"/>
    </row>
    <row r="37" spans="1:90" s="168" customFormat="1" ht="21" customHeight="1">
      <c r="A37" s="151">
        <v>75</v>
      </c>
      <c r="B37" s="152"/>
      <c r="C37" s="152"/>
      <c r="D37" s="6"/>
      <c r="E37" s="6"/>
      <c r="F37" s="6"/>
      <c r="G37" s="151"/>
      <c r="H37" s="153"/>
      <c r="I37" s="154" t="s">
        <v>2452</v>
      </c>
      <c r="J37" s="154" t="s">
        <v>166</v>
      </c>
      <c r="K37" s="154" t="s">
        <v>11809</v>
      </c>
      <c r="L37" s="151"/>
      <c r="M37" s="151">
        <v>2256</v>
      </c>
      <c r="N37" s="398" t="s">
        <v>13436</v>
      </c>
      <c r="O37" s="398" t="s">
        <v>379</v>
      </c>
      <c r="P37" s="156" t="s">
        <v>11810</v>
      </c>
      <c r="Q37" s="174" t="s">
        <v>11811</v>
      </c>
      <c r="R37" s="151" t="s">
        <v>11333</v>
      </c>
      <c r="S37" s="407" t="s">
        <v>13543</v>
      </c>
      <c r="T37" s="151" t="s">
        <v>11812</v>
      </c>
      <c r="U37" s="151" t="s">
        <v>172</v>
      </c>
      <c r="V37" s="157" t="s">
        <v>94</v>
      </c>
      <c r="W37" s="158">
        <v>43588</v>
      </c>
      <c r="X37" s="159"/>
      <c r="Y37" s="160" t="s">
        <v>95</v>
      </c>
      <c r="Z37" s="161"/>
      <c r="AA37" s="159" t="s">
        <v>96</v>
      </c>
      <c r="AB37" s="151" t="s">
        <v>97</v>
      </c>
      <c r="AC37" s="162" t="s">
        <v>383</v>
      </c>
      <c r="AD37" s="151" t="s">
        <v>384</v>
      </c>
      <c r="AE37" s="151" t="s">
        <v>100</v>
      </c>
      <c r="AF37" s="151" t="s">
        <v>385</v>
      </c>
      <c r="AG37" s="151" t="s">
        <v>178</v>
      </c>
      <c r="AH37" s="151" t="s">
        <v>178</v>
      </c>
      <c r="AI37" s="151">
        <v>65145</v>
      </c>
      <c r="AJ37" s="151" t="s">
        <v>103</v>
      </c>
      <c r="AK37" s="163"/>
      <c r="AL37" s="163"/>
      <c r="AM37" s="163" t="s">
        <v>127</v>
      </c>
      <c r="AN37" s="151" t="s">
        <v>388</v>
      </c>
      <c r="AO37" s="163">
        <v>3</v>
      </c>
      <c r="AP37" s="163">
        <v>3</v>
      </c>
      <c r="AQ37" s="163"/>
      <c r="AR37" s="163"/>
      <c r="AS37" s="279">
        <v>17</v>
      </c>
      <c r="AT37" s="279">
        <v>115</v>
      </c>
      <c r="AU37" s="163"/>
      <c r="AV37" s="163" t="s">
        <v>112</v>
      </c>
      <c r="AW37" s="163" t="s">
        <v>549</v>
      </c>
      <c r="AX37" s="163" t="s">
        <v>183</v>
      </c>
      <c r="AY37" s="164" t="s">
        <v>12333</v>
      </c>
      <c r="AZ37" s="151" t="s">
        <v>394</v>
      </c>
      <c r="BA37" s="163" t="s">
        <v>395</v>
      </c>
      <c r="BB37" s="165">
        <v>29879</v>
      </c>
      <c r="BC37" s="163" t="s">
        <v>96</v>
      </c>
      <c r="BD37" s="163" t="s">
        <v>396</v>
      </c>
      <c r="BE37" s="163" t="s">
        <v>216</v>
      </c>
      <c r="BF37" s="151" t="s">
        <v>247</v>
      </c>
      <c r="BG37" s="163" t="s">
        <v>127</v>
      </c>
      <c r="BH37" s="163" t="s">
        <v>127</v>
      </c>
      <c r="BI37" s="6"/>
      <c r="BJ37" s="166" t="s">
        <v>12754</v>
      </c>
      <c r="BK37" s="151" t="s">
        <v>398</v>
      </c>
      <c r="BL37" s="167" t="s">
        <v>12865</v>
      </c>
      <c r="BM37" s="151" t="s">
        <v>400</v>
      </c>
      <c r="BN37" s="151" t="s">
        <v>401</v>
      </c>
      <c r="BO37" s="165">
        <v>33879</v>
      </c>
      <c r="BP37" s="163" t="s">
        <v>96</v>
      </c>
      <c r="BQ37" s="163" t="s">
        <v>388</v>
      </c>
      <c r="BR37" s="163" t="s">
        <v>216</v>
      </c>
      <c r="BS37" s="151" t="s">
        <v>126</v>
      </c>
      <c r="BT37" s="163" t="s">
        <v>127</v>
      </c>
      <c r="BU37" s="163" t="s">
        <v>127</v>
      </c>
      <c r="BV37" s="163"/>
      <c r="BW37" s="163" t="s">
        <v>127</v>
      </c>
      <c r="BX37" s="151" t="s">
        <v>398</v>
      </c>
      <c r="BY37" s="151"/>
      <c r="BZ37" s="163" t="s">
        <v>108</v>
      </c>
      <c r="CA37" s="281"/>
      <c r="CB37" s="163"/>
      <c r="CC37" s="163"/>
      <c r="CD37" s="163"/>
      <c r="CE37" s="163"/>
      <c r="CF37" s="151"/>
      <c r="CG37" s="163"/>
      <c r="CH37" s="151"/>
      <c r="CI37" s="151"/>
      <c r="CJ37" s="151"/>
      <c r="CK37" s="151"/>
      <c r="CL37" s="151"/>
    </row>
    <row r="38" spans="1:90" s="168" customFormat="1" ht="21" customHeight="1">
      <c r="A38" s="151">
        <v>52</v>
      </c>
      <c r="B38" s="152"/>
      <c r="C38" s="152"/>
      <c r="D38" s="6"/>
      <c r="E38" s="6"/>
      <c r="F38" s="6"/>
      <c r="G38" s="151"/>
      <c r="H38" s="153"/>
      <c r="I38" s="169" t="s">
        <v>2452</v>
      </c>
      <c r="J38" s="169" t="s">
        <v>166</v>
      </c>
      <c r="K38" s="169" t="s">
        <v>585</v>
      </c>
      <c r="L38" s="151"/>
      <c r="M38" s="151">
        <v>2257</v>
      </c>
      <c r="N38" s="398" t="s">
        <v>13437</v>
      </c>
      <c r="O38" s="398" t="s">
        <v>5849</v>
      </c>
      <c r="P38" s="405" t="s">
        <v>13444</v>
      </c>
      <c r="Q38" s="174" t="s">
        <v>11813</v>
      </c>
      <c r="R38" s="151" t="s">
        <v>11333</v>
      </c>
      <c r="S38" s="407" t="s">
        <v>13543</v>
      </c>
      <c r="T38" s="151" t="s">
        <v>11814</v>
      </c>
      <c r="U38" s="151" t="s">
        <v>93</v>
      </c>
      <c r="V38" s="157" t="s">
        <v>94</v>
      </c>
      <c r="W38" s="171">
        <v>43952</v>
      </c>
      <c r="X38" s="159"/>
      <c r="Y38" s="172" t="s">
        <v>95</v>
      </c>
      <c r="Z38" s="173"/>
      <c r="AA38" s="159" t="s">
        <v>96</v>
      </c>
      <c r="AB38" s="151" t="s">
        <v>97</v>
      </c>
      <c r="AC38" s="162" t="s">
        <v>11815</v>
      </c>
      <c r="AD38" s="151" t="s">
        <v>100</v>
      </c>
      <c r="AE38" s="151" t="s">
        <v>3397</v>
      </c>
      <c r="AF38" s="151" t="s">
        <v>240</v>
      </c>
      <c r="AG38" s="151" t="s">
        <v>241</v>
      </c>
      <c r="AH38" s="163" t="s">
        <v>241</v>
      </c>
      <c r="AI38" s="151">
        <v>65124</v>
      </c>
      <c r="AJ38" s="151" t="s">
        <v>568</v>
      </c>
      <c r="AK38" s="163"/>
      <c r="AL38" s="163"/>
      <c r="AM38" s="163" t="s">
        <v>5854</v>
      </c>
      <c r="AN38" s="151" t="s">
        <v>5855</v>
      </c>
      <c r="AO38" s="163">
        <v>5</v>
      </c>
      <c r="AP38" s="163">
        <v>4</v>
      </c>
      <c r="AQ38" s="163"/>
      <c r="AR38" s="163"/>
      <c r="AS38" s="280" t="s">
        <v>12276</v>
      </c>
      <c r="AT38" s="280" t="s">
        <v>272</v>
      </c>
      <c r="AU38" s="163"/>
      <c r="AV38" s="163" t="s">
        <v>112</v>
      </c>
      <c r="AW38" s="163" t="s">
        <v>12288</v>
      </c>
      <c r="AX38" s="163" t="s">
        <v>183</v>
      </c>
      <c r="AY38" s="164" t="s">
        <v>12334</v>
      </c>
      <c r="AZ38" s="151" t="s">
        <v>5858</v>
      </c>
      <c r="BA38" s="163" t="s">
        <v>94</v>
      </c>
      <c r="BB38" s="165">
        <v>30255</v>
      </c>
      <c r="BC38" s="163" t="s">
        <v>96</v>
      </c>
      <c r="BD38" s="163" t="s">
        <v>5855</v>
      </c>
      <c r="BE38" s="163" t="s">
        <v>118</v>
      </c>
      <c r="BF38" s="151" t="s">
        <v>5859</v>
      </c>
      <c r="BG38" s="163" t="s">
        <v>12564</v>
      </c>
      <c r="BH38" s="163" t="s">
        <v>5861</v>
      </c>
      <c r="BI38" s="6" t="s">
        <v>5854</v>
      </c>
      <c r="BJ38" s="166">
        <v>50000000</v>
      </c>
      <c r="BK38" s="151" t="s">
        <v>5863</v>
      </c>
      <c r="BL38" s="167" t="s">
        <v>12866</v>
      </c>
      <c r="BM38" s="151" t="s">
        <v>5865</v>
      </c>
      <c r="BN38" s="151" t="s">
        <v>94</v>
      </c>
      <c r="BO38" s="165">
        <v>31800</v>
      </c>
      <c r="BP38" s="163" t="s">
        <v>96</v>
      </c>
      <c r="BQ38" s="163" t="s">
        <v>5854</v>
      </c>
      <c r="BR38" s="163" t="s">
        <v>118</v>
      </c>
      <c r="BS38" s="151" t="s">
        <v>5859</v>
      </c>
      <c r="BT38" s="163" t="s">
        <v>12564</v>
      </c>
      <c r="BU38" s="163" t="s">
        <v>5861</v>
      </c>
      <c r="BV38" s="163" t="s">
        <v>5854</v>
      </c>
      <c r="BW38" s="163">
        <v>50000000</v>
      </c>
      <c r="BX38" s="151" t="s">
        <v>5867</v>
      </c>
      <c r="BY38" s="151"/>
      <c r="BZ38" s="163" t="s">
        <v>108</v>
      </c>
      <c r="CA38" s="282"/>
      <c r="CB38" s="163"/>
      <c r="CC38" s="163"/>
      <c r="CD38" s="163"/>
      <c r="CE38" s="163"/>
      <c r="CF38" s="151"/>
      <c r="CG38" s="163"/>
      <c r="CH38" s="151"/>
      <c r="CI38" s="151"/>
      <c r="CJ38" s="151"/>
      <c r="CK38" s="151"/>
      <c r="CL38" s="151"/>
    </row>
    <row r="39" spans="1:90" s="168" customFormat="1" ht="21" customHeight="1">
      <c r="A39" s="151">
        <v>16</v>
      </c>
      <c r="B39" s="152"/>
      <c r="C39" s="152"/>
      <c r="D39" s="6"/>
      <c r="E39" s="6"/>
      <c r="F39" s="6"/>
      <c r="G39" s="151"/>
      <c r="H39" s="153"/>
      <c r="I39" s="169" t="s">
        <v>2452</v>
      </c>
      <c r="J39" s="169" t="s">
        <v>311</v>
      </c>
      <c r="K39" s="169" t="s">
        <v>311</v>
      </c>
      <c r="L39" s="151"/>
      <c r="M39" s="151">
        <v>2269</v>
      </c>
      <c r="N39" s="398" t="s">
        <v>13457</v>
      </c>
      <c r="O39" s="398" t="s">
        <v>13456</v>
      </c>
      <c r="P39" s="170" t="s">
        <v>11873</v>
      </c>
      <c r="Q39" s="174" t="s">
        <v>11874</v>
      </c>
      <c r="R39" s="151" t="s">
        <v>11333</v>
      </c>
      <c r="S39" s="407" t="s">
        <v>13543</v>
      </c>
      <c r="T39" s="151" t="s">
        <v>9774</v>
      </c>
      <c r="U39" s="151" t="s">
        <v>172</v>
      </c>
      <c r="V39" s="157" t="s">
        <v>94</v>
      </c>
      <c r="W39" s="171">
        <v>43938</v>
      </c>
      <c r="X39" s="159"/>
      <c r="Y39" s="172" t="s">
        <v>95</v>
      </c>
      <c r="Z39" s="173"/>
      <c r="AA39" s="159" t="s">
        <v>96</v>
      </c>
      <c r="AB39" s="151" t="s">
        <v>97</v>
      </c>
      <c r="AC39" s="162" t="s">
        <v>11875</v>
      </c>
      <c r="AD39" s="151" t="s">
        <v>2589</v>
      </c>
      <c r="AE39" s="151" t="s">
        <v>358</v>
      </c>
      <c r="AF39" s="151" t="s">
        <v>177</v>
      </c>
      <c r="AG39" s="151" t="s">
        <v>178</v>
      </c>
      <c r="AH39" s="151" t="s">
        <v>178</v>
      </c>
      <c r="AI39" s="151">
        <v>65143</v>
      </c>
      <c r="AJ39" s="151" t="s">
        <v>94</v>
      </c>
      <c r="AK39" s="163"/>
      <c r="AL39" s="163"/>
      <c r="AM39" s="163" t="s">
        <v>127</v>
      </c>
      <c r="AN39" s="151" t="s">
        <v>12225</v>
      </c>
      <c r="AO39" s="163">
        <v>1</v>
      </c>
      <c r="AP39" s="163" t="s">
        <v>127</v>
      </c>
      <c r="AQ39" s="163"/>
      <c r="AR39" s="163"/>
      <c r="AS39" s="280">
        <v>19</v>
      </c>
      <c r="AT39" s="280">
        <v>109</v>
      </c>
      <c r="AU39" s="163"/>
      <c r="AV39" s="163" t="s">
        <v>112</v>
      </c>
      <c r="AW39" s="163" t="s">
        <v>150</v>
      </c>
      <c r="AX39" s="163" t="s">
        <v>114</v>
      </c>
      <c r="AY39" s="164" t="s">
        <v>12345</v>
      </c>
      <c r="AZ39" s="151" t="s">
        <v>12430</v>
      </c>
      <c r="BA39" s="163" t="s">
        <v>1892</v>
      </c>
      <c r="BB39" s="165">
        <v>32805</v>
      </c>
      <c r="BC39" s="163" t="s">
        <v>96</v>
      </c>
      <c r="BD39" s="163" t="s">
        <v>12500</v>
      </c>
      <c r="BE39" s="163" t="s">
        <v>118</v>
      </c>
      <c r="BF39" s="151" t="s">
        <v>12532</v>
      </c>
      <c r="BG39" s="163" t="s">
        <v>12575</v>
      </c>
      <c r="BH39" s="163" t="s">
        <v>12662</v>
      </c>
      <c r="BI39" s="6" t="s">
        <v>3279</v>
      </c>
      <c r="BJ39" s="166" t="s">
        <v>12767</v>
      </c>
      <c r="BK39" s="151" t="s">
        <v>12768</v>
      </c>
      <c r="BL39" s="167" t="s">
        <v>12877</v>
      </c>
      <c r="BM39" s="151" t="s">
        <v>12962</v>
      </c>
      <c r="BN39" s="151" t="s">
        <v>395</v>
      </c>
      <c r="BO39" s="165">
        <v>33202</v>
      </c>
      <c r="BP39" s="163" t="s">
        <v>96</v>
      </c>
      <c r="BQ39" s="163" t="s">
        <v>12225</v>
      </c>
      <c r="BR39" s="163" t="s">
        <v>118</v>
      </c>
      <c r="BS39" s="151" t="s">
        <v>925</v>
      </c>
      <c r="BT39" s="163" t="s">
        <v>10830</v>
      </c>
      <c r="BU39" s="163" t="s">
        <v>13091</v>
      </c>
      <c r="BV39" s="163" t="s">
        <v>13092</v>
      </c>
      <c r="BW39" s="163" t="s">
        <v>250</v>
      </c>
      <c r="BX39" s="151" t="s">
        <v>13170</v>
      </c>
      <c r="BY39" s="151"/>
      <c r="BZ39" s="163" t="s">
        <v>108</v>
      </c>
      <c r="CA39" s="282"/>
      <c r="CB39" s="163"/>
      <c r="CC39" s="163"/>
      <c r="CD39" s="163"/>
      <c r="CE39" s="163"/>
      <c r="CF39" s="151"/>
      <c r="CG39" s="163"/>
      <c r="CH39" s="151"/>
      <c r="CI39" s="151"/>
      <c r="CJ39" s="151"/>
      <c r="CK39" s="151"/>
      <c r="CL39" s="151"/>
    </row>
    <row r="40" spans="1:90" s="168" customFormat="1" ht="21" customHeight="1">
      <c r="A40" s="151">
        <v>38</v>
      </c>
      <c r="B40" s="152"/>
      <c r="C40" s="152"/>
      <c r="D40" s="6"/>
      <c r="E40" s="6"/>
      <c r="F40" s="6"/>
      <c r="G40" s="151"/>
      <c r="H40" s="153"/>
      <c r="I40" s="154" t="s">
        <v>2452</v>
      </c>
      <c r="J40" s="154" t="s">
        <v>11876</v>
      </c>
      <c r="K40" s="154" t="s">
        <v>11877</v>
      </c>
      <c r="L40" s="151"/>
      <c r="M40" s="151">
        <v>2270</v>
      </c>
      <c r="N40" s="151"/>
      <c r="O40" s="398" t="s">
        <v>13458</v>
      </c>
      <c r="P40" s="156" t="s">
        <v>11878</v>
      </c>
      <c r="Q40" s="174" t="s">
        <v>11879</v>
      </c>
      <c r="R40" s="151" t="s">
        <v>11333</v>
      </c>
      <c r="S40" s="407" t="s">
        <v>13543</v>
      </c>
      <c r="T40" s="151" t="s">
        <v>11880</v>
      </c>
      <c r="U40" s="151" t="s">
        <v>172</v>
      </c>
      <c r="V40" s="157" t="s">
        <v>1208</v>
      </c>
      <c r="W40" s="158">
        <v>43836</v>
      </c>
      <c r="X40" s="159"/>
      <c r="Y40" s="160" t="s">
        <v>95</v>
      </c>
      <c r="Z40" s="161"/>
      <c r="AA40" s="159" t="s">
        <v>96</v>
      </c>
      <c r="AB40" s="151" t="s">
        <v>97</v>
      </c>
      <c r="AC40" s="162" t="s">
        <v>11881</v>
      </c>
      <c r="AD40" s="151">
        <v>11</v>
      </c>
      <c r="AE40" s="151" t="s">
        <v>99</v>
      </c>
      <c r="AF40" s="151" t="s">
        <v>755</v>
      </c>
      <c r="AG40" s="151" t="s">
        <v>102</v>
      </c>
      <c r="AH40" s="163" t="s">
        <v>102</v>
      </c>
      <c r="AI40" s="151">
        <v>65149</v>
      </c>
      <c r="AJ40" s="151" t="s">
        <v>103</v>
      </c>
      <c r="AK40" s="163"/>
      <c r="AL40" s="163"/>
      <c r="AM40" s="163" t="s">
        <v>12177</v>
      </c>
      <c r="AN40" s="151" t="s">
        <v>12177</v>
      </c>
      <c r="AO40" s="163">
        <v>1</v>
      </c>
      <c r="AP40" s="163">
        <v>0</v>
      </c>
      <c r="AQ40" s="163"/>
      <c r="AR40" s="163"/>
      <c r="AS40" s="279" t="s">
        <v>4937</v>
      </c>
      <c r="AT40" s="279" t="s">
        <v>272</v>
      </c>
      <c r="AU40" s="163"/>
      <c r="AV40" s="163" t="s">
        <v>112</v>
      </c>
      <c r="AW40" s="163" t="s">
        <v>344</v>
      </c>
      <c r="AX40" s="163" t="s">
        <v>427</v>
      </c>
      <c r="AY40" s="164" t="s">
        <v>12346</v>
      </c>
      <c r="AZ40" s="151" t="s">
        <v>12431</v>
      </c>
      <c r="BA40" s="163" t="s">
        <v>1208</v>
      </c>
      <c r="BB40" s="165">
        <v>33011</v>
      </c>
      <c r="BC40" s="163" t="s">
        <v>96</v>
      </c>
      <c r="BD40" s="163" t="s">
        <v>12501</v>
      </c>
      <c r="BE40" s="163" t="s">
        <v>118</v>
      </c>
      <c r="BF40" s="151" t="s">
        <v>12533</v>
      </c>
      <c r="BG40" s="163" t="s">
        <v>12533</v>
      </c>
      <c r="BH40" s="163" t="s">
        <v>12663</v>
      </c>
      <c r="BI40" s="6" t="s">
        <v>12664</v>
      </c>
      <c r="BJ40" s="166" t="s">
        <v>1084</v>
      </c>
      <c r="BK40" s="151" t="s">
        <v>12769</v>
      </c>
      <c r="BL40" s="167" t="s">
        <v>12878</v>
      </c>
      <c r="BM40" s="151" t="s">
        <v>12963</v>
      </c>
      <c r="BN40" s="151" t="s">
        <v>1208</v>
      </c>
      <c r="BO40" s="165">
        <v>34104</v>
      </c>
      <c r="BP40" s="163" t="s">
        <v>96</v>
      </c>
      <c r="BQ40" s="163" t="s">
        <v>12177</v>
      </c>
      <c r="BR40" s="163" t="s">
        <v>153</v>
      </c>
      <c r="BS40" s="151" t="s">
        <v>2049</v>
      </c>
      <c r="BT40" s="163" t="s">
        <v>13048</v>
      </c>
      <c r="BU40" s="163" t="s">
        <v>13093</v>
      </c>
      <c r="BV40" s="163"/>
      <c r="BW40" s="163" t="s">
        <v>13171</v>
      </c>
      <c r="BX40" s="151" t="s">
        <v>12769</v>
      </c>
      <c r="BY40" s="151" t="s">
        <v>13228</v>
      </c>
      <c r="BZ40" s="163" t="s">
        <v>1208</v>
      </c>
      <c r="CA40" s="284">
        <v>25005</v>
      </c>
      <c r="CB40" s="163"/>
      <c r="CC40" s="163" t="s">
        <v>12501</v>
      </c>
      <c r="CD40" s="163" t="s">
        <v>153</v>
      </c>
      <c r="CE40" s="163" t="s">
        <v>7622</v>
      </c>
      <c r="CF40" s="151"/>
      <c r="CG40" s="163"/>
      <c r="CH40" s="151"/>
      <c r="CI40" s="151"/>
      <c r="CJ40" s="151"/>
      <c r="CK40" s="151"/>
      <c r="CL40" s="151"/>
    </row>
    <row r="41" spans="1:90" s="168" customFormat="1" ht="21" customHeight="1">
      <c r="A41" s="151">
        <v>62</v>
      </c>
      <c r="B41" s="152"/>
      <c r="C41" s="152"/>
      <c r="D41" s="6"/>
      <c r="E41" s="6"/>
      <c r="F41" s="6"/>
      <c r="G41" s="151"/>
      <c r="H41" s="153"/>
      <c r="I41" s="154" t="s">
        <v>2452</v>
      </c>
      <c r="J41" s="154" t="s">
        <v>4907</v>
      </c>
      <c r="K41" s="154" t="s">
        <v>11897</v>
      </c>
      <c r="L41" s="151"/>
      <c r="M41" s="151">
        <v>2274</v>
      </c>
      <c r="N41" s="398" t="s">
        <v>13465</v>
      </c>
      <c r="O41" s="398" t="s">
        <v>13464</v>
      </c>
      <c r="P41" s="156" t="s">
        <v>11898</v>
      </c>
      <c r="Q41" s="174" t="s">
        <v>11899</v>
      </c>
      <c r="R41" s="151" t="s">
        <v>11333</v>
      </c>
      <c r="S41" s="407" t="s">
        <v>13543</v>
      </c>
      <c r="T41" s="151" t="s">
        <v>11900</v>
      </c>
      <c r="U41" s="151" t="s">
        <v>172</v>
      </c>
      <c r="V41" s="157" t="s">
        <v>94</v>
      </c>
      <c r="W41" s="158">
        <v>43573</v>
      </c>
      <c r="X41" s="159"/>
      <c r="Y41" s="160" t="s">
        <v>95</v>
      </c>
      <c r="Z41" s="154" t="s">
        <v>127</v>
      </c>
      <c r="AA41" s="159" t="s">
        <v>96</v>
      </c>
      <c r="AB41" s="151" t="s">
        <v>97</v>
      </c>
      <c r="AC41" s="162" t="s">
        <v>11901</v>
      </c>
      <c r="AD41" s="151" t="s">
        <v>318</v>
      </c>
      <c r="AE41" s="151" t="s">
        <v>99</v>
      </c>
      <c r="AF41" s="151" t="s">
        <v>177</v>
      </c>
      <c r="AG41" s="151" t="s">
        <v>547</v>
      </c>
      <c r="AH41" s="151" t="s">
        <v>178</v>
      </c>
      <c r="AI41" s="151">
        <v>65143</v>
      </c>
      <c r="AJ41" s="151" t="s">
        <v>94</v>
      </c>
      <c r="AK41" s="163"/>
      <c r="AL41" s="163"/>
      <c r="AM41" s="163" t="s">
        <v>127</v>
      </c>
      <c r="AN41" s="151" t="s">
        <v>12227</v>
      </c>
      <c r="AO41" s="163">
        <v>3</v>
      </c>
      <c r="AP41" s="163">
        <v>2</v>
      </c>
      <c r="AQ41" s="163"/>
      <c r="AR41" s="163"/>
      <c r="AS41" s="279">
        <v>19</v>
      </c>
      <c r="AT41" s="279">
        <v>108</v>
      </c>
      <c r="AU41" s="163"/>
      <c r="AV41" s="163" t="s">
        <v>112</v>
      </c>
      <c r="AW41" s="163" t="s">
        <v>163</v>
      </c>
      <c r="AX41" s="163" t="s">
        <v>12264</v>
      </c>
      <c r="AY41" s="164" t="s">
        <v>12350</v>
      </c>
      <c r="AZ41" s="151" t="s">
        <v>12434</v>
      </c>
      <c r="BA41" s="163" t="s">
        <v>3340</v>
      </c>
      <c r="BB41" s="165">
        <v>29384</v>
      </c>
      <c r="BC41" s="163" t="s">
        <v>96</v>
      </c>
      <c r="BD41" s="163" t="s">
        <v>12504</v>
      </c>
      <c r="BE41" s="163" t="s">
        <v>118</v>
      </c>
      <c r="BF41" s="151" t="s">
        <v>327</v>
      </c>
      <c r="BG41" s="163" t="s">
        <v>12577</v>
      </c>
      <c r="BH41" s="163" t="s">
        <v>670</v>
      </c>
      <c r="BI41" s="6"/>
      <c r="BJ41" s="166">
        <v>35000000</v>
      </c>
      <c r="BK41" s="151" t="s">
        <v>127</v>
      </c>
      <c r="BL41" s="167" t="s">
        <v>12882</v>
      </c>
      <c r="BM41" s="151" t="s">
        <v>12966</v>
      </c>
      <c r="BN41" s="151" t="s">
        <v>559</v>
      </c>
      <c r="BO41" s="165">
        <v>28775</v>
      </c>
      <c r="BP41" s="163" t="s">
        <v>96</v>
      </c>
      <c r="BQ41" s="163" t="s">
        <v>12227</v>
      </c>
      <c r="BR41" s="163" t="s">
        <v>216</v>
      </c>
      <c r="BS41" s="151" t="s">
        <v>254</v>
      </c>
      <c r="BT41" s="163" t="s">
        <v>127</v>
      </c>
      <c r="BU41" s="163" t="s">
        <v>127</v>
      </c>
      <c r="BV41" s="163" t="s">
        <v>127</v>
      </c>
      <c r="BW41" s="163" t="s">
        <v>127</v>
      </c>
      <c r="BX41" s="151" t="s">
        <v>13173</v>
      </c>
      <c r="BY41" s="151"/>
      <c r="BZ41" s="163" t="s">
        <v>108</v>
      </c>
      <c r="CA41" s="281"/>
      <c r="CB41" s="163"/>
      <c r="CC41" s="163"/>
      <c r="CD41" s="163"/>
      <c r="CE41" s="163"/>
      <c r="CF41" s="151"/>
      <c r="CG41" s="163"/>
      <c r="CH41" s="151"/>
      <c r="CI41" s="151"/>
      <c r="CJ41" s="151"/>
      <c r="CK41" s="151"/>
      <c r="CL41" s="151"/>
    </row>
    <row r="42" spans="1:90" s="168" customFormat="1" ht="21" customHeight="1">
      <c r="A42" s="151">
        <v>28</v>
      </c>
      <c r="B42" s="152"/>
      <c r="C42" s="152"/>
      <c r="D42" s="6"/>
      <c r="E42" s="6"/>
      <c r="F42" s="6"/>
      <c r="G42" s="151"/>
      <c r="H42" s="153"/>
      <c r="I42" s="154" t="s">
        <v>2452</v>
      </c>
      <c r="J42" s="154" t="s">
        <v>11921</v>
      </c>
      <c r="K42" s="154" t="s">
        <v>11922</v>
      </c>
      <c r="L42" s="151"/>
      <c r="M42" s="151">
        <v>2280</v>
      </c>
      <c r="N42" s="151"/>
      <c r="O42" s="398" t="s">
        <v>13474</v>
      </c>
      <c r="P42" s="156" t="s">
        <v>11923</v>
      </c>
      <c r="Q42" s="174" t="s">
        <v>11924</v>
      </c>
      <c r="R42" s="151" t="s">
        <v>11333</v>
      </c>
      <c r="S42" s="407" t="s">
        <v>13543</v>
      </c>
      <c r="T42" s="151" t="s">
        <v>3906</v>
      </c>
      <c r="U42" s="151" t="s">
        <v>172</v>
      </c>
      <c r="V42" s="157" t="s">
        <v>11398</v>
      </c>
      <c r="W42" s="158">
        <v>43661</v>
      </c>
      <c r="X42" s="159"/>
      <c r="Y42" s="160" t="s">
        <v>95</v>
      </c>
      <c r="Z42" s="154" t="s">
        <v>127</v>
      </c>
      <c r="AA42" s="159" t="s">
        <v>96</v>
      </c>
      <c r="AB42" s="151" t="s">
        <v>97</v>
      </c>
      <c r="AC42" s="162" t="s">
        <v>11925</v>
      </c>
      <c r="AD42" s="151" t="s">
        <v>99</v>
      </c>
      <c r="AE42" s="151" t="s">
        <v>99</v>
      </c>
      <c r="AF42" s="151" t="s">
        <v>567</v>
      </c>
      <c r="AG42" s="151" t="s">
        <v>547</v>
      </c>
      <c r="AH42" s="151" t="s">
        <v>178</v>
      </c>
      <c r="AI42" s="151">
        <v>65141</v>
      </c>
      <c r="AJ42" s="151" t="s">
        <v>568</v>
      </c>
      <c r="AK42" s="163"/>
      <c r="AL42" s="163"/>
      <c r="AM42" s="163" t="s">
        <v>127</v>
      </c>
      <c r="AN42" s="151" t="s">
        <v>12232</v>
      </c>
      <c r="AO42" s="163">
        <v>1</v>
      </c>
      <c r="AP42" s="163">
        <v>2</v>
      </c>
      <c r="AQ42" s="163"/>
      <c r="AR42" s="163"/>
      <c r="AS42" s="279" t="s">
        <v>12280</v>
      </c>
      <c r="AT42" s="279" t="s">
        <v>272</v>
      </c>
      <c r="AU42" s="163"/>
      <c r="AV42" s="163" t="s">
        <v>112</v>
      </c>
      <c r="AW42" s="163" t="s">
        <v>113</v>
      </c>
      <c r="AX42" s="163" t="s">
        <v>114</v>
      </c>
      <c r="AY42" s="164" t="s">
        <v>12355</v>
      </c>
      <c r="AZ42" s="151" t="s">
        <v>12439</v>
      </c>
      <c r="BA42" s="163" t="s">
        <v>12472</v>
      </c>
      <c r="BB42" s="165">
        <v>33847</v>
      </c>
      <c r="BC42" s="163" t="s">
        <v>96</v>
      </c>
      <c r="BD42" s="163" t="s">
        <v>12508</v>
      </c>
      <c r="BE42" s="163" t="s">
        <v>118</v>
      </c>
      <c r="BF42" s="151" t="s">
        <v>247</v>
      </c>
      <c r="BG42" s="163" t="s">
        <v>12581</v>
      </c>
      <c r="BH42" s="163" t="s">
        <v>12672</v>
      </c>
      <c r="BI42" s="6" t="s">
        <v>12508</v>
      </c>
      <c r="BJ42" s="166" t="s">
        <v>1252</v>
      </c>
      <c r="BK42" s="151" t="s">
        <v>12780</v>
      </c>
      <c r="BL42" s="167" t="s">
        <v>12887</v>
      </c>
      <c r="BM42" s="151" t="s">
        <v>12971</v>
      </c>
      <c r="BN42" s="151" t="s">
        <v>13002</v>
      </c>
      <c r="BO42" s="165">
        <v>36625</v>
      </c>
      <c r="BP42" s="163" t="s">
        <v>96</v>
      </c>
      <c r="BQ42" s="163" t="s">
        <v>12232</v>
      </c>
      <c r="BR42" s="163" t="s">
        <v>216</v>
      </c>
      <c r="BS42" s="151" t="s">
        <v>254</v>
      </c>
      <c r="BT42" s="163" t="s">
        <v>127</v>
      </c>
      <c r="BU42" s="163" t="s">
        <v>127</v>
      </c>
      <c r="BV42" s="163" t="s">
        <v>127</v>
      </c>
      <c r="BW42" s="163" t="s">
        <v>127</v>
      </c>
      <c r="BX42" s="151" t="s">
        <v>13180</v>
      </c>
      <c r="BY42" s="151"/>
      <c r="BZ42" s="163" t="s">
        <v>108</v>
      </c>
      <c r="CA42" s="281"/>
      <c r="CB42" s="163"/>
      <c r="CC42" s="163"/>
      <c r="CD42" s="163"/>
      <c r="CE42" s="163"/>
      <c r="CF42" s="151"/>
      <c r="CG42" s="163"/>
      <c r="CH42" s="151"/>
      <c r="CI42" s="151"/>
      <c r="CJ42" s="151"/>
      <c r="CK42" s="151"/>
      <c r="CL42" s="151"/>
    </row>
    <row r="43" spans="1:90" s="168" customFormat="1" ht="21" customHeight="1">
      <c r="A43" s="151">
        <v>10</v>
      </c>
      <c r="B43" s="152"/>
      <c r="C43" s="152"/>
      <c r="D43" s="6"/>
      <c r="E43" s="6"/>
      <c r="F43" s="6"/>
      <c r="G43" s="151"/>
      <c r="H43" s="153"/>
      <c r="I43" s="169" t="s">
        <v>2452</v>
      </c>
      <c r="J43" s="169" t="s">
        <v>402</v>
      </c>
      <c r="K43" s="169" t="s">
        <v>11937</v>
      </c>
      <c r="L43" s="151"/>
      <c r="M43" s="151">
        <v>2283</v>
      </c>
      <c r="N43" s="398" t="s">
        <v>13481</v>
      </c>
      <c r="O43" s="398" t="s">
        <v>13480</v>
      </c>
      <c r="P43" s="170" t="s">
        <v>11938</v>
      </c>
      <c r="Q43" s="174" t="s">
        <v>11939</v>
      </c>
      <c r="R43" s="151" t="s">
        <v>11333</v>
      </c>
      <c r="S43" s="407" t="s">
        <v>13543</v>
      </c>
      <c r="T43" s="151" t="s">
        <v>2715</v>
      </c>
      <c r="U43" s="151" t="s">
        <v>172</v>
      </c>
      <c r="V43" s="157" t="s">
        <v>94</v>
      </c>
      <c r="W43" s="171">
        <v>43784</v>
      </c>
      <c r="X43" s="159"/>
      <c r="Y43" s="172" t="s">
        <v>95</v>
      </c>
      <c r="Z43" s="169"/>
      <c r="AA43" s="159" t="s">
        <v>96</v>
      </c>
      <c r="AB43" s="151" t="s">
        <v>97</v>
      </c>
      <c r="AC43" s="162" t="s">
        <v>11940</v>
      </c>
      <c r="AD43" s="151" t="s">
        <v>11941</v>
      </c>
      <c r="AE43" s="151" t="s">
        <v>890</v>
      </c>
      <c r="AF43" s="151" t="s">
        <v>319</v>
      </c>
      <c r="AG43" s="151" t="s">
        <v>1678</v>
      </c>
      <c r="AH43" s="163" t="s">
        <v>141</v>
      </c>
      <c r="AI43" s="151">
        <v>65152</v>
      </c>
      <c r="AJ43" s="151" t="s">
        <v>94</v>
      </c>
      <c r="AK43" s="163"/>
      <c r="AL43" s="163"/>
      <c r="AM43" s="163" t="s">
        <v>12182</v>
      </c>
      <c r="AN43" s="151" t="s">
        <v>12182</v>
      </c>
      <c r="AO43" s="163">
        <v>1</v>
      </c>
      <c r="AP43" s="163">
        <v>0</v>
      </c>
      <c r="AQ43" s="163"/>
      <c r="AR43" s="163"/>
      <c r="AS43" s="280">
        <v>22</v>
      </c>
      <c r="AT43" s="280">
        <v>113</v>
      </c>
      <c r="AU43" s="163"/>
      <c r="AV43" s="163" t="s">
        <v>112</v>
      </c>
      <c r="AW43" s="163" t="s">
        <v>150</v>
      </c>
      <c r="AX43" s="163" t="s">
        <v>183</v>
      </c>
      <c r="AY43" s="164" t="s">
        <v>12358</v>
      </c>
      <c r="AZ43" s="151" t="s">
        <v>12442</v>
      </c>
      <c r="BA43" s="163" t="s">
        <v>135</v>
      </c>
      <c r="BB43" s="165">
        <v>30674</v>
      </c>
      <c r="BC43" s="163" t="s">
        <v>96</v>
      </c>
      <c r="BD43" s="163" t="s">
        <v>12182</v>
      </c>
      <c r="BE43" s="163" t="s">
        <v>153</v>
      </c>
      <c r="BF43" s="151" t="s">
        <v>925</v>
      </c>
      <c r="BG43" s="163" t="s">
        <v>12583</v>
      </c>
      <c r="BH43" s="163" t="s">
        <v>12676</v>
      </c>
      <c r="BI43" s="6" t="s">
        <v>12677</v>
      </c>
      <c r="BJ43" s="166" t="s">
        <v>12784</v>
      </c>
      <c r="BK43" s="151" t="s">
        <v>12785</v>
      </c>
      <c r="BL43" s="167" t="s">
        <v>12890</v>
      </c>
      <c r="BM43" s="151" t="s">
        <v>12973</v>
      </c>
      <c r="BN43" s="151" t="s">
        <v>11433</v>
      </c>
      <c r="BO43" s="165">
        <v>31088</v>
      </c>
      <c r="BP43" s="163" t="s">
        <v>96</v>
      </c>
      <c r="BQ43" s="163" t="s">
        <v>13016</v>
      </c>
      <c r="BR43" s="163" t="s">
        <v>118</v>
      </c>
      <c r="BS43" s="151" t="s">
        <v>925</v>
      </c>
      <c r="BT43" s="163" t="s">
        <v>7316</v>
      </c>
      <c r="BU43" s="163" t="s">
        <v>13103</v>
      </c>
      <c r="BV43" s="163" t="s">
        <v>13104</v>
      </c>
      <c r="BW43" s="163" t="s">
        <v>13184</v>
      </c>
      <c r="BX43" s="151" t="s">
        <v>13185</v>
      </c>
      <c r="BY43" s="151" t="s">
        <v>13230</v>
      </c>
      <c r="BZ43" s="163" t="s">
        <v>94</v>
      </c>
      <c r="CA43" s="283">
        <v>24693</v>
      </c>
      <c r="CB43" s="163"/>
      <c r="CC43" s="163" t="s">
        <v>13241</v>
      </c>
      <c r="CD43" s="163" t="s">
        <v>216</v>
      </c>
      <c r="CE43" s="163" t="s">
        <v>254</v>
      </c>
      <c r="CF43" s="151"/>
      <c r="CG43" s="163"/>
      <c r="CH43" s="151"/>
      <c r="CI43" s="151"/>
      <c r="CJ43" s="151"/>
      <c r="CK43" s="151"/>
      <c r="CL43" s="151"/>
    </row>
    <row r="44" spans="1:90" s="168" customFormat="1" ht="21" customHeight="1">
      <c r="A44" s="151">
        <v>55</v>
      </c>
      <c r="B44" s="152"/>
      <c r="C44" s="152"/>
      <c r="D44" s="6"/>
      <c r="E44" s="6"/>
      <c r="F44" s="6"/>
      <c r="G44" s="151"/>
      <c r="H44" s="153"/>
      <c r="I44" s="154" t="s">
        <v>2452</v>
      </c>
      <c r="J44" s="154" t="s">
        <v>257</v>
      </c>
      <c r="K44" s="154" t="s">
        <v>8045</v>
      </c>
      <c r="L44" s="151"/>
      <c r="M44" s="151">
        <v>2284</v>
      </c>
      <c r="N44" s="398" t="s">
        <v>13482</v>
      </c>
      <c r="O44" s="398" t="s">
        <v>13483</v>
      </c>
      <c r="P44" s="156" t="s">
        <v>11942</v>
      </c>
      <c r="Q44" s="174" t="s">
        <v>11943</v>
      </c>
      <c r="R44" s="151" t="s">
        <v>11333</v>
      </c>
      <c r="S44" s="407" t="s">
        <v>13543</v>
      </c>
      <c r="T44" s="151" t="s">
        <v>11944</v>
      </c>
      <c r="U44" s="151" t="s">
        <v>172</v>
      </c>
      <c r="V44" s="157" t="s">
        <v>94</v>
      </c>
      <c r="W44" s="158">
        <v>43785</v>
      </c>
      <c r="X44" s="159"/>
      <c r="Y44" s="160" t="s">
        <v>95</v>
      </c>
      <c r="Z44" s="161"/>
      <c r="AA44" s="159" t="s">
        <v>96</v>
      </c>
      <c r="AB44" s="151" t="s">
        <v>97</v>
      </c>
      <c r="AC44" s="162" t="s">
        <v>11945</v>
      </c>
      <c r="AD44" s="151" t="s">
        <v>176</v>
      </c>
      <c r="AE44" s="151" t="s">
        <v>2712</v>
      </c>
      <c r="AF44" s="151" t="s">
        <v>891</v>
      </c>
      <c r="AG44" s="151" t="s">
        <v>178</v>
      </c>
      <c r="AH44" s="151" t="s">
        <v>178</v>
      </c>
      <c r="AI44" s="151">
        <v>65141</v>
      </c>
      <c r="AJ44" s="151" t="s">
        <v>103</v>
      </c>
      <c r="AK44" s="163"/>
      <c r="AL44" s="163"/>
      <c r="AM44" s="163" t="s">
        <v>12183</v>
      </c>
      <c r="AN44" s="151" t="s">
        <v>12183</v>
      </c>
      <c r="AO44" s="163">
        <v>1</v>
      </c>
      <c r="AP44" s="163">
        <v>1</v>
      </c>
      <c r="AQ44" s="163"/>
      <c r="AR44" s="163"/>
      <c r="AS44" s="279">
        <v>16</v>
      </c>
      <c r="AT44" s="279">
        <v>120</v>
      </c>
      <c r="AU44" s="163"/>
      <c r="AV44" s="163" t="s">
        <v>112</v>
      </c>
      <c r="AW44" s="163" t="s">
        <v>150</v>
      </c>
      <c r="AX44" s="163" t="s">
        <v>114</v>
      </c>
      <c r="AY44" s="164" t="s">
        <v>12359</v>
      </c>
      <c r="AZ44" s="151" t="s">
        <v>12443</v>
      </c>
      <c r="BA44" s="163" t="s">
        <v>94</v>
      </c>
      <c r="BB44" s="165">
        <v>31828</v>
      </c>
      <c r="BC44" s="163" t="s">
        <v>96</v>
      </c>
      <c r="BD44" s="163" t="s">
        <v>12511</v>
      </c>
      <c r="BE44" s="163" t="s">
        <v>118</v>
      </c>
      <c r="BF44" s="151" t="s">
        <v>276</v>
      </c>
      <c r="BG44" s="163" t="s">
        <v>12584</v>
      </c>
      <c r="BH44" s="163" t="s">
        <v>12678</v>
      </c>
      <c r="BI44" s="6"/>
      <c r="BJ44" s="166">
        <v>4500000</v>
      </c>
      <c r="BK44" s="151" t="s">
        <v>12786</v>
      </c>
      <c r="BL44" s="167" t="s">
        <v>12891</v>
      </c>
      <c r="BM44" s="151" t="s">
        <v>12974</v>
      </c>
      <c r="BN44" s="151" t="s">
        <v>4601</v>
      </c>
      <c r="BO44" s="165">
        <v>36296</v>
      </c>
      <c r="BP44" s="163" t="s">
        <v>96</v>
      </c>
      <c r="BQ44" s="163" t="s">
        <v>12183</v>
      </c>
      <c r="BR44" s="163" t="s">
        <v>216</v>
      </c>
      <c r="BS44" s="151" t="s">
        <v>195</v>
      </c>
      <c r="BT44" s="163" t="s">
        <v>13054</v>
      </c>
      <c r="BU44" s="163" t="s">
        <v>13105</v>
      </c>
      <c r="BV44" s="163" t="s">
        <v>12183</v>
      </c>
      <c r="BW44" s="163">
        <v>2000000</v>
      </c>
      <c r="BX44" s="151" t="s">
        <v>13186</v>
      </c>
      <c r="BY44" s="151"/>
      <c r="BZ44" s="163" t="s">
        <v>108</v>
      </c>
      <c r="CA44" s="281"/>
      <c r="CB44" s="163"/>
      <c r="CC44" s="163"/>
      <c r="CD44" s="163"/>
      <c r="CE44" s="163"/>
      <c r="CF44" s="151"/>
      <c r="CG44" s="163"/>
      <c r="CH44" s="151"/>
      <c r="CI44" s="151"/>
      <c r="CJ44" s="151"/>
      <c r="CK44" s="151"/>
      <c r="CL44" s="151"/>
    </row>
    <row r="45" spans="1:90" s="168" customFormat="1" ht="21" customHeight="1">
      <c r="A45" s="151">
        <v>99</v>
      </c>
      <c r="B45" s="152"/>
      <c r="C45" s="152"/>
      <c r="D45" s="6"/>
      <c r="E45" s="6"/>
      <c r="F45" s="6"/>
      <c r="G45" s="151"/>
      <c r="H45" s="153"/>
      <c r="I45" s="169" t="s">
        <v>2452</v>
      </c>
      <c r="J45" s="169" t="s">
        <v>11946</v>
      </c>
      <c r="K45" s="169" t="s">
        <v>11947</v>
      </c>
      <c r="L45" s="151"/>
      <c r="M45" s="151">
        <v>2285</v>
      </c>
      <c r="N45" s="398" t="s">
        <v>13485</v>
      </c>
      <c r="O45" s="398" t="s">
        <v>13484</v>
      </c>
      <c r="P45" s="170" t="s">
        <v>11948</v>
      </c>
      <c r="Q45" s="174" t="s">
        <v>11949</v>
      </c>
      <c r="R45" s="151" t="s">
        <v>11333</v>
      </c>
      <c r="S45" s="407" t="s">
        <v>13543</v>
      </c>
      <c r="T45" s="151" t="s">
        <v>2240</v>
      </c>
      <c r="U45" s="151" t="s">
        <v>172</v>
      </c>
      <c r="V45" s="157" t="s">
        <v>222</v>
      </c>
      <c r="W45" s="171">
        <v>43543</v>
      </c>
      <c r="X45" s="159"/>
      <c r="Y45" s="172" t="s">
        <v>11682</v>
      </c>
      <c r="Z45" s="169" t="s">
        <v>1326</v>
      </c>
      <c r="AA45" s="159" t="s">
        <v>96</v>
      </c>
      <c r="AB45" s="151" t="s">
        <v>97</v>
      </c>
      <c r="AC45" s="162" t="s">
        <v>11950</v>
      </c>
      <c r="AD45" s="151" t="s">
        <v>384</v>
      </c>
      <c r="AE45" s="151" t="s">
        <v>207</v>
      </c>
      <c r="AF45" s="151" t="s">
        <v>11951</v>
      </c>
      <c r="AG45" s="151" t="s">
        <v>410</v>
      </c>
      <c r="AH45" s="163" t="s">
        <v>141</v>
      </c>
      <c r="AI45" s="151">
        <v>65153</v>
      </c>
      <c r="AJ45" s="151" t="s">
        <v>142</v>
      </c>
      <c r="AK45" s="163"/>
      <c r="AL45" s="163"/>
      <c r="AM45" s="163" t="s">
        <v>12184</v>
      </c>
      <c r="AN45" s="151" t="s">
        <v>12234</v>
      </c>
      <c r="AO45" s="163">
        <v>1</v>
      </c>
      <c r="AP45" s="163">
        <v>0</v>
      </c>
      <c r="AQ45" s="163"/>
      <c r="AR45" s="163"/>
      <c r="AS45" s="280">
        <v>21</v>
      </c>
      <c r="AT45" s="280">
        <v>112</v>
      </c>
      <c r="AU45" s="163"/>
      <c r="AV45" s="163" t="s">
        <v>212</v>
      </c>
      <c r="AW45" s="163" t="s">
        <v>150</v>
      </c>
      <c r="AX45" s="163" t="s">
        <v>213</v>
      </c>
      <c r="AY45" s="164" t="s">
        <v>12360</v>
      </c>
      <c r="AZ45" s="151" t="s">
        <v>12444</v>
      </c>
      <c r="BA45" s="163" t="s">
        <v>94</v>
      </c>
      <c r="BB45" s="165">
        <v>31919</v>
      </c>
      <c r="BC45" s="163" t="s">
        <v>96</v>
      </c>
      <c r="BD45" s="163" t="s">
        <v>12184</v>
      </c>
      <c r="BE45" s="163" t="s">
        <v>118</v>
      </c>
      <c r="BF45" s="151" t="s">
        <v>4519</v>
      </c>
      <c r="BG45" s="163" t="s">
        <v>226</v>
      </c>
      <c r="BH45" s="163" t="s">
        <v>12679</v>
      </c>
      <c r="BI45" s="6" t="s">
        <v>7732</v>
      </c>
      <c r="BJ45" s="166">
        <v>3000000</v>
      </c>
      <c r="BK45" s="151" t="s">
        <v>12787</v>
      </c>
      <c r="BL45" s="167" t="s">
        <v>12892</v>
      </c>
      <c r="BM45" s="151" t="s">
        <v>12975</v>
      </c>
      <c r="BN45" s="151" t="s">
        <v>5060</v>
      </c>
      <c r="BO45" s="165">
        <v>33125</v>
      </c>
      <c r="BP45" s="163" t="s">
        <v>96</v>
      </c>
      <c r="BQ45" s="163" t="s">
        <v>12234</v>
      </c>
      <c r="BR45" s="163" t="s">
        <v>118</v>
      </c>
      <c r="BS45" s="151" t="s">
        <v>276</v>
      </c>
      <c r="BT45" s="163" t="s">
        <v>13055</v>
      </c>
      <c r="BU45" s="163" t="s">
        <v>13106</v>
      </c>
      <c r="BV45" s="163" t="s">
        <v>1326</v>
      </c>
      <c r="BW45" s="163">
        <v>2500000</v>
      </c>
      <c r="BX45" s="151" t="s">
        <v>13187</v>
      </c>
      <c r="BY45" s="151"/>
      <c r="BZ45" s="163" t="s">
        <v>108</v>
      </c>
      <c r="CA45" s="282"/>
      <c r="CB45" s="163"/>
      <c r="CC45" s="163"/>
      <c r="CD45" s="163"/>
      <c r="CE45" s="163"/>
      <c r="CF45" s="151"/>
      <c r="CG45" s="163"/>
      <c r="CH45" s="151"/>
      <c r="CI45" s="151"/>
      <c r="CJ45" s="151"/>
      <c r="CK45" s="151"/>
      <c r="CL45" s="151"/>
    </row>
    <row r="46" spans="1:90" s="168" customFormat="1" ht="21" customHeight="1">
      <c r="A46" s="151">
        <v>20</v>
      </c>
      <c r="B46" s="152"/>
      <c r="C46" s="152"/>
      <c r="D46" s="6"/>
      <c r="E46" s="6"/>
      <c r="F46" s="6"/>
      <c r="G46" s="151"/>
      <c r="H46" s="153"/>
      <c r="I46" s="169" t="s">
        <v>2684</v>
      </c>
      <c r="J46" s="169" t="s">
        <v>11957</v>
      </c>
      <c r="K46" s="169" t="s">
        <v>609</v>
      </c>
      <c r="L46" s="151"/>
      <c r="M46" s="151">
        <v>2287</v>
      </c>
      <c r="N46" s="398" t="s">
        <v>13487</v>
      </c>
      <c r="O46" s="398" t="s">
        <v>6922</v>
      </c>
      <c r="P46" s="170" t="s">
        <v>11958</v>
      </c>
      <c r="Q46" s="387" t="s">
        <v>11959</v>
      </c>
      <c r="R46" s="151" t="s">
        <v>11333</v>
      </c>
      <c r="S46" s="407" t="s">
        <v>13543</v>
      </c>
      <c r="T46" s="151" t="s">
        <v>11960</v>
      </c>
      <c r="U46" s="151" t="s">
        <v>172</v>
      </c>
      <c r="V46" s="157" t="s">
        <v>94</v>
      </c>
      <c r="W46" s="171">
        <v>43839</v>
      </c>
      <c r="X46" s="159"/>
      <c r="Y46" s="172" t="s">
        <v>95</v>
      </c>
      <c r="Z46" s="169" t="s">
        <v>127</v>
      </c>
      <c r="AA46" s="159" t="s">
        <v>96</v>
      </c>
      <c r="AB46" s="151" t="s">
        <v>97</v>
      </c>
      <c r="AC46" s="162" t="s">
        <v>11961</v>
      </c>
      <c r="AD46" s="151" t="s">
        <v>137</v>
      </c>
      <c r="AE46" s="151" t="s">
        <v>207</v>
      </c>
      <c r="AF46" s="151" t="s">
        <v>2359</v>
      </c>
      <c r="AG46" s="151" t="s">
        <v>11962</v>
      </c>
      <c r="AH46" s="163" t="s">
        <v>241</v>
      </c>
      <c r="AI46" s="151">
        <v>65125</v>
      </c>
      <c r="AJ46" s="151" t="s">
        <v>94</v>
      </c>
      <c r="AK46" s="163"/>
      <c r="AL46" s="163"/>
      <c r="AM46" s="163" t="s">
        <v>127</v>
      </c>
      <c r="AN46" s="151" t="s">
        <v>6927</v>
      </c>
      <c r="AO46" s="163">
        <v>3</v>
      </c>
      <c r="AP46" s="163">
        <v>2</v>
      </c>
      <c r="AQ46" s="163"/>
      <c r="AR46" s="163"/>
      <c r="AS46" s="280">
        <v>19</v>
      </c>
      <c r="AT46" s="280">
        <v>138</v>
      </c>
      <c r="AU46" s="163"/>
      <c r="AV46" s="163" t="s">
        <v>112</v>
      </c>
      <c r="AW46" s="163" t="s">
        <v>344</v>
      </c>
      <c r="AX46" s="163" t="s">
        <v>1722</v>
      </c>
      <c r="AY46" s="164" t="s">
        <v>12362</v>
      </c>
      <c r="AZ46" s="151" t="s">
        <v>6929</v>
      </c>
      <c r="BA46" s="163" t="s">
        <v>94</v>
      </c>
      <c r="BB46" s="165">
        <v>33513</v>
      </c>
      <c r="BC46" s="163" t="s">
        <v>96</v>
      </c>
      <c r="BD46" s="163" t="s">
        <v>6930</v>
      </c>
      <c r="BE46" s="163" t="s">
        <v>118</v>
      </c>
      <c r="BF46" s="151" t="s">
        <v>2059</v>
      </c>
      <c r="BG46" s="163" t="s">
        <v>6931</v>
      </c>
      <c r="BH46" s="163" t="s">
        <v>12680</v>
      </c>
      <c r="BI46" s="6" t="s">
        <v>127</v>
      </c>
      <c r="BJ46" s="166" t="s">
        <v>12788</v>
      </c>
      <c r="BK46" s="151" t="s">
        <v>6934</v>
      </c>
      <c r="BL46" s="167" t="s">
        <v>12894</v>
      </c>
      <c r="BM46" s="151" t="s">
        <v>6936</v>
      </c>
      <c r="BN46" s="151" t="s">
        <v>94</v>
      </c>
      <c r="BO46" s="165">
        <v>33721</v>
      </c>
      <c r="BP46" s="163" t="s">
        <v>96</v>
      </c>
      <c r="BQ46" s="163" t="s">
        <v>6927</v>
      </c>
      <c r="BR46" s="163" t="s">
        <v>118</v>
      </c>
      <c r="BS46" s="151" t="s">
        <v>254</v>
      </c>
      <c r="BT46" s="163" t="s">
        <v>127</v>
      </c>
      <c r="BU46" s="163" t="s">
        <v>127</v>
      </c>
      <c r="BV46" s="163" t="s">
        <v>127</v>
      </c>
      <c r="BW46" s="163" t="s">
        <v>127</v>
      </c>
      <c r="BX46" s="151" t="s">
        <v>6937</v>
      </c>
      <c r="BY46" s="151" t="s">
        <v>127</v>
      </c>
      <c r="BZ46" s="163" t="s">
        <v>108</v>
      </c>
      <c r="CA46" s="282"/>
      <c r="CB46" s="163"/>
      <c r="CC46" s="163"/>
      <c r="CD46" s="163"/>
      <c r="CE46" s="163"/>
      <c r="CF46" s="151"/>
      <c r="CG46" s="163"/>
      <c r="CH46" s="151"/>
      <c r="CI46" s="151"/>
      <c r="CJ46" s="151"/>
      <c r="CK46" s="151"/>
      <c r="CL46" s="151"/>
    </row>
    <row r="47" spans="1:90" s="168" customFormat="1" ht="21" customHeight="1">
      <c r="A47" s="151">
        <v>50</v>
      </c>
      <c r="B47" s="152"/>
      <c r="C47" s="152"/>
      <c r="D47" s="6"/>
      <c r="E47" s="6"/>
      <c r="F47" s="6"/>
      <c r="G47" s="151"/>
      <c r="H47" s="153"/>
      <c r="I47" s="169" t="s">
        <v>2452</v>
      </c>
      <c r="J47" s="169" t="s">
        <v>11988</v>
      </c>
      <c r="K47" s="169" t="s">
        <v>11989</v>
      </c>
      <c r="L47" s="151"/>
      <c r="M47" s="151">
        <v>2293</v>
      </c>
      <c r="N47" s="398" t="s">
        <v>13497</v>
      </c>
      <c r="O47" s="398" t="s">
        <v>5872</v>
      </c>
      <c r="P47" s="170" t="s">
        <v>11990</v>
      </c>
      <c r="Q47" s="174" t="s">
        <v>11991</v>
      </c>
      <c r="R47" s="151" t="s">
        <v>11333</v>
      </c>
      <c r="S47" s="407" t="s">
        <v>13543</v>
      </c>
      <c r="T47" s="151" t="s">
        <v>11992</v>
      </c>
      <c r="U47" s="151" t="s">
        <v>172</v>
      </c>
      <c r="V47" s="157" t="s">
        <v>94</v>
      </c>
      <c r="W47" s="171">
        <v>43797</v>
      </c>
      <c r="X47" s="159"/>
      <c r="Y47" s="172" t="s">
        <v>95</v>
      </c>
      <c r="Z47" s="173"/>
      <c r="AA47" s="159" t="s">
        <v>96</v>
      </c>
      <c r="AB47" s="151" t="s">
        <v>97</v>
      </c>
      <c r="AC47" s="162" t="s">
        <v>11993</v>
      </c>
      <c r="AD47" s="151" t="s">
        <v>546</v>
      </c>
      <c r="AE47" s="151" t="s">
        <v>294</v>
      </c>
      <c r="AF47" s="151" t="s">
        <v>755</v>
      </c>
      <c r="AG47" s="151" t="s">
        <v>102</v>
      </c>
      <c r="AH47" s="163" t="s">
        <v>102</v>
      </c>
      <c r="AI47" s="151">
        <v>65146</v>
      </c>
      <c r="AJ47" s="151" t="s">
        <v>94</v>
      </c>
      <c r="AK47" s="163"/>
      <c r="AL47" s="163"/>
      <c r="AM47" s="163" t="s">
        <v>5877</v>
      </c>
      <c r="AN47" s="151" t="s">
        <v>5877</v>
      </c>
      <c r="AO47" s="163">
        <v>3</v>
      </c>
      <c r="AP47" s="163">
        <v>2</v>
      </c>
      <c r="AQ47" s="163"/>
      <c r="AR47" s="163"/>
      <c r="AS47" s="280">
        <v>20</v>
      </c>
      <c r="AT47" s="280">
        <v>110</v>
      </c>
      <c r="AU47" s="163"/>
      <c r="AV47" s="163" t="s">
        <v>112</v>
      </c>
      <c r="AW47" s="163" t="s">
        <v>392</v>
      </c>
      <c r="AX47" s="163" t="s">
        <v>114</v>
      </c>
      <c r="AY47" s="164" t="s">
        <v>12368</v>
      </c>
      <c r="AZ47" s="151" t="s">
        <v>5879</v>
      </c>
      <c r="BA47" s="163" t="s">
        <v>2279</v>
      </c>
      <c r="BB47" s="165">
        <v>30476</v>
      </c>
      <c r="BC47" s="163" t="s">
        <v>96</v>
      </c>
      <c r="BD47" s="163" t="s">
        <v>5880</v>
      </c>
      <c r="BE47" s="163" t="s">
        <v>118</v>
      </c>
      <c r="BF47" s="151" t="s">
        <v>1571</v>
      </c>
      <c r="BG47" s="163" t="s">
        <v>12589</v>
      </c>
      <c r="BH47" s="163" t="s">
        <v>12684</v>
      </c>
      <c r="BI47" s="6" t="s">
        <v>10180</v>
      </c>
      <c r="BJ47" s="166" t="s">
        <v>122</v>
      </c>
      <c r="BK47" s="151" t="s">
        <v>12795</v>
      </c>
      <c r="BL47" s="167" t="s">
        <v>12900</v>
      </c>
      <c r="BM47" s="151" t="s">
        <v>5886</v>
      </c>
      <c r="BN47" s="151" t="s">
        <v>5887</v>
      </c>
      <c r="BO47" s="165">
        <v>31464</v>
      </c>
      <c r="BP47" s="163" t="s">
        <v>96</v>
      </c>
      <c r="BQ47" s="163" t="s">
        <v>5877</v>
      </c>
      <c r="BR47" s="163" t="s">
        <v>224</v>
      </c>
      <c r="BS47" s="151" t="s">
        <v>154</v>
      </c>
      <c r="BT47" s="163" t="s">
        <v>2563</v>
      </c>
      <c r="BU47" s="163" t="s">
        <v>10183</v>
      </c>
      <c r="BV47" s="163"/>
      <c r="BW47" s="163" t="s">
        <v>122</v>
      </c>
      <c r="BX47" s="151" t="s">
        <v>5889</v>
      </c>
      <c r="BY47" s="151"/>
      <c r="BZ47" s="163" t="s">
        <v>108</v>
      </c>
      <c r="CA47" s="282"/>
      <c r="CB47" s="163"/>
      <c r="CC47" s="163"/>
      <c r="CD47" s="163"/>
      <c r="CE47" s="163"/>
      <c r="CF47" s="151"/>
      <c r="CG47" s="163"/>
      <c r="CH47" s="151"/>
      <c r="CI47" s="151"/>
      <c r="CJ47" s="151"/>
      <c r="CK47" s="151"/>
      <c r="CL47" s="151"/>
    </row>
    <row r="48" spans="1:90" s="168" customFormat="1" ht="21" customHeight="1">
      <c r="A48" s="151">
        <v>29</v>
      </c>
      <c r="B48" s="152"/>
      <c r="C48" s="152"/>
      <c r="D48" s="6"/>
      <c r="E48" s="6"/>
      <c r="F48" s="6"/>
      <c r="G48" s="151"/>
      <c r="H48" s="153"/>
      <c r="I48" s="154" t="s">
        <v>2452</v>
      </c>
      <c r="J48" s="154" t="s">
        <v>11994</v>
      </c>
      <c r="K48" s="154" t="s">
        <v>11995</v>
      </c>
      <c r="L48" s="151"/>
      <c r="M48" s="151">
        <v>2294</v>
      </c>
      <c r="N48" s="151">
        <v>3196417078</v>
      </c>
      <c r="O48" s="398" t="s">
        <v>13498</v>
      </c>
      <c r="P48" s="401" t="s">
        <v>13499</v>
      </c>
      <c r="Q48" s="174" t="s">
        <v>11996</v>
      </c>
      <c r="R48" s="151" t="s">
        <v>11333</v>
      </c>
      <c r="S48" s="407" t="s">
        <v>13543</v>
      </c>
      <c r="T48" s="151" t="s">
        <v>8156</v>
      </c>
      <c r="U48" s="151" t="s">
        <v>172</v>
      </c>
      <c r="V48" s="157" t="s">
        <v>94</v>
      </c>
      <c r="W48" s="158">
        <v>43716</v>
      </c>
      <c r="X48" s="159"/>
      <c r="Y48" s="160" t="s">
        <v>95</v>
      </c>
      <c r="Z48" s="161"/>
      <c r="AA48" s="159" t="s">
        <v>96</v>
      </c>
      <c r="AB48" s="151" t="s">
        <v>97</v>
      </c>
      <c r="AC48" s="162" t="s">
        <v>11997</v>
      </c>
      <c r="AD48" s="151" t="s">
        <v>384</v>
      </c>
      <c r="AE48" s="151" t="s">
        <v>137</v>
      </c>
      <c r="AF48" s="151" t="s">
        <v>1483</v>
      </c>
      <c r="AG48" s="151" t="s">
        <v>687</v>
      </c>
      <c r="AH48" s="163" t="s">
        <v>141</v>
      </c>
      <c r="AI48" s="151">
        <v>65151</v>
      </c>
      <c r="AJ48" s="151" t="s">
        <v>94</v>
      </c>
      <c r="AK48" s="163"/>
      <c r="AL48" s="163"/>
      <c r="AM48" s="163" t="s">
        <v>12187</v>
      </c>
      <c r="AN48" s="151" t="s">
        <v>12187</v>
      </c>
      <c r="AO48" s="163">
        <v>2</v>
      </c>
      <c r="AP48" s="163">
        <v>2</v>
      </c>
      <c r="AQ48" s="163"/>
      <c r="AR48" s="163"/>
      <c r="AS48" s="279">
        <v>16</v>
      </c>
      <c r="AT48" s="279">
        <v>80</v>
      </c>
      <c r="AU48" s="163"/>
      <c r="AV48" s="163" t="s">
        <v>112</v>
      </c>
      <c r="AW48" s="163" t="s">
        <v>549</v>
      </c>
      <c r="AX48" s="163" t="s">
        <v>114</v>
      </c>
      <c r="AY48" s="164" t="s">
        <v>12369</v>
      </c>
      <c r="AZ48" s="151" t="s">
        <v>12449</v>
      </c>
      <c r="BA48" s="163" t="s">
        <v>12475</v>
      </c>
      <c r="BB48" s="165">
        <v>32570</v>
      </c>
      <c r="BC48" s="163" t="s">
        <v>96</v>
      </c>
      <c r="BD48" s="163" t="s">
        <v>12513</v>
      </c>
      <c r="BE48" s="163" t="s">
        <v>118</v>
      </c>
      <c r="BF48" s="151" t="s">
        <v>195</v>
      </c>
      <c r="BG48" s="163" t="s">
        <v>12590</v>
      </c>
      <c r="BH48" s="163" t="s">
        <v>11997</v>
      </c>
      <c r="BI48" s="6"/>
      <c r="BJ48" s="166">
        <v>5000000</v>
      </c>
      <c r="BK48" s="151" t="s">
        <v>12796</v>
      </c>
      <c r="BL48" s="167" t="s">
        <v>12901</v>
      </c>
      <c r="BM48" s="151" t="s">
        <v>12980</v>
      </c>
      <c r="BN48" s="151" t="s">
        <v>511</v>
      </c>
      <c r="BO48" s="165">
        <v>32923</v>
      </c>
      <c r="BP48" s="163" t="s">
        <v>96</v>
      </c>
      <c r="BQ48" s="163" t="s">
        <v>12187</v>
      </c>
      <c r="BR48" s="163" t="s">
        <v>118</v>
      </c>
      <c r="BS48" s="151" t="s">
        <v>13032</v>
      </c>
      <c r="BT48" s="163" t="s">
        <v>13059</v>
      </c>
      <c r="BU48" s="163" t="s">
        <v>687</v>
      </c>
      <c r="BV48" s="163"/>
      <c r="BW48" s="163" t="s">
        <v>5217</v>
      </c>
      <c r="BX48" s="151" t="s">
        <v>13196</v>
      </c>
      <c r="BY48" s="151"/>
      <c r="BZ48" s="163" t="s">
        <v>108</v>
      </c>
      <c r="CA48" s="281"/>
      <c r="CB48" s="163"/>
      <c r="CC48" s="163"/>
      <c r="CD48" s="163"/>
      <c r="CE48" s="163"/>
      <c r="CF48" s="151"/>
      <c r="CG48" s="163"/>
      <c r="CH48" s="151"/>
      <c r="CI48" s="151"/>
      <c r="CJ48" s="151"/>
      <c r="CK48" s="151"/>
      <c r="CL48" s="151"/>
    </row>
    <row r="49" spans="1:90" s="168" customFormat="1" ht="21" customHeight="1">
      <c r="A49" s="151">
        <v>72</v>
      </c>
      <c r="B49" s="152"/>
      <c r="C49" s="152"/>
      <c r="D49" s="6"/>
      <c r="E49" s="6"/>
      <c r="F49" s="6"/>
      <c r="G49" s="151"/>
      <c r="H49" s="153"/>
      <c r="I49" s="154" t="s">
        <v>2452</v>
      </c>
      <c r="J49" s="154" t="s">
        <v>12040</v>
      </c>
      <c r="K49" s="154" t="s">
        <v>12041</v>
      </c>
      <c r="L49" s="151"/>
      <c r="M49" s="151">
        <v>2304</v>
      </c>
      <c r="N49" s="151">
        <v>3195402001</v>
      </c>
      <c r="O49" s="398" t="s">
        <v>13514</v>
      </c>
      <c r="P49" s="156" t="s">
        <v>12042</v>
      </c>
      <c r="Q49" s="174" t="s">
        <v>12043</v>
      </c>
      <c r="R49" s="151" t="s">
        <v>11333</v>
      </c>
      <c r="S49" s="407" t="s">
        <v>13543</v>
      </c>
      <c r="T49" s="151" t="s">
        <v>12044</v>
      </c>
      <c r="U49" s="151" t="s">
        <v>172</v>
      </c>
      <c r="V49" s="157" t="s">
        <v>2622</v>
      </c>
      <c r="W49" s="158">
        <v>43634</v>
      </c>
      <c r="X49" s="159"/>
      <c r="Y49" s="160" t="s">
        <v>95</v>
      </c>
      <c r="Z49" s="161"/>
      <c r="AA49" s="159" t="s">
        <v>96</v>
      </c>
      <c r="AB49" s="151" t="s">
        <v>97</v>
      </c>
      <c r="AC49" s="162" t="s">
        <v>12045</v>
      </c>
      <c r="AD49" s="151" t="s">
        <v>239</v>
      </c>
      <c r="AE49" s="151" t="s">
        <v>265</v>
      </c>
      <c r="AF49" s="151" t="s">
        <v>942</v>
      </c>
      <c r="AG49" s="151" t="s">
        <v>178</v>
      </c>
      <c r="AH49" s="151" t="s">
        <v>178</v>
      </c>
      <c r="AI49" s="151">
        <v>65143</v>
      </c>
      <c r="AJ49" s="151" t="s">
        <v>103</v>
      </c>
      <c r="AK49" s="163"/>
      <c r="AL49" s="163"/>
      <c r="AM49" s="163" t="s">
        <v>12192</v>
      </c>
      <c r="AN49" s="151">
        <v>0</v>
      </c>
      <c r="AO49" s="163">
        <v>1</v>
      </c>
      <c r="AP49" s="163">
        <v>0</v>
      </c>
      <c r="AQ49" s="163"/>
      <c r="AR49" s="163"/>
      <c r="AS49" s="279">
        <v>24</v>
      </c>
      <c r="AT49" s="279">
        <v>118</v>
      </c>
      <c r="AU49" s="163"/>
      <c r="AV49" s="163" t="s">
        <v>112</v>
      </c>
      <c r="AW49" s="163" t="s">
        <v>392</v>
      </c>
      <c r="AX49" s="163" t="s">
        <v>114</v>
      </c>
      <c r="AY49" s="164" t="s">
        <v>12379</v>
      </c>
      <c r="AZ49" s="151" t="s">
        <v>12456</v>
      </c>
      <c r="BA49" s="163" t="s">
        <v>12476</v>
      </c>
      <c r="BB49" s="165">
        <v>31995</v>
      </c>
      <c r="BC49" s="163" t="s">
        <v>96</v>
      </c>
      <c r="BD49" s="163" t="s">
        <v>12517</v>
      </c>
      <c r="BE49" s="163" t="s">
        <v>153</v>
      </c>
      <c r="BF49" s="151" t="s">
        <v>12538</v>
      </c>
      <c r="BG49" s="163" t="s">
        <v>2563</v>
      </c>
      <c r="BH49" s="163" t="s">
        <v>2564</v>
      </c>
      <c r="BI49" s="6" t="s">
        <v>8339</v>
      </c>
      <c r="BJ49" s="166" t="s">
        <v>12807</v>
      </c>
      <c r="BK49" s="151" t="s">
        <v>12808</v>
      </c>
      <c r="BL49" s="167" t="s">
        <v>12911</v>
      </c>
      <c r="BM49" s="151" t="s">
        <v>12987</v>
      </c>
      <c r="BN49" s="151" t="s">
        <v>971</v>
      </c>
      <c r="BO49" s="165">
        <v>32038</v>
      </c>
      <c r="BP49" s="163" t="s">
        <v>96</v>
      </c>
      <c r="BQ49" s="163" t="s">
        <v>13019</v>
      </c>
      <c r="BR49" s="163" t="s">
        <v>118</v>
      </c>
      <c r="BS49" s="151" t="s">
        <v>13034</v>
      </c>
      <c r="BT49" s="163" t="s">
        <v>13064</v>
      </c>
      <c r="BU49" s="163" t="s">
        <v>13121</v>
      </c>
      <c r="BV49" s="163"/>
      <c r="BW49" s="163" t="s">
        <v>3619</v>
      </c>
      <c r="BX49" s="151" t="s">
        <v>13206</v>
      </c>
      <c r="BY49" s="151"/>
      <c r="BZ49" s="163" t="s">
        <v>108</v>
      </c>
      <c r="CA49" s="281"/>
      <c r="CB49" s="163"/>
      <c r="CC49" s="163"/>
      <c r="CD49" s="163"/>
      <c r="CE49" s="163"/>
      <c r="CF49" s="151"/>
      <c r="CG49" s="163"/>
      <c r="CH49" s="151"/>
      <c r="CI49" s="151"/>
      <c r="CJ49" s="151"/>
      <c r="CK49" s="151"/>
      <c r="CL49" s="151"/>
    </row>
    <row r="50" spans="1:90" s="168" customFormat="1" ht="21" customHeight="1">
      <c r="A50" s="151">
        <v>14</v>
      </c>
      <c r="B50" s="152"/>
      <c r="C50" s="152"/>
      <c r="D50" s="6"/>
      <c r="E50" s="6"/>
      <c r="F50" s="6"/>
      <c r="G50" s="151"/>
      <c r="H50" s="153"/>
      <c r="I50" s="169" t="s">
        <v>2452</v>
      </c>
      <c r="J50" s="169" t="s">
        <v>7926</v>
      </c>
      <c r="K50" s="169" t="s">
        <v>12073</v>
      </c>
      <c r="L50" s="151"/>
      <c r="M50" s="151">
        <v>2311</v>
      </c>
      <c r="N50" s="151" t="s">
        <v>13526</v>
      </c>
      <c r="O50" s="398" t="s">
        <v>13525</v>
      </c>
      <c r="P50" s="170" t="s">
        <v>12074</v>
      </c>
      <c r="Q50" s="174" t="s">
        <v>12075</v>
      </c>
      <c r="R50" s="151" t="s">
        <v>11333</v>
      </c>
      <c r="S50" s="407" t="s">
        <v>13543</v>
      </c>
      <c r="T50" s="151" t="s">
        <v>12076</v>
      </c>
      <c r="U50" s="151" t="s">
        <v>93</v>
      </c>
      <c r="V50" s="157" t="s">
        <v>94</v>
      </c>
      <c r="W50" s="171">
        <v>43898</v>
      </c>
      <c r="X50" s="159"/>
      <c r="Y50" s="172" t="s">
        <v>95</v>
      </c>
      <c r="Z50" s="173"/>
      <c r="AA50" s="159" t="s">
        <v>96</v>
      </c>
      <c r="AB50" s="151" t="s">
        <v>97</v>
      </c>
      <c r="AC50" s="162" t="s">
        <v>12077</v>
      </c>
      <c r="AD50" s="151" t="s">
        <v>293</v>
      </c>
      <c r="AE50" s="151" t="s">
        <v>99</v>
      </c>
      <c r="AF50" s="151" t="s">
        <v>4064</v>
      </c>
      <c r="AG50" s="151" t="s">
        <v>178</v>
      </c>
      <c r="AH50" s="151" t="s">
        <v>178</v>
      </c>
      <c r="AI50" s="151">
        <v>65142</v>
      </c>
      <c r="AJ50" s="151" t="s">
        <v>103</v>
      </c>
      <c r="AK50" s="163"/>
      <c r="AL50" s="163"/>
      <c r="AM50" s="163" t="s">
        <v>12197</v>
      </c>
      <c r="AN50" s="151" t="s">
        <v>12248</v>
      </c>
      <c r="AO50" s="163">
        <v>1</v>
      </c>
      <c r="AP50" s="163">
        <v>2</v>
      </c>
      <c r="AQ50" s="163"/>
      <c r="AR50" s="163"/>
      <c r="AS50" s="280">
        <v>21</v>
      </c>
      <c r="AT50" s="280">
        <v>125</v>
      </c>
      <c r="AU50" s="163"/>
      <c r="AV50" s="163" t="s">
        <v>112</v>
      </c>
      <c r="AW50" s="163" t="s">
        <v>113</v>
      </c>
      <c r="AX50" s="163" t="s">
        <v>183</v>
      </c>
      <c r="AY50" s="164" t="s">
        <v>12386</v>
      </c>
      <c r="AZ50" s="151" t="s">
        <v>12463</v>
      </c>
      <c r="BA50" s="163" t="s">
        <v>94</v>
      </c>
      <c r="BB50" s="165">
        <v>32910</v>
      </c>
      <c r="BC50" s="163" t="s">
        <v>96</v>
      </c>
      <c r="BD50" s="163" t="s">
        <v>12248</v>
      </c>
      <c r="BE50" s="163" t="s">
        <v>118</v>
      </c>
      <c r="BF50" s="151" t="s">
        <v>12540</v>
      </c>
      <c r="BG50" s="163" t="s">
        <v>12602</v>
      </c>
      <c r="BH50" s="163" t="s">
        <v>12704</v>
      </c>
      <c r="BI50" s="6"/>
      <c r="BJ50" s="166" t="s">
        <v>556</v>
      </c>
      <c r="BK50" s="151" t="s">
        <v>12817</v>
      </c>
      <c r="BL50" s="167" t="s">
        <v>12918</v>
      </c>
      <c r="BM50" s="151" t="s">
        <v>12994</v>
      </c>
      <c r="BN50" s="151" t="s">
        <v>94</v>
      </c>
      <c r="BO50" s="165">
        <v>34018</v>
      </c>
      <c r="BP50" s="163" t="s">
        <v>96</v>
      </c>
      <c r="BQ50" s="163" t="s">
        <v>13020</v>
      </c>
      <c r="BR50" s="163" t="s">
        <v>153</v>
      </c>
      <c r="BS50" s="151" t="s">
        <v>126</v>
      </c>
      <c r="BT50" s="163" t="s">
        <v>126</v>
      </c>
      <c r="BU50" s="163" t="s">
        <v>12077</v>
      </c>
      <c r="BV50" s="163"/>
      <c r="BW50" s="163" t="s">
        <v>12197</v>
      </c>
      <c r="BX50" s="151" t="s">
        <v>13213</v>
      </c>
      <c r="BY50" s="151"/>
      <c r="BZ50" s="163" t="s">
        <v>108</v>
      </c>
      <c r="CA50" s="282"/>
      <c r="CB50" s="163"/>
      <c r="CC50" s="163"/>
      <c r="CD50" s="163"/>
      <c r="CE50" s="163"/>
      <c r="CF50" s="151"/>
      <c r="CG50" s="163"/>
      <c r="CH50" s="151"/>
      <c r="CI50" s="151"/>
      <c r="CJ50" s="151"/>
      <c r="CK50" s="151"/>
      <c r="CL50" s="151"/>
    </row>
    <row r="51" spans="1:90" s="168" customFormat="1" ht="21" customHeight="1">
      <c r="A51" s="151">
        <v>18</v>
      </c>
      <c r="B51" s="152"/>
      <c r="C51" s="152"/>
      <c r="D51" s="6"/>
      <c r="E51" s="6"/>
      <c r="F51" s="6"/>
      <c r="G51" s="151"/>
      <c r="H51" s="153"/>
      <c r="I51" s="169" t="s">
        <v>2452</v>
      </c>
      <c r="J51" s="169" t="s">
        <v>9120</v>
      </c>
      <c r="K51" s="169" t="s">
        <v>915</v>
      </c>
      <c r="L51" s="151"/>
      <c r="M51" s="151">
        <v>2313</v>
      </c>
      <c r="N51" s="151"/>
      <c r="O51" s="398" t="s">
        <v>13528</v>
      </c>
      <c r="P51" s="170" t="s">
        <v>12085</v>
      </c>
      <c r="Q51" s="174" t="s">
        <v>12086</v>
      </c>
      <c r="R51" s="151" t="s">
        <v>11333</v>
      </c>
      <c r="S51" s="407" t="s">
        <v>13543</v>
      </c>
      <c r="T51" s="151" t="s">
        <v>4549</v>
      </c>
      <c r="U51" s="151" t="s">
        <v>93</v>
      </c>
      <c r="V51" s="157" t="s">
        <v>94</v>
      </c>
      <c r="W51" s="171">
        <v>43959</v>
      </c>
      <c r="X51" s="159"/>
      <c r="Y51" s="172" t="s">
        <v>95</v>
      </c>
      <c r="Z51" s="169" t="s">
        <v>127</v>
      </c>
      <c r="AA51" s="159" t="s">
        <v>96</v>
      </c>
      <c r="AB51" s="151" t="s">
        <v>97</v>
      </c>
      <c r="AC51" s="162" t="s">
        <v>12087</v>
      </c>
      <c r="AD51" s="151">
        <v>17</v>
      </c>
      <c r="AE51" s="151" t="s">
        <v>100</v>
      </c>
      <c r="AF51" s="151" t="s">
        <v>3957</v>
      </c>
      <c r="AG51" s="151" t="s">
        <v>3503</v>
      </c>
      <c r="AH51" s="163" t="s">
        <v>141</v>
      </c>
      <c r="AI51" s="151">
        <v>65154</v>
      </c>
      <c r="AJ51" s="151" t="s">
        <v>94</v>
      </c>
      <c r="AK51" s="163"/>
      <c r="AL51" s="163"/>
      <c r="AM51" s="163" t="s">
        <v>127</v>
      </c>
      <c r="AN51" s="151" t="s">
        <v>12250</v>
      </c>
      <c r="AO51" s="163">
        <v>1</v>
      </c>
      <c r="AP51" s="163" t="s">
        <v>127</v>
      </c>
      <c r="AQ51" s="163"/>
      <c r="AR51" s="163"/>
      <c r="AS51" s="280">
        <v>33</v>
      </c>
      <c r="AT51" s="280">
        <v>110</v>
      </c>
      <c r="AU51" s="163"/>
      <c r="AV51" s="163" t="s">
        <v>112</v>
      </c>
      <c r="AW51" s="163" t="s">
        <v>127</v>
      </c>
      <c r="AX51" s="163" t="s">
        <v>273</v>
      </c>
      <c r="AY51" s="164" t="s">
        <v>12388</v>
      </c>
      <c r="AZ51" s="151" t="s">
        <v>12465</v>
      </c>
      <c r="BA51" s="163" t="s">
        <v>94</v>
      </c>
      <c r="BB51" s="165">
        <v>33111</v>
      </c>
      <c r="BC51" s="163" t="s">
        <v>96</v>
      </c>
      <c r="BD51" s="163" t="s">
        <v>12250</v>
      </c>
      <c r="BE51" s="163" t="s">
        <v>118</v>
      </c>
      <c r="BF51" s="151" t="s">
        <v>1571</v>
      </c>
      <c r="BG51" s="163" t="s">
        <v>12604</v>
      </c>
      <c r="BH51" s="163" t="s">
        <v>12707</v>
      </c>
      <c r="BI51" s="6" t="s">
        <v>127</v>
      </c>
      <c r="BJ51" s="166" t="s">
        <v>127</v>
      </c>
      <c r="BK51" s="151" t="s">
        <v>12819</v>
      </c>
      <c r="BL51" s="167" t="s">
        <v>12920</v>
      </c>
      <c r="BM51" s="151" t="s">
        <v>12996</v>
      </c>
      <c r="BN51" s="151" t="s">
        <v>94</v>
      </c>
      <c r="BO51" s="165">
        <v>33838</v>
      </c>
      <c r="BP51" s="163" t="s">
        <v>96</v>
      </c>
      <c r="BQ51" s="163" t="s">
        <v>13021</v>
      </c>
      <c r="BR51" s="163" t="s">
        <v>118</v>
      </c>
      <c r="BS51" s="151" t="s">
        <v>127</v>
      </c>
      <c r="BT51" s="163" t="s">
        <v>127</v>
      </c>
      <c r="BU51" s="163" t="s">
        <v>127</v>
      </c>
      <c r="BV51" s="163" t="s">
        <v>127</v>
      </c>
      <c r="BW51" s="163" t="s">
        <v>127</v>
      </c>
      <c r="BX51" s="151" t="s">
        <v>127</v>
      </c>
      <c r="BY51" s="151" t="s">
        <v>127</v>
      </c>
      <c r="BZ51" s="163" t="s">
        <v>127</v>
      </c>
      <c r="CA51" s="283">
        <v>32874</v>
      </c>
      <c r="CB51" s="163"/>
      <c r="CC51" s="163" t="s">
        <v>127</v>
      </c>
      <c r="CD51" s="163" t="s">
        <v>118</v>
      </c>
      <c r="CE51" s="163" t="s">
        <v>127</v>
      </c>
      <c r="CF51" s="151"/>
      <c r="CG51" s="163"/>
      <c r="CH51" s="151"/>
      <c r="CI51" s="151"/>
      <c r="CJ51" s="151"/>
      <c r="CK51" s="151"/>
      <c r="CL51" s="151"/>
    </row>
    <row r="52" spans="1:90" s="168" customFormat="1" ht="21" customHeight="1">
      <c r="A52" s="151">
        <v>15</v>
      </c>
      <c r="B52" s="152"/>
      <c r="C52" s="152"/>
      <c r="D52" s="6"/>
      <c r="E52" s="6"/>
      <c r="F52" s="6"/>
      <c r="G52" s="151"/>
      <c r="H52" s="153"/>
      <c r="I52" s="154" t="s">
        <v>2452</v>
      </c>
      <c r="J52" s="154" t="s">
        <v>747</v>
      </c>
      <c r="K52" s="154" t="s">
        <v>12088</v>
      </c>
      <c r="L52" s="151"/>
      <c r="M52" s="151">
        <v>2314</v>
      </c>
      <c r="N52" s="151"/>
      <c r="O52" s="398" t="s">
        <v>13529</v>
      </c>
      <c r="P52" s="156" t="s">
        <v>12089</v>
      </c>
      <c r="Q52" s="174" t="s">
        <v>12090</v>
      </c>
      <c r="R52" s="151" t="s">
        <v>11333</v>
      </c>
      <c r="S52" s="407" t="s">
        <v>13543</v>
      </c>
      <c r="T52" s="151" t="s">
        <v>12091</v>
      </c>
      <c r="U52" s="151" t="s">
        <v>93</v>
      </c>
      <c r="V52" s="157" t="s">
        <v>94</v>
      </c>
      <c r="W52" s="158">
        <v>43904</v>
      </c>
      <c r="X52" s="159"/>
      <c r="Y52" s="160" t="s">
        <v>95</v>
      </c>
      <c r="Z52" s="154"/>
      <c r="AA52" s="159" t="s">
        <v>96</v>
      </c>
      <c r="AB52" s="151" t="s">
        <v>97</v>
      </c>
      <c r="AC52" s="162" t="s">
        <v>12092</v>
      </c>
      <c r="AD52" s="151">
        <v>13</v>
      </c>
      <c r="AE52" s="151">
        <v>11</v>
      </c>
      <c r="AF52" s="151" t="s">
        <v>437</v>
      </c>
      <c r="AG52" s="151" t="s">
        <v>178</v>
      </c>
      <c r="AH52" s="151" t="s">
        <v>178</v>
      </c>
      <c r="AI52" s="151">
        <v>65144</v>
      </c>
      <c r="AJ52" s="151" t="s">
        <v>94</v>
      </c>
      <c r="AK52" s="163"/>
      <c r="AL52" s="163"/>
      <c r="AM52" s="163" t="s">
        <v>439</v>
      </c>
      <c r="AN52" s="151" t="s">
        <v>439</v>
      </c>
      <c r="AO52" s="163">
        <v>2</v>
      </c>
      <c r="AP52" s="163">
        <v>1</v>
      </c>
      <c r="AQ52" s="163"/>
      <c r="AR52" s="163"/>
      <c r="AS52" s="279">
        <v>16</v>
      </c>
      <c r="AT52" s="279">
        <v>111</v>
      </c>
      <c r="AU52" s="163"/>
      <c r="AV52" s="163" t="s">
        <v>212</v>
      </c>
      <c r="AW52" s="163" t="s">
        <v>549</v>
      </c>
      <c r="AX52" s="163" t="s">
        <v>441</v>
      </c>
      <c r="AY52" s="164" t="s">
        <v>12389</v>
      </c>
      <c r="AZ52" s="151" t="s">
        <v>443</v>
      </c>
      <c r="BA52" s="163" t="s">
        <v>444</v>
      </c>
      <c r="BB52" s="165">
        <v>32643</v>
      </c>
      <c r="BC52" s="163" t="s">
        <v>96</v>
      </c>
      <c r="BD52" s="163" t="s">
        <v>445</v>
      </c>
      <c r="BE52" s="163" t="s">
        <v>153</v>
      </c>
      <c r="BF52" s="151" t="s">
        <v>154</v>
      </c>
      <c r="BG52" s="163" t="s">
        <v>3671</v>
      </c>
      <c r="BH52" s="163" t="s">
        <v>447</v>
      </c>
      <c r="BI52" s="6" t="s">
        <v>12708</v>
      </c>
      <c r="BJ52" s="166" t="s">
        <v>607</v>
      </c>
      <c r="BK52" s="151" t="s">
        <v>449</v>
      </c>
      <c r="BL52" s="167" t="s">
        <v>12921</v>
      </c>
      <c r="BM52" s="151" t="s">
        <v>451</v>
      </c>
      <c r="BN52" s="151" t="s">
        <v>435</v>
      </c>
      <c r="BO52" s="165">
        <v>33716</v>
      </c>
      <c r="BP52" s="163" t="s">
        <v>96</v>
      </c>
      <c r="BQ52" s="163" t="s">
        <v>439</v>
      </c>
      <c r="BR52" s="163" t="s">
        <v>118</v>
      </c>
      <c r="BS52" s="151" t="s">
        <v>254</v>
      </c>
      <c r="BT52" s="163" t="s">
        <v>452</v>
      </c>
      <c r="BU52" s="163" t="s">
        <v>12092</v>
      </c>
      <c r="BV52" s="163"/>
      <c r="BW52" s="163" t="s">
        <v>818</v>
      </c>
      <c r="BX52" s="151" t="s">
        <v>454</v>
      </c>
      <c r="BY52" s="151"/>
      <c r="BZ52" s="163" t="s">
        <v>108</v>
      </c>
      <c r="CA52" s="286"/>
      <c r="CB52" s="163"/>
      <c r="CC52" s="163"/>
      <c r="CD52" s="163"/>
      <c r="CE52" s="163"/>
      <c r="CF52" s="151"/>
      <c r="CG52" s="163"/>
      <c r="CH52" s="151"/>
      <c r="CI52" s="151"/>
      <c r="CJ52" s="151"/>
      <c r="CK52" s="151"/>
      <c r="CL52" s="151"/>
    </row>
    <row r="53" spans="1:90" s="168" customFormat="1" ht="21" customHeight="1">
      <c r="A53" s="151">
        <v>91</v>
      </c>
      <c r="B53" s="152"/>
      <c r="C53" s="152"/>
      <c r="D53" s="6"/>
      <c r="E53" s="6"/>
      <c r="F53" s="6"/>
      <c r="G53" s="151"/>
      <c r="H53" s="153"/>
      <c r="I53" s="169" t="s">
        <v>2452</v>
      </c>
      <c r="J53" s="169" t="s">
        <v>1917</v>
      </c>
      <c r="K53" s="169" t="s">
        <v>3624</v>
      </c>
      <c r="L53" s="151"/>
      <c r="M53" s="151">
        <v>2315</v>
      </c>
      <c r="N53" s="398" t="s">
        <v>13531</v>
      </c>
      <c r="O53" s="398" t="s">
        <v>13530</v>
      </c>
      <c r="P53" s="170" t="s">
        <v>12093</v>
      </c>
      <c r="Q53" s="388" t="s">
        <v>12094</v>
      </c>
      <c r="R53" s="151" t="s">
        <v>11333</v>
      </c>
      <c r="S53" s="407" t="s">
        <v>13543</v>
      </c>
      <c r="T53" s="151" t="s">
        <v>11839</v>
      </c>
      <c r="U53" s="151" t="s">
        <v>172</v>
      </c>
      <c r="V53" s="157" t="s">
        <v>94</v>
      </c>
      <c r="W53" s="171">
        <v>43753</v>
      </c>
      <c r="X53" s="159"/>
      <c r="Y53" s="172" t="s">
        <v>95</v>
      </c>
      <c r="Z53" s="169" t="s">
        <v>127</v>
      </c>
      <c r="AA53" s="159" t="s">
        <v>96</v>
      </c>
      <c r="AB53" s="151" t="s">
        <v>97</v>
      </c>
      <c r="AC53" s="162" t="s">
        <v>12095</v>
      </c>
      <c r="AD53" s="151" t="s">
        <v>384</v>
      </c>
      <c r="AE53" s="151" t="s">
        <v>137</v>
      </c>
      <c r="AF53" s="151" t="s">
        <v>177</v>
      </c>
      <c r="AG53" s="151" t="s">
        <v>178</v>
      </c>
      <c r="AH53" s="151" t="s">
        <v>178</v>
      </c>
      <c r="AI53" s="151">
        <v>65143</v>
      </c>
      <c r="AJ53" s="151" t="s">
        <v>103</v>
      </c>
      <c r="AK53" s="163"/>
      <c r="AL53" s="163"/>
      <c r="AM53" s="163" t="s">
        <v>12198</v>
      </c>
      <c r="AN53" s="151" t="s">
        <v>12198</v>
      </c>
      <c r="AO53" s="163">
        <v>3</v>
      </c>
      <c r="AP53" s="163">
        <v>2</v>
      </c>
      <c r="AQ53" s="163"/>
      <c r="AR53" s="163"/>
      <c r="AS53" s="280" t="s">
        <v>873</v>
      </c>
      <c r="AT53" s="280" t="s">
        <v>272</v>
      </c>
      <c r="AU53" s="163"/>
      <c r="AV53" s="163" t="s">
        <v>112</v>
      </c>
      <c r="AW53" s="163" t="s">
        <v>549</v>
      </c>
      <c r="AX53" s="163" t="s">
        <v>213</v>
      </c>
      <c r="AY53" s="164" t="s">
        <v>12390</v>
      </c>
      <c r="AZ53" s="151" t="s">
        <v>12466</v>
      </c>
      <c r="BA53" s="163" t="s">
        <v>2016</v>
      </c>
      <c r="BB53" s="165">
        <v>29808</v>
      </c>
      <c r="BC53" s="163" t="s">
        <v>96</v>
      </c>
      <c r="BD53" s="163" t="s">
        <v>12523</v>
      </c>
      <c r="BE53" s="163" t="s">
        <v>118</v>
      </c>
      <c r="BF53" s="151" t="s">
        <v>2049</v>
      </c>
      <c r="BG53" s="163" t="s">
        <v>3986</v>
      </c>
      <c r="BH53" s="163" t="s">
        <v>12709</v>
      </c>
      <c r="BI53" s="6" t="s">
        <v>12523</v>
      </c>
      <c r="BJ53" s="166" t="s">
        <v>1084</v>
      </c>
      <c r="BK53" s="151" t="s">
        <v>12820</v>
      </c>
      <c r="BL53" s="167" t="s">
        <v>12922</v>
      </c>
      <c r="BM53" s="151">
        <v>3573055311810010</v>
      </c>
      <c r="BN53" s="151" t="s">
        <v>94</v>
      </c>
      <c r="BO53" s="165">
        <v>29903</v>
      </c>
      <c r="BP53" s="163" t="s">
        <v>96</v>
      </c>
      <c r="BQ53" s="163">
        <v>81217287945</v>
      </c>
      <c r="BR53" s="163" t="s">
        <v>118</v>
      </c>
      <c r="BS53" s="151" t="s">
        <v>126</v>
      </c>
      <c r="BT53" s="163" t="s">
        <v>162</v>
      </c>
      <c r="BU53" s="163" t="s">
        <v>162</v>
      </c>
      <c r="BV53" s="163" t="s">
        <v>163</v>
      </c>
      <c r="BW53" s="163" t="s">
        <v>163</v>
      </c>
      <c r="BX53" s="151" t="s">
        <v>13215</v>
      </c>
      <c r="BY53" s="151"/>
      <c r="BZ53" s="163" t="s">
        <v>108</v>
      </c>
      <c r="CA53" s="282"/>
      <c r="CB53" s="163"/>
      <c r="CC53" s="163"/>
      <c r="CD53" s="163"/>
      <c r="CE53" s="163"/>
      <c r="CF53" s="151"/>
      <c r="CG53" s="163"/>
      <c r="CH53" s="151"/>
      <c r="CI53" s="151"/>
      <c r="CJ53" s="151"/>
      <c r="CK53" s="151"/>
      <c r="CL53" s="151"/>
    </row>
    <row r="54" spans="1:90" s="329" customFormat="1" ht="21" customHeight="1">
      <c r="A54" s="312">
        <v>65</v>
      </c>
      <c r="B54" s="313"/>
      <c r="C54" s="313"/>
      <c r="D54" s="28"/>
      <c r="E54" s="28"/>
      <c r="F54" s="28"/>
      <c r="G54" s="312"/>
      <c r="H54" s="314"/>
      <c r="I54" s="330" t="s">
        <v>2452</v>
      </c>
      <c r="J54" s="330" t="s">
        <v>166</v>
      </c>
      <c r="K54" s="330" t="s">
        <v>12107</v>
      </c>
      <c r="L54" s="312"/>
      <c r="M54" s="312">
        <v>2318</v>
      </c>
      <c r="N54" s="399" t="s">
        <v>13536</v>
      </c>
      <c r="O54" s="399" t="s">
        <v>13535</v>
      </c>
      <c r="P54" s="331" t="s">
        <v>12108</v>
      </c>
      <c r="Q54" s="386" t="s">
        <v>12109</v>
      </c>
      <c r="R54" s="312" t="s">
        <v>11333</v>
      </c>
      <c r="S54" s="312" t="s">
        <v>13543</v>
      </c>
      <c r="T54" s="312" t="s">
        <v>11291</v>
      </c>
      <c r="U54" s="312" t="s">
        <v>172</v>
      </c>
      <c r="V54" s="317" t="s">
        <v>12110</v>
      </c>
      <c r="W54" s="332">
        <v>43215</v>
      </c>
      <c r="X54" s="319"/>
      <c r="Y54" s="333" t="s">
        <v>425</v>
      </c>
      <c r="Z54" s="330" t="s">
        <v>2022</v>
      </c>
      <c r="AA54" s="319" t="s">
        <v>96</v>
      </c>
      <c r="AB54" s="312" t="s">
        <v>97</v>
      </c>
      <c r="AC54" s="321" t="s">
        <v>12111</v>
      </c>
      <c r="AD54" s="312" t="s">
        <v>100</v>
      </c>
      <c r="AE54" s="312">
        <v>14</v>
      </c>
      <c r="AF54" s="312" t="s">
        <v>12112</v>
      </c>
      <c r="AG54" s="312" t="s">
        <v>410</v>
      </c>
      <c r="AH54" s="322" t="s">
        <v>141</v>
      </c>
      <c r="AI54" s="312">
        <v>65153</v>
      </c>
      <c r="AJ54" s="312" t="s">
        <v>142</v>
      </c>
      <c r="AK54" s="322"/>
      <c r="AL54" s="322"/>
      <c r="AM54" s="322" t="s">
        <v>12200</v>
      </c>
      <c r="AN54" s="312" t="s">
        <v>12200</v>
      </c>
      <c r="AO54" s="322">
        <v>2</v>
      </c>
      <c r="AP54" s="322">
        <v>1</v>
      </c>
      <c r="AQ54" s="322"/>
      <c r="AR54" s="322"/>
      <c r="AS54" s="334">
        <v>20</v>
      </c>
      <c r="AT54" s="334">
        <v>123</v>
      </c>
      <c r="AU54" s="322"/>
      <c r="AV54" s="322" t="s">
        <v>112</v>
      </c>
      <c r="AW54" s="322" t="s">
        <v>113</v>
      </c>
      <c r="AX54" s="322" t="s">
        <v>114</v>
      </c>
      <c r="AY54" s="324" t="s">
        <v>12393</v>
      </c>
      <c r="AZ54" s="312" t="s">
        <v>12468</v>
      </c>
      <c r="BA54" s="322" t="s">
        <v>12110</v>
      </c>
      <c r="BB54" s="325">
        <v>30002</v>
      </c>
      <c r="BC54" s="322" t="s">
        <v>96</v>
      </c>
      <c r="BD54" s="322" t="s">
        <v>12200</v>
      </c>
      <c r="BE54" s="322" t="s">
        <v>216</v>
      </c>
      <c r="BF54" s="312" t="s">
        <v>2049</v>
      </c>
      <c r="BG54" s="322" t="s">
        <v>12605</v>
      </c>
      <c r="BH54" s="322" t="s">
        <v>12711</v>
      </c>
      <c r="BI54" s="28" t="s">
        <v>12200</v>
      </c>
      <c r="BJ54" s="326" t="s">
        <v>12822</v>
      </c>
      <c r="BK54" s="312" t="s">
        <v>12823</v>
      </c>
      <c r="BL54" s="327" t="s">
        <v>12925</v>
      </c>
      <c r="BM54" s="312" t="s">
        <v>12998</v>
      </c>
      <c r="BN54" s="312" t="s">
        <v>12110</v>
      </c>
      <c r="BO54" s="325">
        <v>32369</v>
      </c>
      <c r="BP54" s="322" t="s">
        <v>96</v>
      </c>
      <c r="BQ54" s="322" t="s">
        <v>13023</v>
      </c>
      <c r="BR54" s="322" t="s">
        <v>118</v>
      </c>
      <c r="BS54" s="312" t="s">
        <v>471</v>
      </c>
      <c r="BT54" s="322" t="s">
        <v>13066</v>
      </c>
      <c r="BU54" s="322" t="s">
        <v>13126</v>
      </c>
      <c r="BV54" s="322" t="s">
        <v>13023</v>
      </c>
      <c r="BW54" s="322">
        <v>2633400</v>
      </c>
      <c r="BX54" s="312" t="s">
        <v>13217</v>
      </c>
      <c r="BY54" s="312"/>
      <c r="BZ54" s="322" t="s">
        <v>108</v>
      </c>
      <c r="CA54" s="335"/>
      <c r="CB54" s="322"/>
      <c r="CC54" s="322"/>
      <c r="CD54" s="322"/>
      <c r="CE54" s="322"/>
      <c r="CF54" s="312"/>
      <c r="CG54" s="322"/>
      <c r="CH54" s="312"/>
      <c r="CI54" s="312"/>
      <c r="CJ54" s="312"/>
      <c r="CK54" s="312"/>
      <c r="CL54" s="312"/>
    </row>
    <row r="55" spans="1:90" s="329" customFormat="1" ht="21" customHeight="1">
      <c r="A55" s="312">
        <v>67</v>
      </c>
      <c r="B55" s="313"/>
      <c r="C55" s="313"/>
      <c r="D55" s="28"/>
      <c r="E55" s="28"/>
      <c r="F55" s="28"/>
      <c r="G55" s="312"/>
      <c r="H55" s="314"/>
      <c r="I55" s="315" t="s">
        <v>2452</v>
      </c>
      <c r="J55" s="315" t="s">
        <v>11627</v>
      </c>
      <c r="K55" s="315" t="s">
        <v>615</v>
      </c>
      <c r="L55" s="312"/>
      <c r="M55" s="312">
        <v>2221</v>
      </c>
      <c r="N55" s="399" t="s">
        <v>13363</v>
      </c>
      <c r="O55" s="399" t="s">
        <v>13364</v>
      </c>
      <c r="P55" s="316" t="s">
        <v>11628</v>
      </c>
      <c r="Q55" s="386" t="s">
        <v>11629</v>
      </c>
      <c r="R55" s="312" t="s">
        <v>11338</v>
      </c>
      <c r="S55" s="312" t="s">
        <v>13544</v>
      </c>
      <c r="T55" s="312" t="s">
        <v>11630</v>
      </c>
      <c r="U55" s="312" t="s">
        <v>172</v>
      </c>
      <c r="V55" s="317" t="s">
        <v>94</v>
      </c>
      <c r="W55" s="318">
        <v>43619</v>
      </c>
      <c r="X55" s="319"/>
      <c r="Y55" s="320" t="s">
        <v>425</v>
      </c>
      <c r="Z55" s="315" t="s">
        <v>11631</v>
      </c>
      <c r="AA55" s="319" t="s">
        <v>96</v>
      </c>
      <c r="AB55" s="312" t="s">
        <v>97</v>
      </c>
      <c r="AC55" s="321" t="s">
        <v>11632</v>
      </c>
      <c r="AD55" s="312" t="s">
        <v>318</v>
      </c>
      <c r="AE55" s="312" t="s">
        <v>99</v>
      </c>
      <c r="AF55" s="312" t="s">
        <v>177</v>
      </c>
      <c r="AG55" s="312" t="s">
        <v>178</v>
      </c>
      <c r="AH55" s="151" t="s">
        <v>178</v>
      </c>
      <c r="AI55" s="312">
        <v>65143</v>
      </c>
      <c r="AJ55" s="312" t="s">
        <v>103</v>
      </c>
      <c r="AK55" s="322"/>
      <c r="AL55" s="322"/>
      <c r="AM55" s="322" t="s">
        <v>4955</v>
      </c>
      <c r="AN55" s="312" t="s">
        <v>4956</v>
      </c>
      <c r="AO55" s="322">
        <v>2</v>
      </c>
      <c r="AP55" s="322">
        <v>1</v>
      </c>
      <c r="AQ55" s="322"/>
      <c r="AR55" s="322"/>
      <c r="AS55" s="323">
        <v>20</v>
      </c>
      <c r="AT55" s="323">
        <v>114</v>
      </c>
      <c r="AU55" s="322"/>
      <c r="AV55" s="322" t="s">
        <v>112</v>
      </c>
      <c r="AW55" s="322" t="s">
        <v>150</v>
      </c>
      <c r="AX55" s="322" t="s">
        <v>114</v>
      </c>
      <c r="AY55" s="324" t="s">
        <v>12298</v>
      </c>
      <c r="AZ55" s="312" t="s">
        <v>4961</v>
      </c>
      <c r="BA55" s="322" t="s">
        <v>3761</v>
      </c>
      <c r="BB55" s="325">
        <v>28768</v>
      </c>
      <c r="BC55" s="322" t="s">
        <v>96</v>
      </c>
      <c r="BD55" s="322" t="s">
        <v>4956</v>
      </c>
      <c r="BE55" s="322" t="s">
        <v>118</v>
      </c>
      <c r="BF55" s="312" t="s">
        <v>247</v>
      </c>
      <c r="BG55" s="322" t="s">
        <v>12543</v>
      </c>
      <c r="BH55" s="322" t="s">
        <v>12611</v>
      </c>
      <c r="BI55" s="28"/>
      <c r="BJ55" s="326">
        <v>3</v>
      </c>
      <c r="BK55" s="312" t="s">
        <v>4966</v>
      </c>
      <c r="BL55" s="327" t="s">
        <v>12830</v>
      </c>
      <c r="BM55" s="312" t="s">
        <v>4968</v>
      </c>
      <c r="BN55" s="312" t="s">
        <v>3340</v>
      </c>
      <c r="BO55" s="325">
        <v>31592</v>
      </c>
      <c r="BP55" s="322" t="s">
        <v>96</v>
      </c>
      <c r="BQ55" s="322" t="s">
        <v>4969</v>
      </c>
      <c r="BR55" s="322" t="s">
        <v>118</v>
      </c>
      <c r="BS55" s="312" t="s">
        <v>247</v>
      </c>
      <c r="BT55" s="322" t="s">
        <v>13036</v>
      </c>
      <c r="BU55" s="322" t="s">
        <v>12611</v>
      </c>
      <c r="BV55" s="322"/>
      <c r="BW55" s="322">
        <v>10</v>
      </c>
      <c r="BX55" s="312" t="s">
        <v>13131</v>
      </c>
      <c r="BY55" s="312"/>
      <c r="BZ55" s="322" t="s">
        <v>108</v>
      </c>
      <c r="CA55" s="328"/>
      <c r="CB55" s="322"/>
      <c r="CC55" s="322"/>
      <c r="CD55" s="322"/>
      <c r="CE55" s="322"/>
      <c r="CF55" s="312"/>
      <c r="CG55" s="322"/>
      <c r="CH55" s="312"/>
      <c r="CI55" s="312"/>
      <c r="CJ55" s="312"/>
      <c r="CK55" s="312"/>
      <c r="CL55" s="312"/>
    </row>
    <row r="56" spans="1:90" s="168" customFormat="1" ht="21" customHeight="1">
      <c r="A56" s="151">
        <v>87</v>
      </c>
      <c r="B56" s="152"/>
      <c r="C56" s="152"/>
      <c r="D56" s="6"/>
      <c r="E56" s="6"/>
      <c r="F56" s="6"/>
      <c r="G56" s="151"/>
      <c r="H56" s="153"/>
      <c r="I56" s="169" t="s">
        <v>2452</v>
      </c>
      <c r="J56" s="169" t="s">
        <v>1855</v>
      </c>
      <c r="K56" s="169" t="s">
        <v>11638</v>
      </c>
      <c r="L56" s="151"/>
      <c r="M56" s="151">
        <v>2223</v>
      </c>
      <c r="N56" s="398" t="s">
        <v>13367</v>
      </c>
      <c r="O56" s="398" t="s">
        <v>13368</v>
      </c>
      <c r="P56" s="170" t="s">
        <v>11639</v>
      </c>
      <c r="Q56" s="174" t="s">
        <v>11640</v>
      </c>
      <c r="R56" s="151" t="s">
        <v>11338</v>
      </c>
      <c r="S56" s="407" t="s">
        <v>13544</v>
      </c>
      <c r="T56" s="151" t="s">
        <v>11641</v>
      </c>
      <c r="U56" s="151" t="s">
        <v>172</v>
      </c>
      <c r="V56" s="157" t="s">
        <v>94</v>
      </c>
      <c r="W56" s="171">
        <v>43848</v>
      </c>
      <c r="X56" s="159"/>
      <c r="Y56" s="172" t="s">
        <v>95</v>
      </c>
      <c r="Z56" s="169" t="s">
        <v>127</v>
      </c>
      <c r="AA56" s="159" t="s">
        <v>96</v>
      </c>
      <c r="AB56" s="151" t="s">
        <v>97</v>
      </c>
      <c r="AC56" s="162" t="s">
        <v>11642</v>
      </c>
      <c r="AD56" s="151" t="s">
        <v>966</v>
      </c>
      <c r="AE56" s="151" t="s">
        <v>852</v>
      </c>
      <c r="AF56" s="151" t="s">
        <v>1174</v>
      </c>
      <c r="AG56" s="151" t="s">
        <v>241</v>
      </c>
      <c r="AH56" s="151" t="s">
        <v>241</v>
      </c>
      <c r="AI56" s="151">
        <v>65144</v>
      </c>
      <c r="AJ56" s="151" t="s">
        <v>103</v>
      </c>
      <c r="AK56" s="163"/>
      <c r="AL56" s="163"/>
      <c r="AM56" s="163" t="s">
        <v>12156</v>
      </c>
      <c r="AN56" s="151" t="s">
        <v>12202</v>
      </c>
      <c r="AO56" s="163">
        <v>1</v>
      </c>
      <c r="AP56" s="163" t="s">
        <v>127</v>
      </c>
      <c r="AQ56" s="163"/>
      <c r="AR56" s="163"/>
      <c r="AS56" s="280">
        <v>22</v>
      </c>
      <c r="AT56" s="280">
        <v>120</v>
      </c>
      <c r="AU56" s="163"/>
      <c r="AV56" s="163" t="s">
        <v>112</v>
      </c>
      <c r="AW56" s="163" t="s">
        <v>150</v>
      </c>
      <c r="AX56" s="163" t="s">
        <v>427</v>
      </c>
      <c r="AY56" s="164" t="s">
        <v>12300</v>
      </c>
      <c r="AZ56" s="151" t="s">
        <v>12400</v>
      </c>
      <c r="BA56" s="163" t="s">
        <v>94</v>
      </c>
      <c r="BB56" s="165">
        <v>26876</v>
      </c>
      <c r="BC56" s="163" t="s">
        <v>96</v>
      </c>
      <c r="BD56" s="163" t="s">
        <v>12479</v>
      </c>
      <c r="BE56" s="163" t="s">
        <v>224</v>
      </c>
      <c r="BF56" s="151" t="s">
        <v>154</v>
      </c>
      <c r="BG56" s="163" t="s">
        <v>3885</v>
      </c>
      <c r="BH56" s="163" t="s">
        <v>697</v>
      </c>
      <c r="BI56" s="6" t="s">
        <v>12614</v>
      </c>
      <c r="BJ56" s="166">
        <v>10000000</v>
      </c>
      <c r="BK56" s="151" t="s">
        <v>12720</v>
      </c>
      <c r="BL56" s="167" t="s">
        <v>12832</v>
      </c>
      <c r="BM56" s="151" t="s">
        <v>12932</v>
      </c>
      <c r="BN56" s="151" t="s">
        <v>7396</v>
      </c>
      <c r="BO56" s="165">
        <v>29511</v>
      </c>
      <c r="BP56" s="163" t="s">
        <v>96</v>
      </c>
      <c r="BQ56" s="163" t="s">
        <v>12156</v>
      </c>
      <c r="BR56" s="163" t="s">
        <v>224</v>
      </c>
      <c r="BS56" s="151" t="s">
        <v>2122</v>
      </c>
      <c r="BT56" s="163" t="s">
        <v>3885</v>
      </c>
      <c r="BU56" s="163" t="s">
        <v>697</v>
      </c>
      <c r="BV56" s="163" t="s">
        <v>1251</v>
      </c>
      <c r="BW56" s="163">
        <v>10000000</v>
      </c>
      <c r="BX56" s="151" t="s">
        <v>13133</v>
      </c>
      <c r="BY56" s="151" t="s">
        <v>13220</v>
      </c>
      <c r="BZ56" s="163" t="s">
        <v>971</v>
      </c>
      <c r="CA56" s="283">
        <v>21506</v>
      </c>
      <c r="CB56" s="163"/>
      <c r="CC56" s="163" t="s">
        <v>13236</v>
      </c>
      <c r="CD56" s="163" t="s">
        <v>216</v>
      </c>
      <c r="CE56" s="163" t="s">
        <v>5653</v>
      </c>
      <c r="CF56" s="151"/>
      <c r="CG56" s="163"/>
      <c r="CH56" s="151"/>
      <c r="CI56" s="151"/>
      <c r="CJ56" s="151"/>
      <c r="CK56" s="151"/>
      <c r="CL56" s="151"/>
    </row>
    <row r="57" spans="1:90" s="168" customFormat="1" ht="21" customHeight="1">
      <c r="A57" s="151">
        <v>26</v>
      </c>
      <c r="B57" s="152"/>
      <c r="C57" s="152"/>
      <c r="D57" s="6"/>
      <c r="E57" s="6"/>
      <c r="F57" s="6"/>
      <c r="G57" s="151"/>
      <c r="H57" s="153"/>
      <c r="I57" s="154" t="s">
        <v>2452</v>
      </c>
      <c r="J57" s="154" t="s">
        <v>166</v>
      </c>
      <c r="K57" s="154" t="s">
        <v>312</v>
      </c>
      <c r="L57" s="151"/>
      <c r="M57" s="151">
        <v>2230</v>
      </c>
      <c r="N57" s="398" t="s">
        <v>13377</v>
      </c>
      <c r="O57" s="398" t="s">
        <v>4981</v>
      </c>
      <c r="P57" s="156" t="s">
        <v>11669</v>
      </c>
      <c r="Q57" s="174" t="s">
        <v>11670</v>
      </c>
      <c r="R57" s="151" t="s">
        <v>11338</v>
      </c>
      <c r="S57" s="407" t="s">
        <v>13544</v>
      </c>
      <c r="T57" s="151" t="s">
        <v>11671</v>
      </c>
      <c r="U57" s="151" t="s">
        <v>172</v>
      </c>
      <c r="V57" s="157" t="s">
        <v>94</v>
      </c>
      <c r="W57" s="158">
        <v>43593</v>
      </c>
      <c r="X57" s="159"/>
      <c r="Y57" s="160" t="s">
        <v>95</v>
      </c>
      <c r="Z57" s="161"/>
      <c r="AA57" s="159" t="s">
        <v>96</v>
      </c>
      <c r="AB57" s="151" t="s">
        <v>97</v>
      </c>
      <c r="AC57" s="162" t="s">
        <v>11672</v>
      </c>
      <c r="AD57" s="151" t="s">
        <v>293</v>
      </c>
      <c r="AE57" s="151">
        <v>11</v>
      </c>
      <c r="AF57" s="151" t="s">
        <v>521</v>
      </c>
      <c r="AG57" s="151" t="s">
        <v>178</v>
      </c>
      <c r="AH57" s="151" t="s">
        <v>178</v>
      </c>
      <c r="AI57" s="151">
        <v>65141</v>
      </c>
      <c r="AJ57" s="151" t="s">
        <v>94</v>
      </c>
      <c r="AK57" s="163"/>
      <c r="AL57" s="163"/>
      <c r="AM57" s="163" t="s">
        <v>4987</v>
      </c>
      <c r="AN57" s="151" t="s">
        <v>4987</v>
      </c>
      <c r="AO57" s="163">
        <v>2</v>
      </c>
      <c r="AP57" s="163">
        <v>2</v>
      </c>
      <c r="AQ57" s="163"/>
      <c r="AR57" s="163"/>
      <c r="AS57" s="279" t="s">
        <v>3784</v>
      </c>
      <c r="AT57" s="279">
        <v>98</v>
      </c>
      <c r="AU57" s="163"/>
      <c r="AV57" s="163" t="s">
        <v>112</v>
      </c>
      <c r="AW57" s="163" t="s">
        <v>150</v>
      </c>
      <c r="AX57" s="163" t="s">
        <v>4708</v>
      </c>
      <c r="AY57" s="164" t="s">
        <v>12307</v>
      </c>
      <c r="AZ57" s="151" t="s">
        <v>4991</v>
      </c>
      <c r="BA57" s="163" t="s">
        <v>502</v>
      </c>
      <c r="BB57" s="165">
        <v>34188</v>
      </c>
      <c r="BC57" s="163" t="s">
        <v>96</v>
      </c>
      <c r="BD57" s="163" t="s">
        <v>4992</v>
      </c>
      <c r="BE57" s="163" t="s">
        <v>118</v>
      </c>
      <c r="BF57" s="151" t="s">
        <v>596</v>
      </c>
      <c r="BG57" s="163" t="s">
        <v>4993</v>
      </c>
      <c r="BH57" s="163" t="s">
        <v>12620</v>
      </c>
      <c r="BI57" s="6"/>
      <c r="BJ57" s="166">
        <v>3900000</v>
      </c>
      <c r="BK57" s="151" t="s">
        <v>12727</v>
      </c>
      <c r="BL57" s="167" t="s">
        <v>12839</v>
      </c>
      <c r="BM57" s="151" t="s">
        <v>4998</v>
      </c>
      <c r="BN57" s="151" t="s">
        <v>94</v>
      </c>
      <c r="BO57" s="165">
        <v>34154</v>
      </c>
      <c r="BP57" s="163" t="s">
        <v>96</v>
      </c>
      <c r="BQ57" s="163" t="s">
        <v>4987</v>
      </c>
      <c r="BR57" s="163" t="s">
        <v>118</v>
      </c>
      <c r="BS57" s="151" t="s">
        <v>254</v>
      </c>
      <c r="BT57" s="163" t="s">
        <v>127</v>
      </c>
      <c r="BU57" s="163" t="s">
        <v>127</v>
      </c>
      <c r="BV57" s="163" t="s">
        <v>127</v>
      </c>
      <c r="BW57" s="163" t="s">
        <v>127</v>
      </c>
      <c r="BX57" s="151" t="s">
        <v>13141</v>
      </c>
      <c r="BY57" s="151"/>
      <c r="BZ57" s="163" t="s">
        <v>108</v>
      </c>
      <c r="CA57" s="281"/>
      <c r="CB57" s="163"/>
      <c r="CC57" s="163"/>
      <c r="CD57" s="163"/>
      <c r="CE57" s="163"/>
      <c r="CF57" s="151"/>
      <c r="CG57" s="163"/>
      <c r="CH57" s="151"/>
      <c r="CI57" s="151"/>
      <c r="CJ57" s="151"/>
      <c r="CK57" s="151"/>
      <c r="CL57" s="151"/>
    </row>
    <row r="58" spans="1:90" s="168" customFormat="1" ht="21" customHeight="1">
      <c r="A58" s="151">
        <v>1</v>
      </c>
      <c r="B58" s="152"/>
      <c r="C58" s="152"/>
      <c r="D58" s="6"/>
      <c r="E58" s="6"/>
      <c r="F58" s="6"/>
      <c r="G58" s="151"/>
      <c r="H58" s="153"/>
      <c r="I58" s="154" t="s">
        <v>2452</v>
      </c>
      <c r="J58" s="154" t="s">
        <v>287</v>
      </c>
      <c r="K58" s="154" t="s">
        <v>915</v>
      </c>
      <c r="L58" s="151"/>
      <c r="M58" s="151">
        <v>2234</v>
      </c>
      <c r="N58" s="398" t="s">
        <v>108</v>
      </c>
      <c r="O58" s="398" t="s">
        <v>6165</v>
      </c>
      <c r="P58" s="156" t="s">
        <v>11689</v>
      </c>
      <c r="Q58" s="174" t="s">
        <v>11690</v>
      </c>
      <c r="R58" s="151" t="s">
        <v>11338</v>
      </c>
      <c r="S58" s="407" t="s">
        <v>13544</v>
      </c>
      <c r="T58" s="151" t="s">
        <v>11691</v>
      </c>
      <c r="U58" s="151" t="s">
        <v>93</v>
      </c>
      <c r="V58" s="157" t="s">
        <v>94</v>
      </c>
      <c r="W58" s="158">
        <v>43863</v>
      </c>
      <c r="X58" s="159"/>
      <c r="Y58" s="160" t="s">
        <v>95</v>
      </c>
      <c r="Z58" s="154"/>
      <c r="AA58" s="159" t="s">
        <v>96</v>
      </c>
      <c r="AB58" s="151" t="s">
        <v>97</v>
      </c>
      <c r="AC58" s="162" t="s">
        <v>11692</v>
      </c>
      <c r="AD58" s="151" t="s">
        <v>137</v>
      </c>
      <c r="AE58" s="151">
        <v>12</v>
      </c>
      <c r="AF58" s="151" t="s">
        <v>921</v>
      </c>
      <c r="AG58" s="151" t="s">
        <v>687</v>
      </c>
      <c r="AH58" s="163" t="s">
        <v>141</v>
      </c>
      <c r="AI58" s="151">
        <v>65151</v>
      </c>
      <c r="AJ58" s="151" t="s">
        <v>142</v>
      </c>
      <c r="AK58" s="163"/>
      <c r="AL58" s="163"/>
      <c r="AM58" s="163" t="s">
        <v>4628</v>
      </c>
      <c r="AN58" s="151" t="s">
        <v>4627</v>
      </c>
      <c r="AO58" s="163">
        <v>3</v>
      </c>
      <c r="AP58" s="163">
        <v>2</v>
      </c>
      <c r="AQ58" s="163"/>
      <c r="AR58" s="163"/>
      <c r="AS58" s="279">
        <v>13</v>
      </c>
      <c r="AT58" s="279">
        <v>110</v>
      </c>
      <c r="AU58" s="163"/>
      <c r="AV58" s="163" t="s">
        <v>112</v>
      </c>
      <c r="AW58" s="163" t="s">
        <v>12285</v>
      </c>
      <c r="AX58" s="163" t="s">
        <v>114</v>
      </c>
      <c r="AY58" s="164" t="s">
        <v>12311</v>
      </c>
      <c r="AZ58" s="151" t="s">
        <v>4632</v>
      </c>
      <c r="BA58" s="163" t="s">
        <v>519</v>
      </c>
      <c r="BB58" s="165">
        <v>32289</v>
      </c>
      <c r="BC58" s="163" t="s">
        <v>96</v>
      </c>
      <c r="BD58" s="163" t="s">
        <v>4627</v>
      </c>
      <c r="BE58" s="163" t="s">
        <v>118</v>
      </c>
      <c r="BF58" s="151" t="s">
        <v>1571</v>
      </c>
      <c r="BG58" s="163" t="s">
        <v>6175</v>
      </c>
      <c r="BH58" s="163" t="s">
        <v>12625</v>
      </c>
      <c r="BI58" s="6" t="s">
        <v>12626</v>
      </c>
      <c r="BJ58" s="166" t="s">
        <v>475</v>
      </c>
      <c r="BK58" s="151" t="s">
        <v>4637</v>
      </c>
      <c r="BL58" s="167" t="s">
        <v>12843</v>
      </c>
      <c r="BM58" s="151">
        <v>3271065510890020</v>
      </c>
      <c r="BN58" s="151" t="s">
        <v>1967</v>
      </c>
      <c r="BO58" s="165">
        <v>32796</v>
      </c>
      <c r="BP58" s="163" t="s">
        <v>96</v>
      </c>
      <c r="BQ58" s="163" t="s">
        <v>4628</v>
      </c>
      <c r="BR58" s="163" t="s">
        <v>118</v>
      </c>
      <c r="BS58" s="151" t="s">
        <v>126</v>
      </c>
      <c r="BT58" s="163" t="s">
        <v>1216</v>
      </c>
      <c r="BU58" s="163" t="s">
        <v>4626</v>
      </c>
      <c r="BV58" s="163" t="s">
        <v>4628</v>
      </c>
      <c r="BW58" s="163" t="s">
        <v>2700</v>
      </c>
      <c r="BX58" s="151" t="s">
        <v>4641</v>
      </c>
      <c r="BY58" s="151"/>
      <c r="BZ58" s="163" t="s">
        <v>108</v>
      </c>
      <c r="CA58" s="286"/>
      <c r="CB58" s="163"/>
      <c r="CC58" s="163"/>
      <c r="CD58" s="163"/>
      <c r="CE58" s="163"/>
      <c r="CF58" s="151"/>
      <c r="CG58" s="163"/>
      <c r="CH58" s="151"/>
      <c r="CI58" s="151"/>
      <c r="CJ58" s="151"/>
      <c r="CK58" s="151"/>
      <c r="CL58" s="151"/>
    </row>
    <row r="59" spans="1:90" s="168" customFormat="1" ht="21" customHeight="1">
      <c r="A59" s="151">
        <v>19</v>
      </c>
      <c r="B59" s="152"/>
      <c r="C59" s="152"/>
      <c r="D59" s="6"/>
      <c r="E59" s="6"/>
      <c r="F59" s="6"/>
      <c r="G59" s="151"/>
      <c r="H59" s="153"/>
      <c r="I59" s="154" t="s">
        <v>2452</v>
      </c>
      <c r="J59" s="154" t="s">
        <v>11742</v>
      </c>
      <c r="K59" s="154" t="s">
        <v>11743</v>
      </c>
      <c r="L59" s="151"/>
      <c r="M59" s="151">
        <v>2244</v>
      </c>
      <c r="N59" s="398" t="s">
        <v>13394</v>
      </c>
      <c r="O59" s="398" t="s">
        <v>4856</v>
      </c>
      <c r="P59" s="156" t="s">
        <v>11744</v>
      </c>
      <c r="Q59" s="174" t="s">
        <v>11745</v>
      </c>
      <c r="R59" s="151" t="s">
        <v>11338</v>
      </c>
      <c r="S59" s="407" t="s">
        <v>13544</v>
      </c>
      <c r="T59" s="151" t="s">
        <v>11746</v>
      </c>
      <c r="U59" s="151" t="s">
        <v>93</v>
      </c>
      <c r="V59" s="157" t="s">
        <v>94</v>
      </c>
      <c r="W59" s="158">
        <v>43897</v>
      </c>
      <c r="X59" s="159"/>
      <c r="Y59" s="160" t="s">
        <v>95</v>
      </c>
      <c r="Z59" s="154"/>
      <c r="AA59" s="159" t="s">
        <v>96</v>
      </c>
      <c r="AB59" s="151" t="s">
        <v>97</v>
      </c>
      <c r="AC59" s="162" t="s">
        <v>11747</v>
      </c>
      <c r="AD59" s="151" t="s">
        <v>137</v>
      </c>
      <c r="AE59" s="151" t="s">
        <v>207</v>
      </c>
      <c r="AF59" s="151" t="s">
        <v>295</v>
      </c>
      <c r="AG59" s="151" t="s">
        <v>178</v>
      </c>
      <c r="AH59" s="151" t="s">
        <v>178</v>
      </c>
      <c r="AI59" s="151">
        <v>65144</v>
      </c>
      <c r="AJ59" s="151" t="s">
        <v>94</v>
      </c>
      <c r="AK59" s="163"/>
      <c r="AL59" s="163"/>
      <c r="AM59" s="163" t="s">
        <v>12165</v>
      </c>
      <c r="AN59" s="151" t="s">
        <v>4863</v>
      </c>
      <c r="AO59" s="163">
        <v>2</v>
      </c>
      <c r="AP59" s="163">
        <v>2</v>
      </c>
      <c r="AQ59" s="163"/>
      <c r="AR59" s="163"/>
      <c r="AS59" s="279">
        <v>28</v>
      </c>
      <c r="AT59" s="279">
        <v>100</v>
      </c>
      <c r="AU59" s="163"/>
      <c r="AV59" s="163" t="s">
        <v>112</v>
      </c>
      <c r="AW59" s="163" t="s">
        <v>549</v>
      </c>
      <c r="AX59" s="163" t="s">
        <v>114</v>
      </c>
      <c r="AY59" s="164" t="s">
        <v>12321</v>
      </c>
      <c r="AZ59" s="151" t="s">
        <v>4867</v>
      </c>
      <c r="BA59" s="163" t="s">
        <v>94</v>
      </c>
      <c r="BB59" s="165">
        <v>33594</v>
      </c>
      <c r="BC59" s="163" t="s">
        <v>96</v>
      </c>
      <c r="BD59" s="163" t="s">
        <v>4868</v>
      </c>
      <c r="BE59" s="163" t="s">
        <v>118</v>
      </c>
      <c r="BF59" s="151" t="s">
        <v>247</v>
      </c>
      <c r="BG59" s="163" t="s">
        <v>127</v>
      </c>
      <c r="BH59" s="163" t="s">
        <v>127</v>
      </c>
      <c r="BI59" s="6" t="s">
        <v>12165</v>
      </c>
      <c r="BJ59" s="166" t="s">
        <v>4143</v>
      </c>
      <c r="BK59" s="151" t="s">
        <v>4878</v>
      </c>
      <c r="BL59" s="167" t="s">
        <v>12853</v>
      </c>
      <c r="BM59" s="151" t="s">
        <v>4874</v>
      </c>
      <c r="BN59" s="151" t="s">
        <v>2417</v>
      </c>
      <c r="BO59" s="165">
        <v>33376</v>
      </c>
      <c r="BP59" s="163" t="s">
        <v>96</v>
      </c>
      <c r="BQ59" s="163" t="s">
        <v>4863</v>
      </c>
      <c r="BR59" s="163" t="s">
        <v>118</v>
      </c>
      <c r="BS59" s="151" t="s">
        <v>503</v>
      </c>
      <c r="BT59" s="163" t="s">
        <v>13042</v>
      </c>
      <c r="BU59" s="163" t="s">
        <v>13081</v>
      </c>
      <c r="BV59" s="163" t="s">
        <v>13082</v>
      </c>
      <c r="BW59" s="163" t="s">
        <v>1624</v>
      </c>
      <c r="BX59" s="151" t="s">
        <v>4878</v>
      </c>
      <c r="BY59" s="151" t="s">
        <v>12321</v>
      </c>
      <c r="BZ59" s="163" t="s">
        <v>94</v>
      </c>
      <c r="CA59" s="284">
        <v>33594</v>
      </c>
      <c r="CB59" s="163"/>
      <c r="CC59" s="163" t="s">
        <v>4868</v>
      </c>
      <c r="CD59" s="163" t="s">
        <v>118</v>
      </c>
      <c r="CE59" s="163" t="s">
        <v>5043</v>
      </c>
      <c r="CF59" s="151"/>
      <c r="CG59" s="163"/>
      <c r="CH59" s="151"/>
      <c r="CI59" s="151"/>
      <c r="CJ59" s="151"/>
      <c r="CK59" s="151"/>
      <c r="CL59" s="151"/>
    </row>
    <row r="60" spans="1:90" s="168" customFormat="1" ht="21" customHeight="1">
      <c r="A60" s="151">
        <v>100</v>
      </c>
      <c r="B60" s="152"/>
      <c r="C60" s="152"/>
      <c r="D60" s="6"/>
      <c r="E60" s="6"/>
      <c r="F60" s="6"/>
      <c r="G60" s="151"/>
      <c r="H60" s="153"/>
      <c r="I60" s="169" t="s">
        <v>2452</v>
      </c>
      <c r="J60" s="169" t="s">
        <v>11748</v>
      </c>
      <c r="K60" s="169" t="s">
        <v>11749</v>
      </c>
      <c r="L60" s="151"/>
      <c r="M60" s="151">
        <v>2245</v>
      </c>
      <c r="N60" s="398" t="s">
        <v>108</v>
      </c>
      <c r="O60" s="398" t="s">
        <v>13395</v>
      </c>
      <c r="P60" s="170" t="s">
        <v>11750</v>
      </c>
      <c r="Q60" s="174" t="s">
        <v>13588</v>
      </c>
      <c r="R60" s="151" t="s">
        <v>11338</v>
      </c>
      <c r="S60" s="407" t="s">
        <v>13544</v>
      </c>
      <c r="T60" s="151" t="s">
        <v>11751</v>
      </c>
      <c r="U60" s="151" t="s">
        <v>93</v>
      </c>
      <c r="V60" s="157" t="s">
        <v>11752</v>
      </c>
      <c r="W60" s="171">
        <v>43593</v>
      </c>
      <c r="X60" s="159"/>
      <c r="Y60" s="172" t="s">
        <v>11682</v>
      </c>
      <c r="Z60" s="169" t="s">
        <v>127</v>
      </c>
      <c r="AA60" s="159" t="s">
        <v>96</v>
      </c>
      <c r="AB60" s="151" t="s">
        <v>97</v>
      </c>
      <c r="AC60" s="164" t="s">
        <v>11753</v>
      </c>
      <c r="AD60" s="151" t="s">
        <v>127</v>
      </c>
      <c r="AE60" s="151">
        <v>10</v>
      </c>
      <c r="AF60" s="151" t="s">
        <v>11754</v>
      </c>
      <c r="AG60" s="151" t="s">
        <v>11755</v>
      </c>
      <c r="AH60" s="163" t="s">
        <v>141</v>
      </c>
      <c r="AI60" s="151">
        <v>95259</v>
      </c>
      <c r="AJ60" s="151" t="s">
        <v>11756</v>
      </c>
      <c r="AK60" s="163"/>
      <c r="AL60" s="163"/>
      <c r="AM60" s="163" t="s">
        <v>127</v>
      </c>
      <c r="AN60" s="151" t="s">
        <v>12212</v>
      </c>
      <c r="AO60" s="163">
        <v>2</v>
      </c>
      <c r="AP60" s="163">
        <v>2</v>
      </c>
      <c r="AQ60" s="163"/>
      <c r="AR60" s="163"/>
      <c r="AS60" s="280">
        <v>21.5</v>
      </c>
      <c r="AT60" s="280">
        <v>114</v>
      </c>
      <c r="AU60" s="163"/>
      <c r="AV60" s="163" t="s">
        <v>112</v>
      </c>
      <c r="AW60" s="163" t="s">
        <v>12287</v>
      </c>
      <c r="AX60" s="163" t="s">
        <v>114</v>
      </c>
      <c r="AY60" s="164" t="s">
        <v>12322</v>
      </c>
      <c r="AZ60" s="151" t="s">
        <v>12412</v>
      </c>
      <c r="BA60" s="163" t="s">
        <v>2016</v>
      </c>
      <c r="BB60" s="165">
        <v>31082</v>
      </c>
      <c r="BC60" s="163" t="s">
        <v>96</v>
      </c>
      <c r="BD60" s="163" t="s">
        <v>12487</v>
      </c>
      <c r="BE60" s="163" t="s">
        <v>118</v>
      </c>
      <c r="BF60" s="151" t="s">
        <v>12529</v>
      </c>
      <c r="BG60" s="163" t="s">
        <v>12559</v>
      </c>
      <c r="BH60" s="163" t="s">
        <v>12635</v>
      </c>
      <c r="BI60" s="6" t="s">
        <v>12636</v>
      </c>
      <c r="BJ60" s="166" t="s">
        <v>12740</v>
      </c>
      <c r="BK60" s="151" t="s">
        <v>12741</v>
      </c>
      <c r="BL60" s="167" t="s">
        <v>12854</v>
      </c>
      <c r="BM60" s="151" t="s">
        <v>12944</v>
      </c>
      <c r="BN60" s="151" t="s">
        <v>13000</v>
      </c>
      <c r="BO60" s="165">
        <v>33903</v>
      </c>
      <c r="BP60" s="163" t="s">
        <v>96</v>
      </c>
      <c r="BQ60" s="163" t="s">
        <v>12212</v>
      </c>
      <c r="BR60" s="163" t="s">
        <v>118</v>
      </c>
      <c r="BS60" s="151" t="s">
        <v>13026</v>
      </c>
      <c r="BT60" s="163" t="s">
        <v>127</v>
      </c>
      <c r="BU60" s="163" t="s">
        <v>127</v>
      </c>
      <c r="BV60" s="163" t="s">
        <v>127</v>
      </c>
      <c r="BW60" s="163" t="s">
        <v>127</v>
      </c>
      <c r="BX60" s="151" t="s">
        <v>13151</v>
      </c>
      <c r="BY60" s="151"/>
      <c r="BZ60" s="163" t="s">
        <v>108</v>
      </c>
      <c r="CA60" s="282"/>
      <c r="CB60" s="163"/>
      <c r="CC60" s="163"/>
      <c r="CD60" s="163"/>
      <c r="CE60" s="163"/>
      <c r="CF60" s="151"/>
      <c r="CG60" s="163"/>
      <c r="CH60" s="151"/>
      <c r="CI60" s="151"/>
      <c r="CJ60" s="151"/>
      <c r="CK60" s="151"/>
      <c r="CL60" s="151"/>
    </row>
    <row r="61" spans="1:90" s="168" customFormat="1" ht="21" customHeight="1">
      <c r="A61" s="151">
        <v>42</v>
      </c>
      <c r="B61" s="152"/>
      <c r="C61" s="152"/>
      <c r="D61" s="6"/>
      <c r="E61" s="6"/>
      <c r="F61" s="6"/>
      <c r="G61" s="151"/>
      <c r="H61" s="153"/>
      <c r="I61" s="169" t="s">
        <v>2452</v>
      </c>
      <c r="J61" s="169" t="s">
        <v>166</v>
      </c>
      <c r="K61" s="169" t="s">
        <v>11764</v>
      </c>
      <c r="L61" s="151"/>
      <c r="M61" s="151">
        <v>2247</v>
      </c>
      <c r="N61" s="398" t="s">
        <v>13399</v>
      </c>
      <c r="O61" s="398" t="s">
        <v>13398</v>
      </c>
      <c r="P61" s="170" t="s">
        <v>11765</v>
      </c>
      <c r="Q61" s="174" t="s">
        <v>11766</v>
      </c>
      <c r="R61" s="151" t="s">
        <v>11338</v>
      </c>
      <c r="S61" s="407" t="s">
        <v>13544</v>
      </c>
      <c r="T61" s="151" t="s">
        <v>11767</v>
      </c>
      <c r="U61" s="151" t="s">
        <v>172</v>
      </c>
      <c r="V61" s="157" t="s">
        <v>94</v>
      </c>
      <c r="W61" s="171">
        <v>43804</v>
      </c>
      <c r="X61" s="159"/>
      <c r="Y61" s="172" t="s">
        <v>95</v>
      </c>
      <c r="Z61" s="173"/>
      <c r="AA61" s="159" t="s">
        <v>96</v>
      </c>
      <c r="AB61" s="151" t="s">
        <v>97</v>
      </c>
      <c r="AC61" s="162" t="s">
        <v>11768</v>
      </c>
      <c r="AD61" s="151" t="s">
        <v>137</v>
      </c>
      <c r="AE61" s="151" t="s">
        <v>546</v>
      </c>
      <c r="AF61" s="151" t="s">
        <v>994</v>
      </c>
      <c r="AG61" s="151" t="s">
        <v>6889</v>
      </c>
      <c r="AH61" s="163" t="s">
        <v>141</v>
      </c>
      <c r="AI61" s="151">
        <v>65326</v>
      </c>
      <c r="AJ61" s="151" t="s">
        <v>2024</v>
      </c>
      <c r="AK61" s="163"/>
      <c r="AL61" s="163"/>
      <c r="AM61" s="163" t="s">
        <v>2459</v>
      </c>
      <c r="AN61" s="151" t="s">
        <v>12214</v>
      </c>
      <c r="AO61" s="163">
        <v>1</v>
      </c>
      <c r="AP61" s="163">
        <v>0</v>
      </c>
      <c r="AQ61" s="163"/>
      <c r="AR61" s="163"/>
      <c r="AS61" s="280">
        <v>27</v>
      </c>
      <c r="AT61" s="280">
        <v>120</v>
      </c>
      <c r="AU61" s="163"/>
      <c r="AV61" s="163" t="s">
        <v>112</v>
      </c>
      <c r="AW61" s="163" t="s">
        <v>392</v>
      </c>
      <c r="AX61" s="163" t="s">
        <v>183</v>
      </c>
      <c r="AY61" s="164" t="s">
        <v>12324</v>
      </c>
      <c r="AZ61" s="151" t="s">
        <v>12414</v>
      </c>
      <c r="BA61" s="163" t="s">
        <v>94</v>
      </c>
      <c r="BB61" s="165">
        <v>32635</v>
      </c>
      <c r="BC61" s="163" t="s">
        <v>96</v>
      </c>
      <c r="BD61" s="163" t="s">
        <v>12488</v>
      </c>
      <c r="BE61" s="163" t="s">
        <v>216</v>
      </c>
      <c r="BF61" s="151" t="s">
        <v>188</v>
      </c>
      <c r="BG61" s="163" t="s">
        <v>120</v>
      </c>
      <c r="BH61" s="163" t="s">
        <v>12639</v>
      </c>
      <c r="BI61" s="6" t="s">
        <v>12640</v>
      </c>
      <c r="BJ61" s="166" t="s">
        <v>5217</v>
      </c>
      <c r="BK61" s="151" t="s">
        <v>12743</v>
      </c>
      <c r="BL61" s="167" t="s">
        <v>12856</v>
      </c>
      <c r="BM61" s="151" t="s">
        <v>12946</v>
      </c>
      <c r="BN61" s="151" t="s">
        <v>552</v>
      </c>
      <c r="BO61" s="165">
        <v>35855</v>
      </c>
      <c r="BP61" s="163" t="s">
        <v>96</v>
      </c>
      <c r="BQ61" s="163" t="s">
        <v>12214</v>
      </c>
      <c r="BR61" s="163" t="s">
        <v>118</v>
      </c>
      <c r="BS61" s="151" t="s">
        <v>188</v>
      </c>
      <c r="BT61" s="163" t="s">
        <v>13043</v>
      </c>
      <c r="BU61" s="163" t="s">
        <v>13083</v>
      </c>
      <c r="BV61" s="163" t="s">
        <v>13084</v>
      </c>
      <c r="BW61" s="163" t="s">
        <v>607</v>
      </c>
      <c r="BX61" s="151" t="s">
        <v>13152</v>
      </c>
      <c r="BY61" s="151"/>
      <c r="BZ61" s="163" t="s">
        <v>108</v>
      </c>
      <c r="CA61" s="282"/>
      <c r="CB61" s="163"/>
      <c r="CC61" s="163"/>
      <c r="CD61" s="163"/>
      <c r="CE61" s="163"/>
      <c r="CF61" s="151"/>
      <c r="CG61" s="163"/>
      <c r="CH61" s="151"/>
      <c r="CI61" s="151"/>
      <c r="CJ61" s="151"/>
      <c r="CK61" s="151"/>
      <c r="CL61" s="151"/>
    </row>
    <row r="62" spans="1:90" s="168" customFormat="1" ht="21" customHeight="1">
      <c r="A62" s="151">
        <v>59</v>
      </c>
      <c r="B62" s="152"/>
      <c r="C62" s="152"/>
      <c r="D62" s="6"/>
      <c r="E62" s="6"/>
      <c r="F62" s="6"/>
      <c r="G62" s="151"/>
      <c r="H62" s="153"/>
      <c r="I62" s="154" t="s">
        <v>2452</v>
      </c>
      <c r="J62" s="154" t="s">
        <v>11769</v>
      </c>
      <c r="K62" s="154" t="s">
        <v>11295</v>
      </c>
      <c r="L62" s="151"/>
      <c r="M62" s="151">
        <v>2248</v>
      </c>
      <c r="N62" s="398" t="s">
        <v>13401</v>
      </c>
      <c r="O62" s="398" t="s">
        <v>13400</v>
      </c>
      <c r="P62" s="156" t="s">
        <v>11770</v>
      </c>
      <c r="Q62" s="174" t="s">
        <v>11771</v>
      </c>
      <c r="R62" s="151" t="s">
        <v>11338</v>
      </c>
      <c r="S62" s="407" t="s">
        <v>13544</v>
      </c>
      <c r="T62" s="151" t="s">
        <v>11772</v>
      </c>
      <c r="U62" s="151" t="s">
        <v>172</v>
      </c>
      <c r="V62" s="157" t="s">
        <v>94</v>
      </c>
      <c r="W62" s="158">
        <v>43890</v>
      </c>
      <c r="X62" s="159"/>
      <c r="Y62" s="160" t="s">
        <v>95</v>
      </c>
      <c r="Z62" s="161"/>
      <c r="AA62" s="159" t="s">
        <v>96</v>
      </c>
      <c r="AB62" s="151" t="s">
        <v>97</v>
      </c>
      <c r="AC62" s="162" t="s">
        <v>11773</v>
      </c>
      <c r="AD62" s="151" t="s">
        <v>175</v>
      </c>
      <c r="AE62" s="151" t="s">
        <v>265</v>
      </c>
      <c r="AF62" s="151" t="s">
        <v>177</v>
      </c>
      <c r="AG62" s="151" t="s">
        <v>178</v>
      </c>
      <c r="AH62" s="151" t="s">
        <v>178</v>
      </c>
      <c r="AI62" s="151">
        <v>65143</v>
      </c>
      <c r="AJ62" s="151" t="s">
        <v>94</v>
      </c>
      <c r="AK62" s="163"/>
      <c r="AL62" s="163"/>
      <c r="AM62" s="163" t="s">
        <v>127</v>
      </c>
      <c r="AN62" s="151" t="s">
        <v>12215</v>
      </c>
      <c r="AO62" s="163">
        <v>1</v>
      </c>
      <c r="AP62" s="163">
        <v>1</v>
      </c>
      <c r="AQ62" s="163"/>
      <c r="AR62" s="163"/>
      <c r="AS62" s="279">
        <v>18</v>
      </c>
      <c r="AT62" s="279">
        <v>115</v>
      </c>
      <c r="AU62" s="163"/>
      <c r="AV62" s="163" t="s">
        <v>112</v>
      </c>
      <c r="AW62" s="163" t="s">
        <v>392</v>
      </c>
      <c r="AX62" s="163" t="s">
        <v>734</v>
      </c>
      <c r="AY62" s="164" t="s">
        <v>12325</v>
      </c>
      <c r="AZ62" s="151" t="s">
        <v>12415</v>
      </c>
      <c r="BA62" s="163" t="s">
        <v>1208</v>
      </c>
      <c r="BB62" s="165">
        <v>32520</v>
      </c>
      <c r="BC62" s="163" t="s">
        <v>96</v>
      </c>
      <c r="BD62" s="163" t="s">
        <v>12489</v>
      </c>
      <c r="BE62" s="163" t="s">
        <v>118</v>
      </c>
      <c r="BF62" s="151" t="s">
        <v>119</v>
      </c>
      <c r="BG62" s="163" t="s">
        <v>5329</v>
      </c>
      <c r="BH62" s="163" t="s">
        <v>12641</v>
      </c>
      <c r="BI62" s="6" t="s">
        <v>127</v>
      </c>
      <c r="BJ62" s="166" t="s">
        <v>250</v>
      </c>
      <c r="BK62" s="151" t="s">
        <v>12744</v>
      </c>
      <c r="BL62" s="167" t="s">
        <v>12857</v>
      </c>
      <c r="BM62" s="151" t="s">
        <v>12947</v>
      </c>
      <c r="BN62" s="151" t="s">
        <v>1757</v>
      </c>
      <c r="BO62" s="165">
        <v>32836</v>
      </c>
      <c r="BP62" s="163" t="s">
        <v>96</v>
      </c>
      <c r="BQ62" s="163" t="s">
        <v>12215</v>
      </c>
      <c r="BR62" s="163" t="s">
        <v>153</v>
      </c>
      <c r="BS62" s="151" t="s">
        <v>126</v>
      </c>
      <c r="BT62" s="163" t="s">
        <v>127</v>
      </c>
      <c r="BU62" s="163" t="s">
        <v>127</v>
      </c>
      <c r="BV62" s="163" t="s">
        <v>127</v>
      </c>
      <c r="BW62" s="163" t="s">
        <v>127</v>
      </c>
      <c r="BX62" s="151" t="s">
        <v>13153</v>
      </c>
      <c r="BY62" s="151" t="s">
        <v>13223</v>
      </c>
      <c r="BZ62" s="163" t="s">
        <v>1757</v>
      </c>
      <c r="CA62" s="284">
        <v>20100</v>
      </c>
      <c r="CB62" s="163"/>
      <c r="CC62" s="163"/>
      <c r="CD62" s="163" t="s">
        <v>118</v>
      </c>
      <c r="CE62" s="163" t="s">
        <v>5504</v>
      </c>
      <c r="CF62" s="151"/>
      <c r="CG62" s="163"/>
      <c r="CH62" s="151"/>
      <c r="CI62" s="151"/>
      <c r="CJ62" s="151"/>
      <c r="CK62" s="151"/>
      <c r="CL62" s="151"/>
    </row>
    <row r="63" spans="1:90" s="168" customFormat="1" ht="21" customHeight="1">
      <c r="A63" s="151">
        <v>25</v>
      </c>
      <c r="B63" s="152"/>
      <c r="C63" s="152"/>
      <c r="D63" s="6"/>
      <c r="E63" s="6"/>
      <c r="F63" s="6"/>
      <c r="G63" s="151"/>
      <c r="H63" s="153"/>
      <c r="I63" s="154" t="s">
        <v>2452</v>
      </c>
      <c r="J63" s="154" t="s">
        <v>11780</v>
      </c>
      <c r="K63" s="154" t="s">
        <v>1460</v>
      </c>
      <c r="L63" s="151"/>
      <c r="M63" s="151">
        <v>2250</v>
      </c>
      <c r="N63" s="398" t="s">
        <v>13404</v>
      </c>
      <c r="O63" s="398" t="s">
        <v>13403</v>
      </c>
      <c r="P63" s="156" t="s">
        <v>11781</v>
      </c>
      <c r="Q63" s="174" t="s">
        <v>11782</v>
      </c>
      <c r="R63" s="151" t="s">
        <v>11338</v>
      </c>
      <c r="S63" s="407" t="s">
        <v>13544</v>
      </c>
      <c r="T63" s="151" t="s">
        <v>11783</v>
      </c>
      <c r="U63" s="151" t="s">
        <v>172</v>
      </c>
      <c r="V63" s="157" t="s">
        <v>94</v>
      </c>
      <c r="W63" s="158">
        <v>43705</v>
      </c>
      <c r="X63" s="159"/>
      <c r="Y63" s="160" t="s">
        <v>95</v>
      </c>
      <c r="Z63" s="161"/>
      <c r="AA63" s="159" t="s">
        <v>96</v>
      </c>
      <c r="AB63" s="151" t="s">
        <v>97</v>
      </c>
      <c r="AC63" s="162" t="s">
        <v>11784</v>
      </c>
      <c r="AD63" s="151" t="s">
        <v>966</v>
      </c>
      <c r="AE63" s="151" t="s">
        <v>827</v>
      </c>
      <c r="AF63" s="151" t="s">
        <v>1466</v>
      </c>
      <c r="AG63" s="151" t="s">
        <v>1467</v>
      </c>
      <c r="AH63" s="163" t="s">
        <v>1467</v>
      </c>
      <c r="AI63" s="151">
        <v>65116</v>
      </c>
      <c r="AJ63" s="151" t="s">
        <v>94</v>
      </c>
      <c r="AK63" s="163"/>
      <c r="AL63" s="163"/>
      <c r="AM63" s="163" t="s">
        <v>1468</v>
      </c>
      <c r="AN63" s="151" t="s">
        <v>1468</v>
      </c>
      <c r="AO63" s="163">
        <v>2</v>
      </c>
      <c r="AP63" s="163">
        <v>2</v>
      </c>
      <c r="AQ63" s="163"/>
      <c r="AR63" s="163"/>
      <c r="AS63" s="279">
        <v>21</v>
      </c>
      <c r="AT63" s="279">
        <v>110</v>
      </c>
      <c r="AU63" s="163"/>
      <c r="AV63" s="163" t="s">
        <v>112</v>
      </c>
      <c r="AW63" s="163" t="s">
        <v>150</v>
      </c>
      <c r="AX63" s="163" t="s">
        <v>114</v>
      </c>
      <c r="AY63" s="164" t="s">
        <v>12327</v>
      </c>
      <c r="AZ63" s="151" t="s">
        <v>1470</v>
      </c>
      <c r="BA63" s="163" t="s">
        <v>94</v>
      </c>
      <c r="BB63" s="165">
        <v>30349</v>
      </c>
      <c r="BC63" s="163" t="s">
        <v>96</v>
      </c>
      <c r="BD63" s="163" t="s">
        <v>1471</v>
      </c>
      <c r="BE63" s="163" t="s">
        <v>118</v>
      </c>
      <c r="BF63" s="151" t="s">
        <v>276</v>
      </c>
      <c r="BG63" s="163" t="s">
        <v>4158</v>
      </c>
      <c r="BH63" s="163" t="s">
        <v>94</v>
      </c>
      <c r="BI63" s="6"/>
      <c r="BJ63" s="166" t="s">
        <v>190</v>
      </c>
      <c r="BK63" s="151" t="s">
        <v>1472</v>
      </c>
      <c r="BL63" s="167" t="s">
        <v>12859</v>
      </c>
      <c r="BM63" s="151" t="s">
        <v>1474</v>
      </c>
      <c r="BN63" s="151" t="s">
        <v>94</v>
      </c>
      <c r="BO63" s="165">
        <v>32559</v>
      </c>
      <c r="BP63" s="163" t="s">
        <v>96</v>
      </c>
      <c r="BQ63" s="163" t="s">
        <v>1468</v>
      </c>
      <c r="BR63" s="163" t="s">
        <v>118</v>
      </c>
      <c r="BS63" s="151" t="s">
        <v>276</v>
      </c>
      <c r="BT63" s="163" t="s">
        <v>13045</v>
      </c>
      <c r="BU63" s="163" t="s">
        <v>94</v>
      </c>
      <c r="BV63" s="163"/>
      <c r="BW63" s="163" t="s">
        <v>190</v>
      </c>
      <c r="BX63" s="151" t="s">
        <v>1472</v>
      </c>
      <c r="BY63" s="151"/>
      <c r="BZ63" s="163" t="s">
        <v>108</v>
      </c>
      <c r="CA63" s="281"/>
      <c r="CB63" s="163"/>
      <c r="CC63" s="163"/>
      <c r="CD63" s="163"/>
      <c r="CE63" s="163"/>
      <c r="CF63" s="151"/>
      <c r="CG63" s="163"/>
      <c r="CH63" s="151"/>
      <c r="CI63" s="151"/>
      <c r="CJ63" s="151"/>
      <c r="CK63" s="151"/>
      <c r="CL63" s="151"/>
    </row>
    <row r="64" spans="1:90" s="168" customFormat="1" ht="21" customHeight="1">
      <c r="A64" s="151">
        <v>17</v>
      </c>
      <c r="B64" s="152"/>
      <c r="C64" s="152"/>
      <c r="D64" s="6"/>
      <c r="E64" s="6"/>
      <c r="F64" s="6"/>
      <c r="G64" s="151"/>
      <c r="H64" s="153"/>
      <c r="I64" s="154" t="s">
        <v>2452</v>
      </c>
      <c r="J64" s="154" t="s">
        <v>7926</v>
      </c>
      <c r="K64" s="154" t="s">
        <v>11801</v>
      </c>
      <c r="L64" s="151"/>
      <c r="M64" s="151">
        <v>2254</v>
      </c>
      <c r="N64" s="151"/>
      <c r="O64" s="398" t="s">
        <v>13410</v>
      </c>
      <c r="P64" s="401" t="s">
        <v>13411</v>
      </c>
      <c r="Q64" s="174" t="s">
        <v>11802</v>
      </c>
      <c r="R64" s="151" t="s">
        <v>11338</v>
      </c>
      <c r="S64" s="407" t="s">
        <v>13544</v>
      </c>
      <c r="T64" s="151" t="s">
        <v>11803</v>
      </c>
      <c r="U64" s="151" t="s">
        <v>172</v>
      </c>
      <c r="V64" s="157" t="s">
        <v>94</v>
      </c>
      <c r="W64" s="158">
        <v>44044</v>
      </c>
      <c r="X64" s="159"/>
      <c r="Y64" s="160" t="s">
        <v>95</v>
      </c>
      <c r="Z64" s="161"/>
      <c r="AA64" s="159" t="s">
        <v>96</v>
      </c>
      <c r="AB64" s="151" t="s">
        <v>97</v>
      </c>
      <c r="AC64" s="162" t="s">
        <v>11804</v>
      </c>
      <c r="AD64" s="151" t="s">
        <v>207</v>
      </c>
      <c r="AE64" s="151" t="s">
        <v>99</v>
      </c>
      <c r="AF64" s="151" t="s">
        <v>1840</v>
      </c>
      <c r="AG64" s="151" t="s">
        <v>178</v>
      </c>
      <c r="AH64" s="151" t="s">
        <v>178</v>
      </c>
      <c r="AI64" s="151">
        <v>65142</v>
      </c>
      <c r="AJ64" s="151" t="s">
        <v>103</v>
      </c>
      <c r="AK64" s="163"/>
      <c r="AL64" s="163"/>
      <c r="AM64" s="163">
        <v>0</v>
      </c>
      <c r="AN64" s="151" t="s">
        <v>12218</v>
      </c>
      <c r="AO64" s="163">
        <v>2</v>
      </c>
      <c r="AP64" s="163">
        <v>1</v>
      </c>
      <c r="AQ64" s="163"/>
      <c r="AR64" s="163"/>
      <c r="AS64" s="279" t="s">
        <v>4937</v>
      </c>
      <c r="AT64" s="279" t="s">
        <v>12275</v>
      </c>
      <c r="AU64" s="163"/>
      <c r="AV64" s="163" t="s">
        <v>212</v>
      </c>
      <c r="AW64" s="163" t="s">
        <v>392</v>
      </c>
      <c r="AX64" s="163" t="s">
        <v>114</v>
      </c>
      <c r="AY64" s="164" t="s">
        <v>12331</v>
      </c>
      <c r="AZ64" s="151" t="s">
        <v>12420</v>
      </c>
      <c r="BA64" s="163" t="s">
        <v>444</v>
      </c>
      <c r="BB64" s="165">
        <v>23409</v>
      </c>
      <c r="BC64" s="163" t="s">
        <v>96</v>
      </c>
      <c r="BD64" s="163" t="s">
        <v>12492</v>
      </c>
      <c r="BE64" s="163" t="s">
        <v>224</v>
      </c>
      <c r="BF64" s="151" t="s">
        <v>327</v>
      </c>
      <c r="BG64" s="163" t="s">
        <v>12563</v>
      </c>
      <c r="BH64" s="163" t="s">
        <v>12646</v>
      </c>
      <c r="BI64" s="6"/>
      <c r="BJ64" s="166" t="s">
        <v>878</v>
      </c>
      <c r="BK64" s="151" t="s">
        <v>12751</v>
      </c>
      <c r="BL64" s="167" t="s">
        <v>12863</v>
      </c>
      <c r="BM64" s="151" t="s">
        <v>12952</v>
      </c>
      <c r="BN64" s="151" t="s">
        <v>94</v>
      </c>
      <c r="BO64" s="165">
        <v>30023</v>
      </c>
      <c r="BP64" s="163" t="s">
        <v>96</v>
      </c>
      <c r="BQ64" s="163" t="s">
        <v>12218</v>
      </c>
      <c r="BR64" s="163" t="s">
        <v>118</v>
      </c>
      <c r="BS64" s="151" t="s">
        <v>327</v>
      </c>
      <c r="BT64" s="163" t="s">
        <v>13046</v>
      </c>
      <c r="BU64" s="163" t="s">
        <v>178</v>
      </c>
      <c r="BV64" s="163"/>
      <c r="BW64" s="163" t="s">
        <v>7141</v>
      </c>
      <c r="BX64" s="151" t="s">
        <v>13159</v>
      </c>
      <c r="BY64" s="151"/>
      <c r="BZ64" s="163" t="s">
        <v>108</v>
      </c>
      <c r="CA64" s="281"/>
      <c r="CB64" s="163"/>
      <c r="CC64" s="163"/>
      <c r="CD64" s="163"/>
      <c r="CE64" s="163"/>
      <c r="CF64" s="151"/>
      <c r="CG64" s="163"/>
      <c r="CH64" s="151"/>
      <c r="CI64" s="151"/>
      <c r="CJ64" s="151"/>
      <c r="CK64" s="151"/>
      <c r="CL64" s="151"/>
    </row>
    <row r="65" spans="1:90" s="168" customFormat="1" ht="21" customHeight="1">
      <c r="A65" s="151">
        <v>88</v>
      </c>
      <c r="B65" s="152"/>
      <c r="C65" s="152"/>
      <c r="D65" s="6"/>
      <c r="E65" s="6"/>
      <c r="F65" s="6"/>
      <c r="G65" s="151"/>
      <c r="H65" s="153"/>
      <c r="I65" s="169" t="s">
        <v>2452</v>
      </c>
      <c r="J65" s="169" t="s">
        <v>11821</v>
      </c>
      <c r="K65" s="169" t="s">
        <v>11822</v>
      </c>
      <c r="L65" s="151"/>
      <c r="M65" s="151">
        <v>2259</v>
      </c>
      <c r="N65" s="398" t="s">
        <v>13441</v>
      </c>
      <c r="O65" s="398" t="s">
        <v>13442</v>
      </c>
      <c r="P65" s="170" t="s">
        <v>11823</v>
      </c>
      <c r="Q65" s="174" t="s">
        <v>11824</v>
      </c>
      <c r="R65" s="151" t="s">
        <v>11338</v>
      </c>
      <c r="S65" s="407" t="s">
        <v>13544</v>
      </c>
      <c r="T65" s="151" t="s">
        <v>3482</v>
      </c>
      <c r="U65" s="151" t="s">
        <v>93</v>
      </c>
      <c r="V65" s="157" t="s">
        <v>94</v>
      </c>
      <c r="W65" s="171">
        <v>43793</v>
      </c>
      <c r="X65" s="159"/>
      <c r="Y65" s="172" t="s">
        <v>95</v>
      </c>
      <c r="Z65" s="173"/>
      <c r="AA65" s="159" t="s">
        <v>96</v>
      </c>
      <c r="AB65" s="151" t="s">
        <v>97</v>
      </c>
      <c r="AC65" s="162" t="s">
        <v>11825</v>
      </c>
      <c r="AD65" s="151" t="s">
        <v>827</v>
      </c>
      <c r="AE65" s="151" t="s">
        <v>1789</v>
      </c>
      <c r="AF65" s="151" t="s">
        <v>615</v>
      </c>
      <c r="AG65" s="151" t="s">
        <v>178</v>
      </c>
      <c r="AH65" s="151" t="s">
        <v>178</v>
      </c>
      <c r="AI65" s="151">
        <v>65142</v>
      </c>
      <c r="AJ65" s="151" t="s">
        <v>94</v>
      </c>
      <c r="AK65" s="163"/>
      <c r="AL65" s="163"/>
      <c r="AM65" s="163" t="s">
        <v>12171</v>
      </c>
      <c r="AN65" s="151" t="s">
        <v>12220</v>
      </c>
      <c r="AO65" s="163">
        <v>1</v>
      </c>
      <c r="AP65" s="163">
        <v>0</v>
      </c>
      <c r="AQ65" s="163"/>
      <c r="AR65" s="163"/>
      <c r="AS65" s="280">
        <v>20</v>
      </c>
      <c r="AT65" s="280">
        <v>120</v>
      </c>
      <c r="AU65" s="163"/>
      <c r="AV65" s="163" t="s">
        <v>212</v>
      </c>
      <c r="AW65" s="163" t="s">
        <v>12289</v>
      </c>
      <c r="AX65" s="163" t="s">
        <v>183</v>
      </c>
      <c r="AY65" s="164" t="s">
        <v>12336</v>
      </c>
      <c r="AZ65" s="151" t="s">
        <v>12423</v>
      </c>
      <c r="BA65" s="163" t="s">
        <v>94</v>
      </c>
      <c r="BB65" s="165">
        <v>32167</v>
      </c>
      <c r="BC65" s="163" t="s">
        <v>96</v>
      </c>
      <c r="BD65" s="163" t="s">
        <v>12495</v>
      </c>
      <c r="BE65" s="163" t="s">
        <v>153</v>
      </c>
      <c r="BF65" s="151" t="s">
        <v>154</v>
      </c>
      <c r="BG65" s="163" t="s">
        <v>12566</v>
      </c>
      <c r="BH65" s="163" t="s">
        <v>12648</v>
      </c>
      <c r="BI65" s="6" t="s">
        <v>12649</v>
      </c>
      <c r="BJ65" s="166" t="s">
        <v>3517</v>
      </c>
      <c r="BK65" s="151" t="s">
        <v>12756</v>
      </c>
      <c r="BL65" s="167" t="s">
        <v>12868</v>
      </c>
      <c r="BM65" s="151" t="s">
        <v>12955</v>
      </c>
      <c r="BN65" s="151" t="s">
        <v>94</v>
      </c>
      <c r="BO65" s="165">
        <v>45763</v>
      </c>
      <c r="BP65" s="163" t="s">
        <v>96</v>
      </c>
      <c r="BQ65" s="163" t="s">
        <v>12171</v>
      </c>
      <c r="BR65" s="163" t="s">
        <v>118</v>
      </c>
      <c r="BS65" s="151" t="s">
        <v>126</v>
      </c>
      <c r="BT65" s="163" t="s">
        <v>127</v>
      </c>
      <c r="BU65" s="163" t="s">
        <v>127</v>
      </c>
      <c r="BV65" s="163" t="s">
        <v>127</v>
      </c>
      <c r="BW65" s="163" t="s">
        <v>127</v>
      </c>
      <c r="BX65" s="151" t="s">
        <v>13162</v>
      </c>
      <c r="BY65" s="151"/>
      <c r="BZ65" s="163" t="s">
        <v>108</v>
      </c>
      <c r="CA65" s="282"/>
      <c r="CB65" s="163"/>
      <c r="CC65" s="163"/>
      <c r="CD65" s="163"/>
      <c r="CE65" s="163"/>
      <c r="CF65" s="151"/>
      <c r="CG65" s="163"/>
      <c r="CH65" s="151"/>
      <c r="CI65" s="151"/>
      <c r="CJ65" s="151"/>
      <c r="CK65" s="151"/>
      <c r="CL65" s="151"/>
    </row>
    <row r="66" spans="1:90" s="168" customFormat="1" ht="21" customHeight="1">
      <c r="A66" s="151">
        <v>23</v>
      </c>
      <c r="B66" s="152"/>
      <c r="C66" s="152"/>
      <c r="D66" s="6"/>
      <c r="E66" s="6"/>
      <c r="F66" s="6"/>
      <c r="G66" s="151"/>
      <c r="H66" s="153"/>
      <c r="I66" s="154" t="s">
        <v>2452</v>
      </c>
      <c r="J66" s="154" t="s">
        <v>11826</v>
      </c>
      <c r="K66" s="154" t="s">
        <v>11827</v>
      </c>
      <c r="L66" s="151"/>
      <c r="M66" s="151">
        <v>2260</v>
      </c>
      <c r="N66" s="398" t="s">
        <v>13443</v>
      </c>
      <c r="O66" s="398" t="s">
        <v>11828</v>
      </c>
      <c r="P66" s="156" t="s">
        <v>11828</v>
      </c>
      <c r="Q66" s="174" t="s">
        <v>11829</v>
      </c>
      <c r="R66" s="151" t="s">
        <v>11338</v>
      </c>
      <c r="S66" s="407" t="s">
        <v>13544</v>
      </c>
      <c r="T66" s="151" t="s">
        <v>11830</v>
      </c>
      <c r="U66" s="151" t="s">
        <v>93</v>
      </c>
      <c r="V66" s="157" t="s">
        <v>94</v>
      </c>
      <c r="W66" s="158">
        <v>43813</v>
      </c>
      <c r="X66" s="159"/>
      <c r="Y66" s="160" t="s">
        <v>95</v>
      </c>
      <c r="Z66" s="154" t="s">
        <v>127</v>
      </c>
      <c r="AA66" s="159" t="s">
        <v>96</v>
      </c>
      <c r="AB66" s="151" t="s">
        <v>97</v>
      </c>
      <c r="AC66" s="162" t="s">
        <v>11831</v>
      </c>
      <c r="AD66" s="151">
        <v>32</v>
      </c>
      <c r="AE66" s="151" t="s">
        <v>100</v>
      </c>
      <c r="AF66" s="151" t="s">
        <v>11832</v>
      </c>
      <c r="AG66" s="151" t="s">
        <v>11832</v>
      </c>
      <c r="AH66" s="163" t="s">
        <v>141</v>
      </c>
      <c r="AI66" s="151">
        <v>65165</v>
      </c>
      <c r="AJ66" s="151" t="s">
        <v>1374</v>
      </c>
      <c r="AK66" s="163"/>
      <c r="AL66" s="163"/>
      <c r="AM66" s="163" t="s">
        <v>12172</v>
      </c>
      <c r="AN66" s="151" t="s">
        <v>12221</v>
      </c>
      <c r="AO66" s="163">
        <v>1</v>
      </c>
      <c r="AP66" s="163">
        <v>1</v>
      </c>
      <c r="AQ66" s="163"/>
      <c r="AR66" s="163"/>
      <c r="AS66" s="279">
        <v>24.52</v>
      </c>
      <c r="AT66" s="279">
        <v>114</v>
      </c>
      <c r="AU66" s="163"/>
      <c r="AV66" s="163" t="s">
        <v>112</v>
      </c>
      <c r="AW66" s="163" t="s">
        <v>392</v>
      </c>
      <c r="AX66" s="163" t="s">
        <v>2208</v>
      </c>
      <c r="AY66" s="164" t="s">
        <v>12337</v>
      </c>
      <c r="AZ66" s="151" t="s">
        <v>12424</v>
      </c>
      <c r="BA66" s="163" t="s">
        <v>2961</v>
      </c>
      <c r="BB66" s="165">
        <v>33502</v>
      </c>
      <c r="BC66" s="163" t="s">
        <v>96</v>
      </c>
      <c r="BD66" s="163" t="s">
        <v>12172</v>
      </c>
      <c r="BE66" s="163" t="s">
        <v>118</v>
      </c>
      <c r="BF66" s="151" t="s">
        <v>327</v>
      </c>
      <c r="BG66" s="163" t="s">
        <v>12567</v>
      </c>
      <c r="BH66" s="163" t="s">
        <v>12650</v>
      </c>
      <c r="BI66" s="6" t="s">
        <v>12651</v>
      </c>
      <c r="BJ66" s="166" t="s">
        <v>12757</v>
      </c>
      <c r="BK66" s="151" t="s">
        <v>12758</v>
      </c>
      <c r="BL66" s="167" t="s">
        <v>12869</v>
      </c>
      <c r="BM66" s="151" t="s">
        <v>12956</v>
      </c>
      <c r="BN66" s="151" t="s">
        <v>94</v>
      </c>
      <c r="BO66" s="165">
        <v>33530</v>
      </c>
      <c r="BP66" s="163" t="s">
        <v>96</v>
      </c>
      <c r="BQ66" s="163" t="s">
        <v>12221</v>
      </c>
      <c r="BR66" s="163" t="s">
        <v>216</v>
      </c>
      <c r="BS66" s="151" t="s">
        <v>126</v>
      </c>
      <c r="BT66" s="163" t="s">
        <v>127</v>
      </c>
      <c r="BU66" s="163" t="s">
        <v>127</v>
      </c>
      <c r="BV66" s="163" t="s">
        <v>127</v>
      </c>
      <c r="BW66" s="163" t="s">
        <v>127</v>
      </c>
      <c r="BX66" s="151" t="s">
        <v>13163</v>
      </c>
      <c r="BY66" s="151"/>
      <c r="BZ66" s="163" t="s">
        <v>108</v>
      </c>
      <c r="CA66" s="281"/>
      <c r="CB66" s="163"/>
      <c r="CC66" s="163"/>
      <c r="CD66" s="163"/>
      <c r="CE66" s="163"/>
      <c r="CF66" s="151"/>
      <c r="CG66" s="163"/>
      <c r="CH66" s="151"/>
      <c r="CI66" s="151"/>
      <c r="CJ66" s="151"/>
      <c r="CK66" s="151"/>
      <c r="CL66" s="151"/>
    </row>
    <row r="67" spans="1:90" s="168" customFormat="1" ht="21" customHeight="1">
      <c r="A67" s="151">
        <v>90</v>
      </c>
      <c r="B67" s="152"/>
      <c r="C67" s="152"/>
      <c r="D67" s="6"/>
      <c r="E67" s="6"/>
      <c r="F67" s="6"/>
      <c r="G67" s="151"/>
      <c r="H67" s="153"/>
      <c r="I67" s="154" t="s">
        <v>2452</v>
      </c>
      <c r="J67" s="154" t="s">
        <v>402</v>
      </c>
      <c r="K67" s="154" t="s">
        <v>11791</v>
      </c>
      <c r="L67" s="151"/>
      <c r="M67" s="151">
        <v>2262</v>
      </c>
      <c r="N67" s="398" t="s">
        <v>13446</v>
      </c>
      <c r="O67" s="398" t="s">
        <v>8458</v>
      </c>
      <c r="P67" s="401" t="s">
        <v>8458</v>
      </c>
      <c r="Q67" s="174" t="s">
        <v>11838</v>
      </c>
      <c r="R67" s="151" t="s">
        <v>11338</v>
      </c>
      <c r="S67" s="407" t="s">
        <v>13544</v>
      </c>
      <c r="T67" s="151" t="s">
        <v>11839</v>
      </c>
      <c r="U67" s="151" t="s">
        <v>172</v>
      </c>
      <c r="V67" s="157" t="s">
        <v>94</v>
      </c>
      <c r="W67" s="158">
        <v>43535</v>
      </c>
      <c r="X67" s="159"/>
      <c r="Y67" s="160" t="s">
        <v>95</v>
      </c>
      <c r="Z67" s="161"/>
      <c r="AA67" s="159" t="s">
        <v>96</v>
      </c>
      <c r="AB67" s="151" t="s">
        <v>97</v>
      </c>
      <c r="AC67" s="162" t="s">
        <v>11840</v>
      </c>
      <c r="AD67" s="151" t="s">
        <v>127</v>
      </c>
      <c r="AE67" s="151" t="s">
        <v>127</v>
      </c>
      <c r="AF67" s="151" t="s">
        <v>942</v>
      </c>
      <c r="AG67" s="151" t="s">
        <v>178</v>
      </c>
      <c r="AH67" s="151" t="s">
        <v>178</v>
      </c>
      <c r="AI67" s="151">
        <v>65143</v>
      </c>
      <c r="AJ67" s="151" t="s">
        <v>94</v>
      </c>
      <c r="AK67" s="163"/>
      <c r="AL67" s="163"/>
      <c r="AM67" s="163" t="s">
        <v>127</v>
      </c>
      <c r="AN67" s="151" t="s">
        <v>8465</v>
      </c>
      <c r="AO67" s="163">
        <v>2</v>
      </c>
      <c r="AP67" s="163">
        <v>1</v>
      </c>
      <c r="AQ67" s="163"/>
      <c r="AR67" s="163"/>
      <c r="AS67" s="279">
        <v>11</v>
      </c>
      <c r="AT67" s="279">
        <v>110</v>
      </c>
      <c r="AU67" s="163"/>
      <c r="AV67" s="163" t="s">
        <v>112</v>
      </c>
      <c r="AW67" s="163" t="s">
        <v>113</v>
      </c>
      <c r="AX67" s="163" t="s">
        <v>114</v>
      </c>
      <c r="AY67" s="164" t="s">
        <v>12338</v>
      </c>
      <c r="AZ67" s="151" t="s">
        <v>8467</v>
      </c>
      <c r="BA67" s="163" t="s">
        <v>94</v>
      </c>
      <c r="BB67" s="165">
        <v>31966</v>
      </c>
      <c r="BC67" s="163" t="s">
        <v>96</v>
      </c>
      <c r="BD67" s="163" t="s">
        <v>8464</v>
      </c>
      <c r="BE67" s="163" t="s">
        <v>118</v>
      </c>
      <c r="BF67" s="151" t="s">
        <v>276</v>
      </c>
      <c r="BG67" s="163" t="s">
        <v>12569</v>
      </c>
      <c r="BH67" s="163" t="s">
        <v>12654</v>
      </c>
      <c r="BI67" s="6" t="s">
        <v>127</v>
      </c>
      <c r="BJ67" s="166" t="s">
        <v>190</v>
      </c>
      <c r="BK67" s="151" t="s">
        <v>12759</v>
      </c>
      <c r="BL67" s="167" t="s">
        <v>12870</v>
      </c>
      <c r="BM67" s="151" t="s">
        <v>8474</v>
      </c>
      <c r="BN67" s="151" t="s">
        <v>94</v>
      </c>
      <c r="BO67" s="165">
        <v>32015</v>
      </c>
      <c r="BP67" s="163" t="s">
        <v>96</v>
      </c>
      <c r="BQ67" s="163" t="s">
        <v>8465</v>
      </c>
      <c r="BR67" s="163" t="s">
        <v>118</v>
      </c>
      <c r="BS67" s="151" t="s">
        <v>254</v>
      </c>
      <c r="BT67" s="163" t="s">
        <v>452</v>
      </c>
      <c r="BU67" s="163" t="s">
        <v>127</v>
      </c>
      <c r="BV67" s="163" t="s">
        <v>127</v>
      </c>
      <c r="BW67" s="163" t="s">
        <v>127</v>
      </c>
      <c r="BX67" s="151" t="s">
        <v>8477</v>
      </c>
      <c r="BY67" s="151" t="s">
        <v>13225</v>
      </c>
      <c r="BZ67" s="163" t="s">
        <v>94</v>
      </c>
      <c r="CA67" s="284">
        <v>21437</v>
      </c>
      <c r="CB67" s="163"/>
      <c r="CC67" s="163" t="s">
        <v>13239</v>
      </c>
      <c r="CD67" s="163" t="s">
        <v>118</v>
      </c>
      <c r="CE67" s="163" t="s">
        <v>5504</v>
      </c>
      <c r="CF67" s="151"/>
      <c r="CG67" s="163"/>
      <c r="CH67" s="151"/>
      <c r="CI67" s="151"/>
      <c r="CJ67" s="151"/>
      <c r="CK67" s="151"/>
      <c r="CL67" s="151"/>
    </row>
    <row r="68" spans="1:90" s="168" customFormat="1" ht="21" customHeight="1">
      <c r="A68" s="151">
        <v>24</v>
      </c>
      <c r="B68" s="152"/>
      <c r="C68" s="152"/>
      <c r="D68" s="6"/>
      <c r="E68" s="6"/>
      <c r="F68" s="6"/>
      <c r="G68" s="151"/>
      <c r="H68" s="153"/>
      <c r="I68" s="169" t="s">
        <v>2452</v>
      </c>
      <c r="J68" s="169" t="s">
        <v>11841</v>
      </c>
      <c r="K68" s="169" t="s">
        <v>11842</v>
      </c>
      <c r="L68" s="151"/>
      <c r="M68" s="151">
        <v>2263</v>
      </c>
      <c r="N68" s="398" t="s">
        <v>13448</v>
      </c>
      <c r="O68" s="398" t="s">
        <v>13447</v>
      </c>
      <c r="P68" s="170" t="s">
        <v>11843</v>
      </c>
      <c r="Q68" s="174" t="s">
        <v>11844</v>
      </c>
      <c r="R68" s="151" t="s">
        <v>11338</v>
      </c>
      <c r="S68" s="407" t="s">
        <v>13544</v>
      </c>
      <c r="T68" s="151" t="s">
        <v>11845</v>
      </c>
      <c r="U68" s="151" t="s">
        <v>172</v>
      </c>
      <c r="V68" s="157" t="s">
        <v>94</v>
      </c>
      <c r="W68" s="171">
        <v>43747</v>
      </c>
      <c r="X68" s="159"/>
      <c r="Y68" s="172" t="s">
        <v>95</v>
      </c>
      <c r="Z68" s="173"/>
      <c r="AA68" s="159" t="s">
        <v>96</v>
      </c>
      <c r="AB68" s="151" t="s">
        <v>97</v>
      </c>
      <c r="AC68" s="162" t="s">
        <v>11846</v>
      </c>
      <c r="AD68" s="151">
        <v>62</v>
      </c>
      <c r="AE68" s="151" t="s">
        <v>207</v>
      </c>
      <c r="AF68" s="151" t="s">
        <v>11847</v>
      </c>
      <c r="AG68" s="151" t="s">
        <v>11848</v>
      </c>
      <c r="AH68" s="163" t="s">
        <v>141</v>
      </c>
      <c r="AI68" s="151">
        <v>65176</v>
      </c>
      <c r="AJ68" s="151" t="s">
        <v>142</v>
      </c>
      <c r="AK68" s="163"/>
      <c r="AL68" s="163"/>
      <c r="AM68" s="163">
        <v>0</v>
      </c>
      <c r="AN68" s="151" t="s">
        <v>12222</v>
      </c>
      <c r="AO68" s="163">
        <v>1</v>
      </c>
      <c r="AP68" s="163">
        <v>0</v>
      </c>
      <c r="AQ68" s="163"/>
      <c r="AR68" s="163"/>
      <c r="AS68" s="280" t="s">
        <v>8786</v>
      </c>
      <c r="AT68" s="280" t="s">
        <v>9278</v>
      </c>
      <c r="AU68" s="163"/>
      <c r="AV68" s="163" t="s">
        <v>112</v>
      </c>
      <c r="AW68" s="163" t="s">
        <v>113</v>
      </c>
      <c r="AX68" s="163" t="s">
        <v>1844</v>
      </c>
      <c r="AY68" s="164" t="s">
        <v>12339</v>
      </c>
      <c r="AZ68" s="151" t="s">
        <v>12425</v>
      </c>
      <c r="BA68" s="163" t="s">
        <v>94</v>
      </c>
      <c r="BB68" s="165">
        <v>33155</v>
      </c>
      <c r="BC68" s="163" t="s">
        <v>96</v>
      </c>
      <c r="BD68" s="163" t="s">
        <v>12496</v>
      </c>
      <c r="BE68" s="163" t="s">
        <v>216</v>
      </c>
      <c r="BF68" s="151" t="s">
        <v>247</v>
      </c>
      <c r="BG68" s="163" t="s">
        <v>12570</v>
      </c>
      <c r="BH68" s="163" t="s">
        <v>12655</v>
      </c>
      <c r="BI68" s="6" t="s">
        <v>12656</v>
      </c>
      <c r="BJ68" s="166" t="s">
        <v>122</v>
      </c>
      <c r="BK68" s="151" t="s">
        <v>12760</v>
      </c>
      <c r="BL68" s="167" t="s">
        <v>12871</v>
      </c>
      <c r="BM68" s="151" t="s">
        <v>12957</v>
      </c>
      <c r="BN68" s="151" t="s">
        <v>502</v>
      </c>
      <c r="BO68" s="165">
        <v>34079</v>
      </c>
      <c r="BP68" s="163" t="s">
        <v>96</v>
      </c>
      <c r="BQ68" s="163" t="s">
        <v>12222</v>
      </c>
      <c r="BR68" s="163" t="s">
        <v>118</v>
      </c>
      <c r="BS68" s="151" t="s">
        <v>247</v>
      </c>
      <c r="BT68" s="163" t="s">
        <v>12570</v>
      </c>
      <c r="BU68" s="163" t="s">
        <v>12655</v>
      </c>
      <c r="BV68" s="163" t="s">
        <v>12656</v>
      </c>
      <c r="BW68" s="163" t="s">
        <v>190</v>
      </c>
      <c r="BX68" s="151" t="s">
        <v>13164</v>
      </c>
      <c r="BY68" s="151"/>
      <c r="BZ68" s="163" t="s">
        <v>108</v>
      </c>
      <c r="CA68" s="282"/>
      <c r="CB68" s="163"/>
      <c r="CC68" s="163"/>
      <c r="CD68" s="163"/>
      <c r="CE68" s="163"/>
      <c r="CF68" s="151"/>
      <c r="CG68" s="163"/>
      <c r="CH68" s="151"/>
      <c r="CI68" s="151"/>
      <c r="CJ68" s="151"/>
      <c r="CK68" s="151"/>
      <c r="CL68" s="151"/>
    </row>
    <row r="69" spans="1:90" s="383" customFormat="1" ht="21" customHeight="1">
      <c r="A69" s="364">
        <v>102</v>
      </c>
      <c r="B69" s="365"/>
      <c r="C69" s="365"/>
      <c r="D69" s="366"/>
      <c r="E69" s="366"/>
      <c r="F69" s="366"/>
      <c r="G69" s="364"/>
      <c r="H69" s="367"/>
      <c r="I69" s="368" t="s">
        <v>2452</v>
      </c>
      <c r="J69" s="368" t="s">
        <v>11849</v>
      </c>
      <c r="K69" s="368" t="s">
        <v>11850</v>
      </c>
      <c r="L69" s="364"/>
      <c r="M69" s="364">
        <v>2264</v>
      </c>
      <c r="N69" s="406" t="s">
        <v>13450</v>
      </c>
      <c r="O69" s="406" t="s">
        <v>13449</v>
      </c>
      <c r="P69" s="369" t="s">
        <v>11851</v>
      </c>
      <c r="Q69" s="384" t="s">
        <v>11852</v>
      </c>
      <c r="R69" s="364" t="s">
        <v>11338</v>
      </c>
      <c r="S69" s="364" t="s">
        <v>13544</v>
      </c>
      <c r="T69" s="364" t="s">
        <v>776</v>
      </c>
      <c r="U69" s="364" t="s">
        <v>93</v>
      </c>
      <c r="V69" s="370" t="s">
        <v>94</v>
      </c>
      <c r="W69" s="371">
        <v>43719</v>
      </c>
      <c r="X69" s="372"/>
      <c r="Y69" s="373" t="s">
        <v>11682</v>
      </c>
      <c r="Z69" s="368" t="s">
        <v>127</v>
      </c>
      <c r="AA69" s="372" t="s">
        <v>96</v>
      </c>
      <c r="AB69" s="364" t="s">
        <v>97</v>
      </c>
      <c r="AC69" s="375" t="s">
        <v>11853</v>
      </c>
      <c r="AD69" s="364" t="s">
        <v>3397</v>
      </c>
      <c r="AE69" s="364" t="s">
        <v>827</v>
      </c>
      <c r="AF69" s="364" t="s">
        <v>11854</v>
      </c>
      <c r="AG69" s="364" t="s">
        <v>2159</v>
      </c>
      <c r="AH69" s="376" t="s">
        <v>2159</v>
      </c>
      <c r="AI69" s="364">
        <v>65134</v>
      </c>
      <c r="AJ69" s="364" t="s">
        <v>103</v>
      </c>
      <c r="AK69" s="376"/>
      <c r="AL69" s="376"/>
      <c r="AM69" s="376" t="s">
        <v>127</v>
      </c>
      <c r="AN69" s="364" t="s">
        <v>12223</v>
      </c>
      <c r="AO69" s="376">
        <v>3</v>
      </c>
      <c r="AP69" s="376">
        <v>2</v>
      </c>
      <c r="AQ69" s="376"/>
      <c r="AR69" s="376"/>
      <c r="AS69" s="377">
        <v>16.399999999999999</v>
      </c>
      <c r="AT69" s="377">
        <v>110</v>
      </c>
      <c r="AU69" s="376"/>
      <c r="AV69" s="376" t="s">
        <v>112</v>
      </c>
      <c r="AW69" s="376" t="s">
        <v>150</v>
      </c>
      <c r="AX69" s="376" t="s">
        <v>427</v>
      </c>
      <c r="AY69" s="378" t="s">
        <v>12340</v>
      </c>
      <c r="AZ69" s="364" t="s">
        <v>12426</v>
      </c>
      <c r="BA69" s="376" t="s">
        <v>94</v>
      </c>
      <c r="BB69" s="379">
        <v>27831</v>
      </c>
      <c r="BC69" s="376" t="s">
        <v>96</v>
      </c>
      <c r="BD69" s="376" t="s">
        <v>12497</v>
      </c>
      <c r="BE69" s="376" t="s">
        <v>216</v>
      </c>
      <c r="BF69" s="364" t="s">
        <v>195</v>
      </c>
      <c r="BG69" s="376" t="s">
        <v>127</v>
      </c>
      <c r="BH69" s="376" t="s">
        <v>127</v>
      </c>
      <c r="BI69" s="366" t="s">
        <v>127</v>
      </c>
      <c r="BJ69" s="380" t="s">
        <v>5752</v>
      </c>
      <c r="BK69" s="364" t="s">
        <v>12761</v>
      </c>
      <c r="BL69" s="381" t="s">
        <v>12872</v>
      </c>
      <c r="BM69" s="364" t="s">
        <v>12958</v>
      </c>
      <c r="BN69" s="364" t="s">
        <v>94</v>
      </c>
      <c r="BO69" s="379">
        <v>29736</v>
      </c>
      <c r="BP69" s="376" t="s">
        <v>96</v>
      </c>
      <c r="BQ69" s="376" t="s">
        <v>12223</v>
      </c>
      <c r="BR69" s="376" t="s">
        <v>216</v>
      </c>
      <c r="BS69" s="364" t="s">
        <v>13027</v>
      </c>
      <c r="BT69" s="376" t="s">
        <v>127</v>
      </c>
      <c r="BU69" s="376" t="s">
        <v>127</v>
      </c>
      <c r="BV69" s="376" t="s">
        <v>127</v>
      </c>
      <c r="BW69" s="376" t="s">
        <v>127</v>
      </c>
      <c r="BX69" s="364" t="s">
        <v>13165</v>
      </c>
      <c r="BY69" s="364" t="s">
        <v>13226</v>
      </c>
      <c r="BZ69" s="376" t="s">
        <v>94</v>
      </c>
      <c r="CA69" s="385">
        <v>37160</v>
      </c>
      <c r="CB69" s="376"/>
      <c r="CC69" s="376" t="s">
        <v>13240</v>
      </c>
      <c r="CD69" s="376" t="s">
        <v>216</v>
      </c>
      <c r="CE69" s="376" t="s">
        <v>13246</v>
      </c>
      <c r="CF69" s="364"/>
      <c r="CG69" s="376"/>
      <c r="CH69" s="364"/>
      <c r="CI69" s="364"/>
      <c r="CJ69" s="364"/>
      <c r="CK69" s="364"/>
      <c r="CL69" s="364"/>
    </row>
    <row r="70" spans="1:90" s="168" customFormat="1" ht="21" customHeight="1">
      <c r="A70" s="151">
        <v>86</v>
      </c>
      <c r="B70" s="152"/>
      <c r="C70" s="152"/>
      <c r="D70" s="6"/>
      <c r="E70" s="6"/>
      <c r="F70" s="6"/>
      <c r="G70" s="151"/>
      <c r="H70" s="153"/>
      <c r="I70" s="154" t="s">
        <v>2452</v>
      </c>
      <c r="J70" s="154" t="s">
        <v>747</v>
      </c>
      <c r="K70" s="154" t="s">
        <v>11869</v>
      </c>
      <c r="L70" s="151"/>
      <c r="M70" s="151">
        <v>2268</v>
      </c>
      <c r="O70" s="398" t="s">
        <v>13455</v>
      </c>
      <c r="P70" s="156" t="s">
        <v>11870</v>
      </c>
      <c r="Q70" s="174" t="s">
        <v>11871</v>
      </c>
      <c r="R70" s="151" t="s">
        <v>11338</v>
      </c>
      <c r="S70" s="407" t="s">
        <v>13544</v>
      </c>
      <c r="T70" s="151" t="s">
        <v>8022</v>
      </c>
      <c r="U70" s="151" t="s">
        <v>172</v>
      </c>
      <c r="V70" s="157" t="s">
        <v>2524</v>
      </c>
      <c r="W70" s="158">
        <v>43826</v>
      </c>
      <c r="X70" s="159"/>
      <c r="Y70" s="160" t="s">
        <v>95</v>
      </c>
      <c r="Z70" s="161"/>
      <c r="AA70" s="159" t="s">
        <v>96</v>
      </c>
      <c r="AB70" s="151" t="s">
        <v>97</v>
      </c>
      <c r="AC70" s="162" t="s">
        <v>11872</v>
      </c>
      <c r="AD70" s="151" t="s">
        <v>176</v>
      </c>
      <c r="AE70" s="151" t="s">
        <v>3397</v>
      </c>
      <c r="AF70" s="151" t="s">
        <v>240</v>
      </c>
      <c r="AG70" s="151" t="s">
        <v>241</v>
      </c>
      <c r="AH70" s="163" t="s">
        <v>241</v>
      </c>
      <c r="AI70" s="151">
        <v>65124</v>
      </c>
      <c r="AJ70" s="151" t="s">
        <v>94</v>
      </c>
      <c r="AK70" s="163"/>
      <c r="AL70" s="163"/>
      <c r="AM70" s="163" t="s">
        <v>12176</v>
      </c>
      <c r="AN70" s="151" t="s">
        <v>12176</v>
      </c>
      <c r="AO70" s="163">
        <v>1</v>
      </c>
      <c r="AP70" s="163">
        <v>2</v>
      </c>
      <c r="AQ70" s="163"/>
      <c r="AR70" s="163"/>
      <c r="AS70" s="279">
        <v>15</v>
      </c>
      <c r="AT70" s="279">
        <v>100</v>
      </c>
      <c r="AU70" s="163"/>
      <c r="AV70" s="163" t="s">
        <v>112</v>
      </c>
      <c r="AW70" s="163" t="s">
        <v>162</v>
      </c>
      <c r="AX70" s="163" t="s">
        <v>183</v>
      </c>
      <c r="AY70" s="164" t="s">
        <v>12344</v>
      </c>
      <c r="AZ70" s="151" t="s">
        <v>12429</v>
      </c>
      <c r="BA70" s="163" t="s">
        <v>502</v>
      </c>
      <c r="BB70" s="165">
        <v>32942</v>
      </c>
      <c r="BC70" s="163" t="s">
        <v>96</v>
      </c>
      <c r="BD70" s="163" t="s">
        <v>12176</v>
      </c>
      <c r="BE70" s="163" t="s">
        <v>118</v>
      </c>
      <c r="BF70" s="151" t="s">
        <v>247</v>
      </c>
      <c r="BG70" s="163" t="s">
        <v>12574</v>
      </c>
      <c r="BH70" s="163" t="s">
        <v>12661</v>
      </c>
      <c r="BI70" s="6"/>
      <c r="BJ70" s="166">
        <v>5000000</v>
      </c>
      <c r="BK70" s="151" t="s">
        <v>12766</v>
      </c>
      <c r="BL70" s="167" t="s">
        <v>12876</v>
      </c>
      <c r="BM70" s="151" t="s">
        <v>12961</v>
      </c>
      <c r="BN70" s="151" t="s">
        <v>2524</v>
      </c>
      <c r="BO70" s="165">
        <v>33622</v>
      </c>
      <c r="BP70" s="163" t="s">
        <v>96</v>
      </c>
      <c r="BQ70" s="163" t="s">
        <v>13012</v>
      </c>
      <c r="BR70" s="163" t="s">
        <v>153</v>
      </c>
      <c r="BS70" s="151" t="s">
        <v>247</v>
      </c>
      <c r="BT70" s="163" t="s">
        <v>12574</v>
      </c>
      <c r="BU70" s="163" t="s">
        <v>13090</v>
      </c>
      <c r="BV70" s="163"/>
      <c r="BW70" s="163">
        <v>5000000</v>
      </c>
      <c r="BX70" s="151" t="s">
        <v>13169</v>
      </c>
      <c r="BY70" s="151"/>
      <c r="BZ70" s="163" t="s">
        <v>108</v>
      </c>
      <c r="CA70" s="281"/>
      <c r="CB70" s="163"/>
      <c r="CC70" s="163"/>
      <c r="CD70" s="163"/>
      <c r="CE70" s="163"/>
      <c r="CF70" s="151"/>
      <c r="CG70" s="163"/>
      <c r="CH70" s="151"/>
      <c r="CI70" s="151"/>
      <c r="CJ70" s="151"/>
      <c r="CK70" s="151"/>
      <c r="CL70" s="151"/>
    </row>
    <row r="71" spans="1:90" s="168" customFormat="1" ht="21" customHeight="1">
      <c r="A71" s="151">
        <v>56</v>
      </c>
      <c r="B71" s="152"/>
      <c r="C71" s="152"/>
      <c r="D71" s="6"/>
      <c r="E71" s="6"/>
      <c r="F71" s="6"/>
      <c r="G71" s="151"/>
      <c r="H71" s="153"/>
      <c r="I71" s="154" t="s">
        <v>2452</v>
      </c>
      <c r="J71" s="154" t="s">
        <v>7926</v>
      </c>
      <c r="K71" s="154" t="s">
        <v>11887</v>
      </c>
      <c r="L71" s="151"/>
      <c r="M71" s="151">
        <v>2272</v>
      </c>
      <c r="N71" s="398" t="s">
        <v>13462</v>
      </c>
      <c r="O71" s="398" t="s">
        <v>13461</v>
      </c>
      <c r="P71" s="156" t="s">
        <v>11888</v>
      </c>
      <c r="Q71" s="174" t="s">
        <v>11889</v>
      </c>
      <c r="R71" s="151" t="s">
        <v>11338</v>
      </c>
      <c r="S71" s="407" t="s">
        <v>13544</v>
      </c>
      <c r="T71" s="151" t="s">
        <v>11890</v>
      </c>
      <c r="U71" s="151" t="s">
        <v>172</v>
      </c>
      <c r="V71" s="157" t="s">
        <v>94</v>
      </c>
      <c r="W71" s="158">
        <v>43813</v>
      </c>
      <c r="X71" s="159"/>
      <c r="Y71" s="160" t="s">
        <v>95</v>
      </c>
      <c r="Z71" s="161"/>
      <c r="AA71" s="159" t="s">
        <v>96</v>
      </c>
      <c r="AB71" s="151" t="s">
        <v>97</v>
      </c>
      <c r="AC71" s="162" t="s">
        <v>11891</v>
      </c>
      <c r="AD71" s="151" t="s">
        <v>358</v>
      </c>
      <c r="AE71" s="151" t="s">
        <v>3460</v>
      </c>
      <c r="AF71" s="151" t="s">
        <v>615</v>
      </c>
      <c r="AG71" s="151" t="s">
        <v>178</v>
      </c>
      <c r="AH71" s="151" t="s">
        <v>178</v>
      </c>
      <c r="AI71" s="151">
        <v>65142</v>
      </c>
      <c r="AJ71" s="151" t="s">
        <v>94</v>
      </c>
      <c r="AK71" s="163"/>
      <c r="AL71" s="163"/>
      <c r="AM71" s="163" t="s">
        <v>12178</v>
      </c>
      <c r="AN71" s="151" t="s">
        <v>12178</v>
      </c>
      <c r="AO71" s="163">
        <v>1</v>
      </c>
      <c r="AP71" s="163">
        <v>2</v>
      </c>
      <c r="AQ71" s="163"/>
      <c r="AR71" s="163"/>
      <c r="AS71" s="279">
        <v>19</v>
      </c>
      <c r="AT71" s="279">
        <v>110</v>
      </c>
      <c r="AU71" s="163"/>
      <c r="AV71" s="163" t="s">
        <v>112</v>
      </c>
      <c r="AW71" s="163" t="s">
        <v>150</v>
      </c>
      <c r="AX71" s="163" t="s">
        <v>114</v>
      </c>
      <c r="AY71" s="164" t="s">
        <v>12348</v>
      </c>
      <c r="AZ71" s="151" t="s">
        <v>12433</v>
      </c>
      <c r="BA71" s="163" t="s">
        <v>2783</v>
      </c>
      <c r="BB71" s="165">
        <v>33367</v>
      </c>
      <c r="BC71" s="163" t="s">
        <v>96</v>
      </c>
      <c r="BD71" s="163" t="s">
        <v>12503</v>
      </c>
      <c r="BE71" s="163" t="s">
        <v>153</v>
      </c>
      <c r="BF71" s="151" t="s">
        <v>12534</v>
      </c>
      <c r="BG71" s="163" t="s">
        <v>12576</v>
      </c>
      <c r="BH71" s="163" t="s">
        <v>12666</v>
      </c>
      <c r="BI71" s="6" t="s">
        <v>12503</v>
      </c>
      <c r="BJ71" s="166" t="s">
        <v>12771</v>
      </c>
      <c r="BK71" s="151" t="s">
        <v>12772</v>
      </c>
      <c r="BL71" s="167" t="s">
        <v>12880</v>
      </c>
      <c r="BM71" s="151" t="s">
        <v>12965</v>
      </c>
      <c r="BN71" s="151" t="s">
        <v>469</v>
      </c>
      <c r="BO71" s="165">
        <v>33917</v>
      </c>
      <c r="BP71" s="163" t="s">
        <v>96</v>
      </c>
      <c r="BQ71" s="163" t="s">
        <v>12178</v>
      </c>
      <c r="BR71" s="163" t="s">
        <v>118</v>
      </c>
      <c r="BS71" s="151" t="s">
        <v>247</v>
      </c>
      <c r="BT71" s="163" t="s">
        <v>13049</v>
      </c>
      <c r="BU71" s="163" t="s">
        <v>13095</v>
      </c>
      <c r="BV71" s="163" t="s">
        <v>12178</v>
      </c>
      <c r="BW71" s="163" t="s">
        <v>12771</v>
      </c>
      <c r="BX71" s="151" t="s">
        <v>13172</v>
      </c>
      <c r="BY71" s="151" t="s">
        <v>13229</v>
      </c>
      <c r="BZ71" s="163" t="s">
        <v>2783</v>
      </c>
      <c r="CA71" s="284">
        <v>33367</v>
      </c>
      <c r="CB71" s="163"/>
      <c r="CC71" s="163" t="s">
        <v>12178</v>
      </c>
      <c r="CD71" s="163" t="s">
        <v>153</v>
      </c>
      <c r="CE71" s="163" t="s">
        <v>13248</v>
      </c>
      <c r="CF71" s="151"/>
      <c r="CG71" s="163"/>
      <c r="CH71" s="151"/>
      <c r="CI71" s="151"/>
      <c r="CJ71" s="151"/>
      <c r="CK71" s="151"/>
      <c r="CL71" s="151"/>
    </row>
    <row r="72" spans="1:90" s="168" customFormat="1" ht="21" customHeight="1">
      <c r="A72" s="151">
        <v>92</v>
      </c>
      <c r="B72" s="152"/>
      <c r="C72" s="152"/>
      <c r="D72" s="6"/>
      <c r="E72" s="6"/>
      <c r="F72" s="6"/>
      <c r="G72" s="151"/>
      <c r="H72" s="153"/>
      <c r="I72" s="169" t="s">
        <v>2684</v>
      </c>
      <c r="J72" s="169" t="s">
        <v>11785</v>
      </c>
      <c r="K72" s="169" t="s">
        <v>11902</v>
      </c>
      <c r="L72" s="151"/>
      <c r="M72" s="151">
        <v>2275</v>
      </c>
      <c r="N72" s="151"/>
      <c r="O72" s="398" t="s">
        <v>13466</v>
      </c>
      <c r="P72" s="170" t="s">
        <v>11903</v>
      </c>
      <c r="Q72" s="388" t="s">
        <v>11904</v>
      </c>
      <c r="R72" s="151" t="s">
        <v>11338</v>
      </c>
      <c r="S72" s="407" t="s">
        <v>13544</v>
      </c>
      <c r="T72" s="151" t="s">
        <v>11905</v>
      </c>
      <c r="U72" s="151" t="s">
        <v>93</v>
      </c>
      <c r="V72" s="157" t="s">
        <v>94</v>
      </c>
      <c r="W72" s="171">
        <v>43608</v>
      </c>
      <c r="X72" s="159"/>
      <c r="Y72" s="172" t="s">
        <v>95</v>
      </c>
      <c r="Z72" s="173"/>
      <c r="AA72" s="159" t="s">
        <v>96</v>
      </c>
      <c r="AB72" s="151" t="s">
        <v>97</v>
      </c>
      <c r="AC72" s="162" t="s">
        <v>11906</v>
      </c>
      <c r="AD72" s="151" t="s">
        <v>99</v>
      </c>
      <c r="AE72" s="151" t="s">
        <v>546</v>
      </c>
      <c r="AF72" s="151" t="s">
        <v>871</v>
      </c>
      <c r="AG72" s="151" t="s">
        <v>410</v>
      </c>
      <c r="AH72" s="163" t="s">
        <v>141</v>
      </c>
      <c r="AI72" s="151">
        <v>65153</v>
      </c>
      <c r="AJ72" s="151" t="s">
        <v>142</v>
      </c>
      <c r="AK72" s="163"/>
      <c r="AL72" s="163"/>
      <c r="AM72" s="163" t="s">
        <v>12179</v>
      </c>
      <c r="AN72" s="151" t="s">
        <v>12228</v>
      </c>
      <c r="AO72" s="163">
        <v>1</v>
      </c>
      <c r="AP72" s="163">
        <v>1</v>
      </c>
      <c r="AQ72" s="163"/>
      <c r="AR72" s="163"/>
      <c r="AS72" s="280" t="s">
        <v>12279</v>
      </c>
      <c r="AT72" s="280" t="s">
        <v>10799</v>
      </c>
      <c r="AU72" s="163"/>
      <c r="AV72" s="163" t="s">
        <v>112</v>
      </c>
      <c r="AW72" s="163" t="s">
        <v>150</v>
      </c>
      <c r="AX72" s="163" t="s">
        <v>114</v>
      </c>
      <c r="AY72" s="164" t="s">
        <v>12351</v>
      </c>
      <c r="AZ72" s="151" t="s">
        <v>12435</v>
      </c>
      <c r="BA72" s="163" t="s">
        <v>3761</v>
      </c>
      <c r="BB72" s="165">
        <v>34060</v>
      </c>
      <c r="BC72" s="163" t="s">
        <v>96</v>
      </c>
      <c r="BD72" s="163" t="s">
        <v>12228</v>
      </c>
      <c r="BE72" s="163" t="s">
        <v>118</v>
      </c>
      <c r="BF72" s="151" t="s">
        <v>247</v>
      </c>
      <c r="BG72" s="163" t="s">
        <v>12578</v>
      </c>
      <c r="BH72" s="163" t="s">
        <v>12668</v>
      </c>
      <c r="BI72" s="6" t="s">
        <v>12228</v>
      </c>
      <c r="BJ72" s="166" t="s">
        <v>12773</v>
      </c>
      <c r="BK72" s="151" t="s">
        <v>12774</v>
      </c>
      <c r="BL72" s="167" t="s">
        <v>12883</v>
      </c>
      <c r="BM72" s="151" t="s">
        <v>12967</v>
      </c>
      <c r="BN72" s="151" t="s">
        <v>94</v>
      </c>
      <c r="BO72" s="165">
        <v>34230</v>
      </c>
      <c r="BP72" s="163" t="s">
        <v>96</v>
      </c>
      <c r="BQ72" s="163" t="s">
        <v>13014</v>
      </c>
      <c r="BR72" s="163" t="s">
        <v>118</v>
      </c>
      <c r="BS72" s="151" t="s">
        <v>247</v>
      </c>
      <c r="BT72" s="163" t="s">
        <v>13050</v>
      </c>
      <c r="BU72" s="163" t="s">
        <v>12668</v>
      </c>
      <c r="BV72" s="163" t="s">
        <v>13096</v>
      </c>
      <c r="BW72" s="163" t="s">
        <v>13174</v>
      </c>
      <c r="BX72" s="151" t="s">
        <v>13175</v>
      </c>
      <c r="BY72" s="151"/>
      <c r="BZ72" s="163" t="s">
        <v>108</v>
      </c>
      <c r="CA72" s="282"/>
      <c r="CB72" s="163"/>
      <c r="CC72" s="163"/>
      <c r="CD72" s="163"/>
      <c r="CE72" s="163"/>
      <c r="CF72" s="151"/>
      <c r="CG72" s="163"/>
      <c r="CH72" s="151"/>
      <c r="CI72" s="151"/>
      <c r="CJ72" s="151"/>
      <c r="CK72" s="151"/>
      <c r="CL72" s="151"/>
    </row>
    <row r="73" spans="1:90" s="329" customFormat="1" ht="21" customHeight="1">
      <c r="A73" s="312">
        <v>64</v>
      </c>
      <c r="B73" s="313"/>
      <c r="C73" s="313"/>
      <c r="D73" s="28"/>
      <c r="E73" s="28"/>
      <c r="F73" s="28"/>
      <c r="G73" s="312"/>
      <c r="H73" s="314"/>
      <c r="I73" s="330" t="s">
        <v>2452</v>
      </c>
      <c r="J73" s="330" t="s">
        <v>166</v>
      </c>
      <c r="K73" s="330" t="s">
        <v>11963</v>
      </c>
      <c r="L73" s="312"/>
      <c r="M73" s="312">
        <v>2288</v>
      </c>
      <c r="N73" s="399" t="s">
        <v>13489</v>
      </c>
      <c r="O73" s="399" t="s">
        <v>13488</v>
      </c>
      <c r="P73" s="331" t="s">
        <v>11964</v>
      </c>
      <c r="Q73" s="386" t="s">
        <v>11965</v>
      </c>
      <c r="R73" s="312" t="s">
        <v>11338</v>
      </c>
      <c r="S73" s="312" t="s">
        <v>13544</v>
      </c>
      <c r="T73" s="312" t="s">
        <v>9793</v>
      </c>
      <c r="U73" s="312" t="s">
        <v>172</v>
      </c>
      <c r="V73" s="317" t="s">
        <v>2179</v>
      </c>
      <c r="W73" s="332">
        <v>43611</v>
      </c>
      <c r="X73" s="319"/>
      <c r="Y73" s="333" t="s">
        <v>425</v>
      </c>
      <c r="Z73" s="330" t="s">
        <v>11966</v>
      </c>
      <c r="AA73" s="319" t="s">
        <v>96</v>
      </c>
      <c r="AB73" s="312" t="s">
        <v>97</v>
      </c>
      <c r="AC73" s="321" t="s">
        <v>11967</v>
      </c>
      <c r="AD73" s="312">
        <v>13</v>
      </c>
      <c r="AE73" s="312">
        <v>11</v>
      </c>
      <c r="AF73" s="312" t="s">
        <v>11968</v>
      </c>
      <c r="AG73" s="312" t="s">
        <v>2288</v>
      </c>
      <c r="AH73" s="322" t="s">
        <v>141</v>
      </c>
      <c r="AI73" s="312">
        <v>65153</v>
      </c>
      <c r="AJ73" s="312" t="s">
        <v>94</v>
      </c>
      <c r="AK73" s="322"/>
      <c r="AL73" s="322"/>
      <c r="AM73" s="322" t="s">
        <v>12185</v>
      </c>
      <c r="AN73" s="312" t="s">
        <v>12236</v>
      </c>
      <c r="AO73" s="322">
        <v>1</v>
      </c>
      <c r="AP73" s="322">
        <v>0</v>
      </c>
      <c r="AQ73" s="322"/>
      <c r="AR73" s="322"/>
      <c r="AS73" s="334">
        <v>23</v>
      </c>
      <c r="AT73" s="334">
        <v>113</v>
      </c>
      <c r="AU73" s="322"/>
      <c r="AV73" s="322" t="s">
        <v>112</v>
      </c>
      <c r="AW73" s="322" t="s">
        <v>163</v>
      </c>
      <c r="AX73" s="322" t="s">
        <v>114</v>
      </c>
      <c r="AY73" s="324" t="s">
        <v>12363</v>
      </c>
      <c r="AZ73" s="312" t="s">
        <v>12445</v>
      </c>
      <c r="BA73" s="322" t="s">
        <v>94</v>
      </c>
      <c r="BB73" s="325">
        <v>41377</v>
      </c>
      <c r="BC73" s="322" t="s">
        <v>96</v>
      </c>
      <c r="BD73" s="322" t="s">
        <v>12185</v>
      </c>
      <c r="BE73" s="322" t="s">
        <v>118</v>
      </c>
      <c r="BF73" s="312" t="s">
        <v>12536</v>
      </c>
      <c r="BG73" s="322" t="s">
        <v>12586</v>
      </c>
      <c r="BH73" s="322" t="s">
        <v>12681</v>
      </c>
      <c r="BI73" s="28" t="s">
        <v>12682</v>
      </c>
      <c r="BJ73" s="326">
        <v>7500000</v>
      </c>
      <c r="BK73" s="312" t="s">
        <v>12789</v>
      </c>
      <c r="BL73" s="327" t="s">
        <v>12895</v>
      </c>
      <c r="BM73" s="312" t="s">
        <v>12976</v>
      </c>
      <c r="BN73" s="312" t="s">
        <v>2179</v>
      </c>
      <c r="BO73" s="325">
        <v>34057</v>
      </c>
      <c r="BP73" s="322" t="s">
        <v>96</v>
      </c>
      <c r="BQ73" s="322" t="s">
        <v>12236</v>
      </c>
      <c r="BR73" s="322" t="s">
        <v>118</v>
      </c>
      <c r="BS73" s="312" t="s">
        <v>332</v>
      </c>
      <c r="BT73" s="322" t="s">
        <v>13056</v>
      </c>
      <c r="BU73" s="322" t="s">
        <v>13109</v>
      </c>
      <c r="BV73" s="322" t="s">
        <v>13110</v>
      </c>
      <c r="BW73" s="322">
        <v>3600000</v>
      </c>
      <c r="BX73" s="312" t="s">
        <v>13189</v>
      </c>
      <c r="BY73" s="312"/>
      <c r="BZ73" s="322" t="s">
        <v>108</v>
      </c>
      <c r="CA73" s="335"/>
      <c r="CB73" s="322"/>
      <c r="CC73" s="322"/>
      <c r="CD73" s="322"/>
      <c r="CE73" s="322"/>
      <c r="CF73" s="312"/>
      <c r="CG73" s="322"/>
      <c r="CH73" s="312"/>
      <c r="CI73" s="312"/>
      <c r="CJ73" s="312"/>
      <c r="CK73" s="312"/>
      <c r="CL73" s="312"/>
    </row>
    <row r="74" spans="1:90" s="168" customFormat="1" ht="21" customHeight="1">
      <c r="A74" s="151">
        <v>41</v>
      </c>
      <c r="B74" s="152"/>
      <c r="C74" s="152"/>
      <c r="D74" s="6"/>
      <c r="E74" s="6"/>
      <c r="F74" s="6"/>
      <c r="G74" s="151"/>
      <c r="H74" s="153"/>
      <c r="I74" s="169" t="s">
        <v>2452</v>
      </c>
      <c r="J74" s="169" t="s">
        <v>11978</v>
      </c>
      <c r="K74" s="169" t="s">
        <v>11979</v>
      </c>
      <c r="L74" s="151"/>
      <c r="M74" s="151">
        <v>2291</v>
      </c>
      <c r="N74" s="400" t="s">
        <v>13494</v>
      </c>
      <c r="O74" s="398" t="s">
        <v>7000</v>
      </c>
      <c r="P74" s="170" t="s">
        <v>11980</v>
      </c>
      <c r="Q74" s="174" t="s">
        <v>11981</v>
      </c>
      <c r="R74" s="151" t="s">
        <v>11338</v>
      </c>
      <c r="S74" s="407" t="s">
        <v>13544</v>
      </c>
      <c r="T74" s="151" t="s">
        <v>11982</v>
      </c>
      <c r="U74" s="151" t="s">
        <v>172</v>
      </c>
      <c r="V74" s="157" t="s">
        <v>94</v>
      </c>
      <c r="W74" s="171">
        <v>43810</v>
      </c>
      <c r="X74" s="159"/>
      <c r="Y74" s="172" t="s">
        <v>95</v>
      </c>
      <c r="Z74" s="173"/>
      <c r="AA74" s="159" t="s">
        <v>96</v>
      </c>
      <c r="AB74" s="151" t="s">
        <v>97</v>
      </c>
      <c r="AC74" s="162" t="s">
        <v>11983</v>
      </c>
      <c r="AD74" s="151" t="s">
        <v>207</v>
      </c>
      <c r="AE74" s="151">
        <v>15</v>
      </c>
      <c r="AF74" s="151" t="s">
        <v>139</v>
      </c>
      <c r="AG74" s="151" t="s">
        <v>140</v>
      </c>
      <c r="AH74" s="163" t="s">
        <v>141</v>
      </c>
      <c r="AI74" s="151">
        <v>65152</v>
      </c>
      <c r="AJ74" s="151" t="s">
        <v>94</v>
      </c>
      <c r="AK74" s="163"/>
      <c r="AL74" s="163"/>
      <c r="AM74" s="163" t="s">
        <v>7005</v>
      </c>
      <c r="AN74" s="151" t="s">
        <v>7005</v>
      </c>
      <c r="AO74" s="163">
        <v>3</v>
      </c>
      <c r="AP74" s="163">
        <v>2</v>
      </c>
      <c r="AQ74" s="163"/>
      <c r="AR74" s="163"/>
      <c r="AS74" s="280">
        <v>19</v>
      </c>
      <c r="AT74" s="280">
        <v>112</v>
      </c>
      <c r="AU74" s="163"/>
      <c r="AV74" s="163" t="s">
        <v>112</v>
      </c>
      <c r="AW74" s="163" t="s">
        <v>9083</v>
      </c>
      <c r="AX74" s="163" t="s">
        <v>114</v>
      </c>
      <c r="AY74" s="164" t="s">
        <v>12366</v>
      </c>
      <c r="AZ74" s="151" t="s">
        <v>7007</v>
      </c>
      <c r="BA74" s="163" t="s">
        <v>2916</v>
      </c>
      <c r="BB74" s="165">
        <v>31562</v>
      </c>
      <c r="BC74" s="163" t="s">
        <v>96</v>
      </c>
      <c r="BD74" s="163" t="s">
        <v>7008</v>
      </c>
      <c r="BE74" s="163" t="s">
        <v>118</v>
      </c>
      <c r="BF74" s="151" t="s">
        <v>276</v>
      </c>
      <c r="BG74" s="163" t="s">
        <v>12588</v>
      </c>
      <c r="BH74" s="163" t="s">
        <v>2886</v>
      </c>
      <c r="BI74" s="6" t="s">
        <v>127</v>
      </c>
      <c r="BJ74" s="166" t="s">
        <v>190</v>
      </c>
      <c r="BK74" s="151" t="s">
        <v>12793</v>
      </c>
      <c r="BL74" s="167" t="s">
        <v>12898</v>
      </c>
      <c r="BM74" s="151" t="s">
        <v>7013</v>
      </c>
      <c r="BN74" s="151" t="s">
        <v>94</v>
      </c>
      <c r="BO74" s="165">
        <v>31606</v>
      </c>
      <c r="BP74" s="163" t="s">
        <v>96</v>
      </c>
      <c r="BQ74" s="163" t="s">
        <v>7005</v>
      </c>
      <c r="BR74" s="163" t="s">
        <v>118</v>
      </c>
      <c r="BS74" s="151" t="s">
        <v>13031</v>
      </c>
      <c r="BT74" s="163" t="s">
        <v>13057</v>
      </c>
      <c r="BU74" s="163" t="s">
        <v>94</v>
      </c>
      <c r="BV74" s="163" t="s">
        <v>127</v>
      </c>
      <c r="BW74" s="163" t="s">
        <v>13193</v>
      </c>
      <c r="BX74" s="151" t="s">
        <v>13194</v>
      </c>
      <c r="BY74" s="151"/>
      <c r="BZ74" s="163" t="s">
        <v>108</v>
      </c>
      <c r="CA74" s="282"/>
      <c r="CB74" s="163"/>
      <c r="CC74" s="163"/>
      <c r="CD74" s="163"/>
      <c r="CE74" s="163"/>
      <c r="CF74" s="151"/>
      <c r="CG74" s="163"/>
      <c r="CH74" s="151"/>
      <c r="CI74" s="151"/>
      <c r="CJ74" s="151"/>
      <c r="CK74" s="151"/>
      <c r="CL74" s="151"/>
    </row>
    <row r="75" spans="1:90" s="383" customFormat="1" ht="21" customHeight="1">
      <c r="A75" s="364">
        <v>57</v>
      </c>
      <c r="B75" s="365"/>
      <c r="C75" s="365"/>
      <c r="D75" s="366"/>
      <c r="E75" s="366"/>
      <c r="F75" s="366"/>
      <c r="G75" s="364"/>
      <c r="H75" s="367"/>
      <c r="I75" s="368" t="s">
        <v>2452</v>
      </c>
      <c r="J75" s="368" t="s">
        <v>11984</v>
      </c>
      <c r="K75" s="368" t="s">
        <v>2061</v>
      </c>
      <c r="L75" s="364"/>
      <c r="M75" s="364">
        <v>2292</v>
      </c>
      <c r="N75" s="406" t="s">
        <v>13495</v>
      </c>
      <c r="O75" s="406" t="s">
        <v>13496</v>
      </c>
      <c r="P75" s="369" t="s">
        <v>11985</v>
      </c>
      <c r="Q75" s="384" t="s">
        <v>11986</v>
      </c>
      <c r="R75" s="364" t="s">
        <v>11338</v>
      </c>
      <c r="S75" s="364" t="s">
        <v>13544</v>
      </c>
      <c r="T75" s="364" t="s">
        <v>10970</v>
      </c>
      <c r="U75" s="364" t="s">
        <v>172</v>
      </c>
      <c r="V75" s="370" t="s">
        <v>94</v>
      </c>
      <c r="W75" s="371">
        <v>43590</v>
      </c>
      <c r="X75" s="372"/>
      <c r="Y75" s="373" t="s">
        <v>95</v>
      </c>
      <c r="Z75" s="374"/>
      <c r="AA75" s="372" t="s">
        <v>96</v>
      </c>
      <c r="AB75" s="364" t="s">
        <v>97</v>
      </c>
      <c r="AC75" s="375" t="s">
        <v>11987</v>
      </c>
      <c r="AD75" s="364" t="s">
        <v>293</v>
      </c>
      <c r="AE75" s="364">
        <v>14</v>
      </c>
      <c r="AF75" s="364" t="s">
        <v>686</v>
      </c>
      <c r="AG75" s="364" t="s">
        <v>687</v>
      </c>
      <c r="AH75" s="376" t="s">
        <v>141</v>
      </c>
      <c r="AI75" s="364">
        <v>65151</v>
      </c>
      <c r="AJ75" s="364" t="s">
        <v>1374</v>
      </c>
      <c r="AK75" s="376"/>
      <c r="AL75" s="376"/>
      <c r="AM75" s="376">
        <v>0</v>
      </c>
      <c r="AN75" s="364" t="s">
        <v>12239</v>
      </c>
      <c r="AO75" s="376">
        <v>2</v>
      </c>
      <c r="AP75" s="376">
        <v>1</v>
      </c>
      <c r="AQ75" s="376"/>
      <c r="AR75" s="376"/>
      <c r="AS75" s="377">
        <v>19</v>
      </c>
      <c r="AT75" s="377">
        <v>110</v>
      </c>
      <c r="AU75" s="376"/>
      <c r="AV75" s="376" t="s">
        <v>112</v>
      </c>
      <c r="AW75" s="376" t="s">
        <v>113</v>
      </c>
      <c r="AX75" s="376" t="s">
        <v>2093</v>
      </c>
      <c r="AY75" s="378" t="s">
        <v>12367</v>
      </c>
      <c r="AZ75" s="364" t="s">
        <v>12448</v>
      </c>
      <c r="BA75" s="376" t="s">
        <v>511</v>
      </c>
      <c r="BB75" s="379">
        <v>32318</v>
      </c>
      <c r="BC75" s="376" t="s">
        <v>96</v>
      </c>
      <c r="BD75" s="376" t="s">
        <v>12512</v>
      </c>
      <c r="BE75" s="376" t="s">
        <v>118</v>
      </c>
      <c r="BF75" s="364" t="s">
        <v>503</v>
      </c>
      <c r="BG75" s="376" t="s">
        <v>328</v>
      </c>
      <c r="BH75" s="376" t="s">
        <v>6995</v>
      </c>
      <c r="BI75" s="366">
        <v>0</v>
      </c>
      <c r="BJ75" s="380">
        <v>3500000</v>
      </c>
      <c r="BK75" s="364" t="s">
        <v>12794</v>
      </c>
      <c r="BL75" s="381" t="s">
        <v>12899</v>
      </c>
      <c r="BM75" s="364" t="s">
        <v>12979</v>
      </c>
      <c r="BN75" s="364" t="s">
        <v>603</v>
      </c>
      <c r="BO75" s="379">
        <v>45948</v>
      </c>
      <c r="BP75" s="376" t="s">
        <v>96</v>
      </c>
      <c r="BQ75" s="376" t="s">
        <v>12239</v>
      </c>
      <c r="BR75" s="376" t="s">
        <v>118</v>
      </c>
      <c r="BS75" s="364" t="s">
        <v>503</v>
      </c>
      <c r="BT75" s="376" t="s">
        <v>13058</v>
      </c>
      <c r="BU75" s="376" t="s">
        <v>13112</v>
      </c>
      <c r="BV75" s="376">
        <v>0</v>
      </c>
      <c r="BW75" s="376">
        <v>4000000</v>
      </c>
      <c r="BX75" s="364" t="s">
        <v>13195</v>
      </c>
      <c r="BY75" s="364"/>
      <c r="BZ75" s="376" t="s">
        <v>108</v>
      </c>
      <c r="CA75" s="382"/>
      <c r="CB75" s="376"/>
      <c r="CC75" s="376"/>
      <c r="CD75" s="376"/>
      <c r="CE75" s="376"/>
      <c r="CF75" s="364"/>
      <c r="CG75" s="376"/>
      <c r="CH75" s="364"/>
      <c r="CI75" s="364"/>
      <c r="CJ75" s="364"/>
      <c r="CK75" s="364"/>
      <c r="CL75" s="364"/>
    </row>
    <row r="76" spans="1:90" s="168" customFormat="1" ht="21" customHeight="1">
      <c r="A76" s="151">
        <v>81</v>
      </c>
      <c r="B76" s="152"/>
      <c r="C76" s="152"/>
      <c r="D76" s="6"/>
      <c r="E76" s="6"/>
      <c r="F76" s="6"/>
      <c r="G76" s="151"/>
      <c r="H76" s="153"/>
      <c r="I76" s="169" t="s">
        <v>2452</v>
      </c>
      <c r="J76" s="169" t="s">
        <v>166</v>
      </c>
      <c r="K76" s="169" t="s">
        <v>2061</v>
      </c>
      <c r="L76" s="151"/>
      <c r="M76" s="151">
        <v>2297</v>
      </c>
      <c r="N76" s="398" t="s">
        <v>13503</v>
      </c>
      <c r="O76" s="398" t="s">
        <v>13502</v>
      </c>
      <c r="P76" s="170" t="s">
        <v>12009</v>
      </c>
      <c r="Q76" s="174" t="s">
        <v>12010</v>
      </c>
      <c r="R76" s="151" t="s">
        <v>11338</v>
      </c>
      <c r="S76" s="407" t="s">
        <v>13544</v>
      </c>
      <c r="T76" s="151" t="s">
        <v>9256</v>
      </c>
      <c r="U76" s="151" t="s">
        <v>93</v>
      </c>
      <c r="V76" s="157" t="s">
        <v>2554</v>
      </c>
      <c r="W76" s="171">
        <v>43631</v>
      </c>
      <c r="X76" s="159"/>
      <c r="Y76" s="172" t="s">
        <v>95</v>
      </c>
      <c r="Z76" s="173"/>
      <c r="AA76" s="159" t="s">
        <v>96</v>
      </c>
      <c r="AB76" s="151" t="s">
        <v>97</v>
      </c>
      <c r="AC76" s="164" t="s">
        <v>12011</v>
      </c>
      <c r="AD76" s="151" t="s">
        <v>176</v>
      </c>
      <c r="AE76" s="151" t="s">
        <v>852</v>
      </c>
      <c r="AF76" s="151" t="s">
        <v>615</v>
      </c>
      <c r="AG76" s="151" t="s">
        <v>178</v>
      </c>
      <c r="AH76" s="151" t="s">
        <v>178</v>
      </c>
      <c r="AI76" s="151">
        <v>65142</v>
      </c>
      <c r="AJ76" s="151" t="s">
        <v>103</v>
      </c>
      <c r="AK76" s="163"/>
      <c r="AL76" s="163"/>
      <c r="AM76" s="163" t="s">
        <v>127</v>
      </c>
      <c r="AN76" s="151" t="s">
        <v>12240</v>
      </c>
      <c r="AO76" s="163" t="s">
        <v>12255</v>
      </c>
      <c r="AP76" s="163">
        <v>2</v>
      </c>
      <c r="AQ76" s="163"/>
      <c r="AR76" s="163"/>
      <c r="AS76" s="280">
        <v>20</v>
      </c>
      <c r="AT76" s="280">
        <v>110</v>
      </c>
      <c r="AU76" s="163"/>
      <c r="AV76" s="163" t="s">
        <v>212</v>
      </c>
      <c r="AW76" s="163" t="s">
        <v>150</v>
      </c>
      <c r="AX76" s="163" t="s">
        <v>427</v>
      </c>
      <c r="AY76" s="164" t="s">
        <v>12372</v>
      </c>
      <c r="AZ76" s="151" t="s">
        <v>12450</v>
      </c>
      <c r="BA76" s="163" t="s">
        <v>2554</v>
      </c>
      <c r="BB76" s="165">
        <v>32338</v>
      </c>
      <c r="BC76" s="163" t="s">
        <v>96</v>
      </c>
      <c r="BD76" s="163" t="s">
        <v>12514</v>
      </c>
      <c r="BE76" s="163" t="s">
        <v>118</v>
      </c>
      <c r="BF76" s="151" t="s">
        <v>6111</v>
      </c>
      <c r="BG76" s="163" t="s">
        <v>12592</v>
      </c>
      <c r="BH76" s="163" t="s">
        <v>12687</v>
      </c>
      <c r="BI76" s="6" t="s">
        <v>127</v>
      </c>
      <c r="BJ76" s="166" t="s">
        <v>12797</v>
      </c>
      <c r="BK76" s="151" t="s">
        <v>12798</v>
      </c>
      <c r="BL76" s="167" t="s">
        <v>12904</v>
      </c>
      <c r="BM76" s="151" t="s">
        <v>12981</v>
      </c>
      <c r="BN76" s="151" t="s">
        <v>94</v>
      </c>
      <c r="BO76" s="165">
        <v>33756</v>
      </c>
      <c r="BP76" s="163" t="s">
        <v>96</v>
      </c>
      <c r="BQ76" s="163" t="s">
        <v>12240</v>
      </c>
      <c r="BR76" s="163" t="s">
        <v>118</v>
      </c>
      <c r="BS76" s="151" t="s">
        <v>582</v>
      </c>
      <c r="BT76" s="163" t="s">
        <v>127</v>
      </c>
      <c r="BU76" s="163" t="s">
        <v>127</v>
      </c>
      <c r="BV76" s="163" t="s">
        <v>127</v>
      </c>
      <c r="BW76" s="163" t="s">
        <v>127</v>
      </c>
      <c r="BX76" s="151" t="s">
        <v>13197</v>
      </c>
      <c r="BY76" s="151"/>
      <c r="BZ76" s="163" t="s">
        <v>108</v>
      </c>
      <c r="CA76" s="282"/>
      <c r="CB76" s="163"/>
      <c r="CC76" s="163"/>
      <c r="CD76" s="163"/>
      <c r="CE76" s="163"/>
      <c r="CF76" s="151"/>
      <c r="CG76" s="163"/>
      <c r="CH76" s="151"/>
      <c r="CI76" s="151"/>
      <c r="CJ76" s="151"/>
      <c r="CK76" s="151"/>
      <c r="CL76" s="151"/>
    </row>
    <row r="77" spans="1:90" s="168" customFormat="1" ht="21" customHeight="1">
      <c r="A77" s="151">
        <v>9</v>
      </c>
      <c r="B77" s="152"/>
      <c r="C77" s="152"/>
      <c r="D77" s="6"/>
      <c r="E77" s="6"/>
      <c r="F77" s="6"/>
      <c r="G77" s="151"/>
      <c r="H77" s="153"/>
      <c r="I77" s="154" t="s">
        <v>2452</v>
      </c>
      <c r="J77" s="154" t="s">
        <v>12096</v>
      </c>
      <c r="K77" s="154" t="s">
        <v>12097</v>
      </c>
      <c r="L77" s="151"/>
      <c r="M77" s="151">
        <v>2316</v>
      </c>
      <c r="N77" s="398" t="s">
        <v>13532</v>
      </c>
      <c r="O77" s="398" t="s">
        <v>1560</v>
      </c>
      <c r="P77" s="156" t="s">
        <v>12098</v>
      </c>
      <c r="Q77" s="174" t="s">
        <v>12099</v>
      </c>
      <c r="R77" s="151" t="s">
        <v>11338</v>
      </c>
      <c r="S77" s="407" t="s">
        <v>13544</v>
      </c>
      <c r="T77" s="151" t="s">
        <v>12100</v>
      </c>
      <c r="U77" s="151" t="s">
        <v>93</v>
      </c>
      <c r="V77" s="157" t="s">
        <v>94</v>
      </c>
      <c r="W77" s="158">
        <v>43563</v>
      </c>
      <c r="X77" s="159"/>
      <c r="Y77" s="160" t="s">
        <v>95</v>
      </c>
      <c r="Z77" s="154"/>
      <c r="AA77" s="159" t="s">
        <v>96</v>
      </c>
      <c r="AB77" s="151" t="s">
        <v>97</v>
      </c>
      <c r="AC77" s="162" t="s">
        <v>1564</v>
      </c>
      <c r="AD77" s="151" t="s">
        <v>3229</v>
      </c>
      <c r="AE77" s="151" t="s">
        <v>358</v>
      </c>
      <c r="AF77" s="151" t="s">
        <v>1155</v>
      </c>
      <c r="AG77" s="151" t="s">
        <v>140</v>
      </c>
      <c r="AH77" s="163" t="s">
        <v>141</v>
      </c>
      <c r="AI77" s="151">
        <v>65152</v>
      </c>
      <c r="AJ77" s="151" t="s">
        <v>94</v>
      </c>
      <c r="AK77" s="163"/>
      <c r="AL77" s="163"/>
      <c r="AM77" s="163" t="s">
        <v>127</v>
      </c>
      <c r="AN77" s="151" t="s">
        <v>1566</v>
      </c>
      <c r="AO77" s="163">
        <v>2</v>
      </c>
      <c r="AP77" s="163">
        <v>2</v>
      </c>
      <c r="AQ77" s="163"/>
      <c r="AR77" s="163"/>
      <c r="AS77" s="279">
        <v>16</v>
      </c>
      <c r="AT77" s="279">
        <v>108</v>
      </c>
      <c r="AU77" s="163"/>
      <c r="AV77" s="163" t="s">
        <v>112</v>
      </c>
      <c r="AW77" s="163" t="s">
        <v>127</v>
      </c>
      <c r="AX77" s="163" t="s">
        <v>183</v>
      </c>
      <c r="AY77" s="164" t="s">
        <v>12391</v>
      </c>
      <c r="AZ77" s="151" t="s">
        <v>1569</v>
      </c>
      <c r="BA77" s="163" t="s">
        <v>94</v>
      </c>
      <c r="BB77" s="165">
        <v>32474</v>
      </c>
      <c r="BC77" s="163" t="s">
        <v>96</v>
      </c>
      <c r="BD77" s="163" t="s">
        <v>1570</v>
      </c>
      <c r="BE77" s="163" t="s">
        <v>118</v>
      </c>
      <c r="BF77" s="151" t="s">
        <v>276</v>
      </c>
      <c r="BG77" s="163" t="s">
        <v>1572</v>
      </c>
      <c r="BH77" s="163" t="s">
        <v>12710</v>
      </c>
      <c r="BI77" s="6" t="s">
        <v>127</v>
      </c>
      <c r="BJ77" s="166">
        <v>12000000</v>
      </c>
      <c r="BK77" s="151" t="s">
        <v>1575</v>
      </c>
      <c r="BL77" s="167" t="s">
        <v>12923</v>
      </c>
      <c r="BM77" s="151" t="s">
        <v>1577</v>
      </c>
      <c r="BN77" s="151" t="s">
        <v>94</v>
      </c>
      <c r="BO77" s="165">
        <v>33202</v>
      </c>
      <c r="BP77" s="163" t="s">
        <v>96</v>
      </c>
      <c r="BQ77" s="163" t="s">
        <v>1566</v>
      </c>
      <c r="BR77" s="163" t="s">
        <v>153</v>
      </c>
      <c r="BS77" s="151" t="s">
        <v>126</v>
      </c>
      <c r="BT77" s="163" t="s">
        <v>127</v>
      </c>
      <c r="BU77" s="163" t="s">
        <v>127</v>
      </c>
      <c r="BV77" s="163"/>
      <c r="BW77" s="163">
        <v>0</v>
      </c>
      <c r="BX77" s="151" t="s">
        <v>1578</v>
      </c>
      <c r="BY77" s="151"/>
      <c r="BZ77" s="163" t="s">
        <v>108</v>
      </c>
      <c r="CA77" s="286"/>
      <c r="CB77" s="163"/>
      <c r="CC77" s="163"/>
      <c r="CD77" s="163"/>
      <c r="CE77" s="163"/>
      <c r="CF77" s="151"/>
      <c r="CG77" s="163"/>
      <c r="CH77" s="151"/>
      <c r="CI77" s="151"/>
      <c r="CJ77" s="151"/>
      <c r="CK77" s="151"/>
      <c r="CL77" s="151"/>
    </row>
    <row r="78" spans="1:90" s="168" customFormat="1" ht="21" customHeight="1">
      <c r="A78" s="151">
        <v>95</v>
      </c>
      <c r="B78" s="152"/>
      <c r="C78" s="152"/>
      <c r="D78" s="6"/>
      <c r="E78" s="6"/>
      <c r="F78" s="6"/>
      <c r="G78" s="151"/>
      <c r="H78" s="153"/>
      <c r="I78" s="169" t="s">
        <v>2452</v>
      </c>
      <c r="J78" s="169" t="s">
        <v>12101</v>
      </c>
      <c r="K78" s="169" t="s">
        <v>12102</v>
      </c>
      <c r="L78" s="151"/>
      <c r="M78" s="151">
        <v>2317</v>
      </c>
      <c r="N78" s="398" t="s">
        <v>13534</v>
      </c>
      <c r="O78" s="398" t="s">
        <v>13533</v>
      </c>
      <c r="P78" s="170" t="s">
        <v>12103</v>
      </c>
      <c r="Q78" s="388" t="s">
        <v>12104</v>
      </c>
      <c r="R78" s="151" t="s">
        <v>11338</v>
      </c>
      <c r="S78" s="407" t="s">
        <v>13544</v>
      </c>
      <c r="T78" s="151" t="s">
        <v>12105</v>
      </c>
      <c r="U78" s="151" t="s">
        <v>93</v>
      </c>
      <c r="V78" s="157" t="s">
        <v>94</v>
      </c>
      <c r="W78" s="171">
        <v>43903</v>
      </c>
      <c r="X78" s="159"/>
      <c r="Y78" s="172" t="s">
        <v>95</v>
      </c>
      <c r="Z78" s="173"/>
      <c r="AA78" s="159" t="s">
        <v>96</v>
      </c>
      <c r="AB78" s="151" t="s">
        <v>97</v>
      </c>
      <c r="AC78" s="162" t="s">
        <v>12106</v>
      </c>
      <c r="AD78" s="151" t="s">
        <v>293</v>
      </c>
      <c r="AE78" s="151" t="s">
        <v>207</v>
      </c>
      <c r="AF78" s="151" t="s">
        <v>1483</v>
      </c>
      <c r="AG78" s="151" t="s">
        <v>687</v>
      </c>
      <c r="AH78" s="163" t="s">
        <v>141</v>
      </c>
      <c r="AI78" s="151">
        <v>65151</v>
      </c>
      <c r="AJ78" s="151" t="s">
        <v>94</v>
      </c>
      <c r="AK78" s="163"/>
      <c r="AL78" s="163"/>
      <c r="AM78" s="163" t="s">
        <v>12199</v>
      </c>
      <c r="AN78" s="151" t="s">
        <v>12251</v>
      </c>
      <c r="AO78" s="163">
        <v>1</v>
      </c>
      <c r="AP78" s="163">
        <v>2</v>
      </c>
      <c r="AQ78" s="163"/>
      <c r="AR78" s="163"/>
      <c r="AS78" s="280" t="s">
        <v>12283</v>
      </c>
      <c r="AT78" s="280" t="s">
        <v>272</v>
      </c>
      <c r="AU78" s="163"/>
      <c r="AV78" s="163" t="s">
        <v>112</v>
      </c>
      <c r="AW78" s="163" t="s">
        <v>162</v>
      </c>
      <c r="AX78" s="163" t="s">
        <v>114</v>
      </c>
      <c r="AY78" s="164" t="s">
        <v>12392</v>
      </c>
      <c r="AZ78" s="151" t="s">
        <v>12467</v>
      </c>
      <c r="BA78" s="163" t="s">
        <v>435</v>
      </c>
      <c r="BB78" s="165">
        <v>32056</v>
      </c>
      <c r="BC78" s="163" t="s">
        <v>96</v>
      </c>
      <c r="BD78" s="163" t="s">
        <v>12251</v>
      </c>
      <c r="BE78" s="163" t="s">
        <v>224</v>
      </c>
      <c r="BF78" s="151" t="s">
        <v>11070</v>
      </c>
      <c r="BG78" s="163" t="s">
        <v>3885</v>
      </c>
      <c r="BH78" s="163" t="s">
        <v>1250</v>
      </c>
      <c r="BI78" s="6" t="s">
        <v>12251</v>
      </c>
      <c r="BJ78" s="166">
        <v>4500000</v>
      </c>
      <c r="BK78" s="151" t="s">
        <v>12821</v>
      </c>
      <c r="BL78" s="167" t="s">
        <v>12924</v>
      </c>
      <c r="BM78" s="151" t="s">
        <v>12997</v>
      </c>
      <c r="BN78" s="151" t="s">
        <v>435</v>
      </c>
      <c r="BO78" s="165">
        <v>33542</v>
      </c>
      <c r="BP78" s="163" t="s">
        <v>96</v>
      </c>
      <c r="BQ78" s="163" t="s">
        <v>13022</v>
      </c>
      <c r="BR78" s="163" t="s">
        <v>118</v>
      </c>
      <c r="BS78" s="151" t="s">
        <v>2049</v>
      </c>
      <c r="BT78" s="163" t="s">
        <v>127</v>
      </c>
      <c r="BU78" s="163" t="s">
        <v>127</v>
      </c>
      <c r="BV78" s="163" t="s">
        <v>13022</v>
      </c>
      <c r="BW78" s="163">
        <v>2000000</v>
      </c>
      <c r="BX78" s="151" t="s">
        <v>13216</v>
      </c>
      <c r="BY78" s="151"/>
      <c r="BZ78" s="163" t="s">
        <v>108</v>
      </c>
      <c r="CA78" s="282"/>
      <c r="CB78" s="163"/>
      <c r="CC78" s="163"/>
      <c r="CD78" s="163"/>
      <c r="CE78" s="163"/>
      <c r="CF78" s="151"/>
      <c r="CG78" s="163"/>
      <c r="CH78" s="151"/>
      <c r="CI78" s="151"/>
      <c r="CJ78" s="151"/>
      <c r="CK78" s="151"/>
      <c r="CL78" s="151"/>
    </row>
    <row r="79" spans="1:90" s="168" customFormat="1" ht="21" customHeight="1">
      <c r="A79" s="151">
        <v>40</v>
      </c>
      <c r="B79" s="152"/>
      <c r="C79" s="152"/>
      <c r="D79" s="6"/>
      <c r="E79" s="6"/>
      <c r="F79" s="6"/>
      <c r="G79" s="151"/>
      <c r="H79" s="153"/>
      <c r="I79" s="169" t="s">
        <v>2452</v>
      </c>
      <c r="J79" s="169" t="s">
        <v>1809</v>
      </c>
      <c r="K79" s="169" t="s">
        <v>12113</v>
      </c>
      <c r="L79" s="151"/>
      <c r="M79" s="151">
        <v>2319</v>
      </c>
      <c r="N79" s="151"/>
      <c r="O79" s="398" t="s">
        <v>10436</v>
      </c>
      <c r="P79" s="170" t="s">
        <v>12114</v>
      </c>
      <c r="Q79" s="174" t="s">
        <v>12115</v>
      </c>
      <c r="R79" s="151" t="s">
        <v>11338</v>
      </c>
      <c r="S79" s="407" t="s">
        <v>13544</v>
      </c>
      <c r="T79" s="151" t="s">
        <v>11291</v>
      </c>
      <c r="U79" s="151" t="s">
        <v>172</v>
      </c>
      <c r="V79" s="157" t="s">
        <v>94</v>
      </c>
      <c r="W79" s="171">
        <v>43773</v>
      </c>
      <c r="X79" s="159"/>
      <c r="Y79" s="172" t="s">
        <v>95</v>
      </c>
      <c r="Z79" s="169" t="s">
        <v>163</v>
      </c>
      <c r="AA79" s="159" t="s">
        <v>96</v>
      </c>
      <c r="AB79" s="151" t="s">
        <v>97</v>
      </c>
      <c r="AC79" s="162" t="s">
        <v>12116</v>
      </c>
      <c r="AD79" s="151" t="s">
        <v>827</v>
      </c>
      <c r="AE79" s="151" t="s">
        <v>2589</v>
      </c>
      <c r="AF79" s="151" t="s">
        <v>686</v>
      </c>
      <c r="AG79" s="151" t="s">
        <v>687</v>
      </c>
      <c r="AH79" s="163" t="s">
        <v>141</v>
      </c>
      <c r="AI79" s="151">
        <v>65151</v>
      </c>
      <c r="AJ79" s="151" t="s">
        <v>94</v>
      </c>
      <c r="AK79" s="163"/>
      <c r="AL79" s="163"/>
      <c r="AM79" s="163" t="s">
        <v>163</v>
      </c>
      <c r="AN79" s="151" t="s">
        <v>12252</v>
      </c>
      <c r="AO79" s="163">
        <v>2</v>
      </c>
      <c r="AP79" s="163">
        <v>2</v>
      </c>
      <c r="AQ79" s="163"/>
      <c r="AR79" s="163"/>
      <c r="AS79" s="280" t="s">
        <v>2383</v>
      </c>
      <c r="AT79" s="280" t="s">
        <v>391</v>
      </c>
      <c r="AU79" s="163"/>
      <c r="AV79" s="163" t="s">
        <v>112</v>
      </c>
      <c r="AW79" s="163" t="s">
        <v>113</v>
      </c>
      <c r="AX79" s="163" t="s">
        <v>183</v>
      </c>
      <c r="AY79" s="164" t="s">
        <v>12394</v>
      </c>
      <c r="AZ79" s="151" t="s">
        <v>10441</v>
      </c>
      <c r="BA79" s="163" t="s">
        <v>94</v>
      </c>
      <c r="BB79" s="165">
        <v>28355</v>
      </c>
      <c r="BC79" s="163" t="s">
        <v>96</v>
      </c>
      <c r="BD79" s="163" t="s">
        <v>12252</v>
      </c>
      <c r="BE79" s="163" t="s">
        <v>153</v>
      </c>
      <c r="BF79" s="151" t="s">
        <v>154</v>
      </c>
      <c r="BG79" s="163" t="s">
        <v>12606</v>
      </c>
      <c r="BH79" s="163" t="s">
        <v>12712</v>
      </c>
      <c r="BI79" s="6" t="s">
        <v>12713</v>
      </c>
      <c r="BJ79" s="166" t="s">
        <v>12824</v>
      </c>
      <c r="BK79" s="151" t="s">
        <v>12825</v>
      </c>
      <c r="BL79" s="167" t="s">
        <v>12926</v>
      </c>
      <c r="BM79" s="151" t="s">
        <v>10446</v>
      </c>
      <c r="BN79" s="151" t="s">
        <v>1372</v>
      </c>
      <c r="BO79" s="165">
        <v>30943</v>
      </c>
      <c r="BP79" s="163" t="s">
        <v>96</v>
      </c>
      <c r="BQ79" s="163" t="s">
        <v>10447</v>
      </c>
      <c r="BR79" s="163" t="s">
        <v>118</v>
      </c>
      <c r="BS79" s="151" t="s">
        <v>126</v>
      </c>
      <c r="BT79" s="163" t="s">
        <v>162</v>
      </c>
      <c r="BU79" s="163" t="s">
        <v>162</v>
      </c>
      <c r="BV79" s="163" t="s">
        <v>163</v>
      </c>
      <c r="BW79" s="163" t="s">
        <v>163</v>
      </c>
      <c r="BX79" s="151" t="s">
        <v>10448</v>
      </c>
      <c r="BY79" s="151" t="s">
        <v>163</v>
      </c>
      <c r="BZ79" s="163" t="s">
        <v>162</v>
      </c>
      <c r="CA79" s="282"/>
      <c r="CB79" s="163"/>
      <c r="CC79" s="163" t="s">
        <v>163</v>
      </c>
      <c r="CD79" s="163"/>
      <c r="CE79" s="163" t="s">
        <v>163</v>
      </c>
      <c r="CF79" s="151"/>
      <c r="CG79" s="163"/>
      <c r="CH79" s="151"/>
      <c r="CI79" s="151"/>
      <c r="CJ79" s="151"/>
      <c r="CK79" s="151"/>
      <c r="CL79" s="151"/>
    </row>
    <row r="80" spans="1:90" s="168" customFormat="1" ht="21" customHeight="1">
      <c r="A80" s="151">
        <v>69</v>
      </c>
      <c r="B80" s="152"/>
      <c r="C80" s="152"/>
      <c r="D80" s="6"/>
      <c r="E80" s="6"/>
      <c r="F80" s="6"/>
      <c r="G80" s="151"/>
      <c r="H80" s="153"/>
      <c r="I80" s="154" t="s">
        <v>2452</v>
      </c>
      <c r="J80" s="154" t="s">
        <v>657</v>
      </c>
      <c r="K80" s="155" t="s">
        <v>11622</v>
      </c>
      <c r="L80" s="151"/>
      <c r="M80" s="151">
        <v>2220</v>
      </c>
      <c r="N80" s="398" t="s">
        <v>13361</v>
      </c>
      <c r="O80" s="398" t="s">
        <v>13362</v>
      </c>
      <c r="P80" s="156" t="s">
        <v>11623</v>
      </c>
      <c r="Q80" s="174" t="s">
        <v>11624</v>
      </c>
      <c r="R80" s="151" t="s">
        <v>11342</v>
      </c>
      <c r="S80" s="151" t="s">
        <v>3166</v>
      </c>
      <c r="T80" s="151" t="s">
        <v>11625</v>
      </c>
      <c r="U80" s="151" t="s">
        <v>172</v>
      </c>
      <c r="V80" s="157" t="s">
        <v>94</v>
      </c>
      <c r="W80" s="158">
        <v>43527</v>
      </c>
      <c r="X80" s="159"/>
      <c r="Y80" s="160" t="s">
        <v>95</v>
      </c>
      <c r="Z80" s="161"/>
      <c r="AA80" s="159" t="s">
        <v>96</v>
      </c>
      <c r="AB80" s="151" t="s">
        <v>97</v>
      </c>
      <c r="AC80" s="162" t="s">
        <v>11626</v>
      </c>
      <c r="AD80" s="151">
        <v>19</v>
      </c>
      <c r="AE80" s="151" t="s">
        <v>293</v>
      </c>
      <c r="AF80" s="151" t="s">
        <v>177</v>
      </c>
      <c r="AG80" s="151" t="s">
        <v>178</v>
      </c>
      <c r="AH80" s="151" t="s">
        <v>178</v>
      </c>
      <c r="AI80" s="151">
        <v>65143</v>
      </c>
      <c r="AJ80" s="151" t="s">
        <v>94</v>
      </c>
      <c r="AK80" s="163"/>
      <c r="AL80" s="163"/>
      <c r="AM80" s="163" t="s">
        <v>12155</v>
      </c>
      <c r="AN80" s="151" t="s">
        <v>12155</v>
      </c>
      <c r="AO80" s="163">
        <v>1</v>
      </c>
      <c r="AP80" s="163">
        <v>0</v>
      </c>
      <c r="AQ80" s="163"/>
      <c r="AR80" s="163"/>
      <c r="AS80" s="279" t="s">
        <v>12267</v>
      </c>
      <c r="AT80" s="279" t="s">
        <v>110</v>
      </c>
      <c r="AU80" s="163"/>
      <c r="AV80" s="163" t="s">
        <v>112</v>
      </c>
      <c r="AW80" s="163" t="s">
        <v>150</v>
      </c>
      <c r="AX80" s="163" t="s">
        <v>2093</v>
      </c>
      <c r="AY80" s="164" t="s">
        <v>12297</v>
      </c>
      <c r="AZ80" s="151" t="s">
        <v>12398</v>
      </c>
      <c r="BA80" s="163" t="s">
        <v>94</v>
      </c>
      <c r="BB80" s="165">
        <v>34549</v>
      </c>
      <c r="BC80" s="163" t="s">
        <v>96</v>
      </c>
      <c r="BD80" s="163" t="s">
        <v>12477</v>
      </c>
      <c r="BE80" s="163" t="s">
        <v>216</v>
      </c>
      <c r="BF80" s="151" t="s">
        <v>12526</v>
      </c>
      <c r="BG80" s="163" t="s">
        <v>12542</v>
      </c>
      <c r="BH80" s="163" t="s">
        <v>12610</v>
      </c>
      <c r="BI80" s="6" t="s">
        <v>12477</v>
      </c>
      <c r="BJ80" s="166" t="s">
        <v>12717</v>
      </c>
      <c r="BK80" s="151" t="s">
        <v>12718</v>
      </c>
      <c r="BL80" s="167" t="s">
        <v>12829</v>
      </c>
      <c r="BM80" s="151" t="s">
        <v>12930</v>
      </c>
      <c r="BN80" s="151" t="s">
        <v>2417</v>
      </c>
      <c r="BO80" s="165">
        <v>45787</v>
      </c>
      <c r="BP80" s="163" t="s">
        <v>96</v>
      </c>
      <c r="BQ80" s="163" t="s">
        <v>12155</v>
      </c>
      <c r="BR80" s="163" t="s">
        <v>118</v>
      </c>
      <c r="BS80" s="151" t="s">
        <v>12526</v>
      </c>
      <c r="BT80" s="163" t="s">
        <v>12542</v>
      </c>
      <c r="BU80" s="163" t="s">
        <v>13069</v>
      </c>
      <c r="BV80" s="163" t="s">
        <v>13070</v>
      </c>
      <c r="BW80" s="163" t="s">
        <v>13129</v>
      </c>
      <c r="BX80" s="151" t="s">
        <v>13130</v>
      </c>
      <c r="BY80" s="151"/>
      <c r="BZ80" s="163" t="s">
        <v>108</v>
      </c>
      <c r="CA80" s="281"/>
      <c r="CB80" s="163"/>
      <c r="CC80" s="163"/>
      <c r="CD80" s="163"/>
      <c r="CE80" s="163"/>
      <c r="CF80" s="151"/>
      <c r="CG80" s="163"/>
      <c r="CH80" s="151"/>
      <c r="CI80" s="151"/>
      <c r="CJ80" s="151"/>
      <c r="CK80" s="151"/>
      <c r="CL80" s="151"/>
    </row>
    <row r="81" spans="1:90" s="168" customFormat="1" ht="21" customHeight="1">
      <c r="A81" s="151">
        <v>37</v>
      </c>
      <c r="B81" s="152"/>
      <c r="C81" s="152"/>
      <c r="D81" s="6"/>
      <c r="E81" s="6"/>
      <c r="F81" s="6"/>
      <c r="G81" s="151"/>
      <c r="H81" s="153"/>
      <c r="I81" s="154" t="s">
        <v>2452</v>
      </c>
      <c r="J81" s="154" t="s">
        <v>8430</v>
      </c>
      <c r="K81" s="154" t="s">
        <v>11633</v>
      </c>
      <c r="L81" s="151"/>
      <c r="M81" s="151">
        <v>2222</v>
      </c>
      <c r="N81" s="398" t="s">
        <v>13365</v>
      </c>
      <c r="O81" s="398" t="s">
        <v>13366</v>
      </c>
      <c r="P81" s="156" t="s">
        <v>11634</v>
      </c>
      <c r="Q81" s="174" t="s">
        <v>11635</v>
      </c>
      <c r="R81" s="151" t="s">
        <v>11342</v>
      </c>
      <c r="S81" s="151" t="s">
        <v>3166</v>
      </c>
      <c r="T81" s="151" t="s">
        <v>11636</v>
      </c>
      <c r="U81" s="151" t="s">
        <v>172</v>
      </c>
      <c r="V81" s="157" t="s">
        <v>94</v>
      </c>
      <c r="W81" s="158">
        <v>43543</v>
      </c>
      <c r="X81" s="159"/>
      <c r="Y81" s="160" t="s">
        <v>95</v>
      </c>
      <c r="Z81" s="161"/>
      <c r="AA81" s="159" t="s">
        <v>96</v>
      </c>
      <c r="AB81" s="151" t="s">
        <v>97</v>
      </c>
      <c r="AC81" s="162" t="s">
        <v>11637</v>
      </c>
      <c r="AD81" s="151">
        <v>8</v>
      </c>
      <c r="AE81" s="151">
        <v>11</v>
      </c>
      <c r="AF81" s="151" t="s">
        <v>615</v>
      </c>
      <c r="AG81" s="151" t="s">
        <v>178</v>
      </c>
      <c r="AH81" s="151" t="s">
        <v>178</v>
      </c>
      <c r="AI81" s="151">
        <v>65141</v>
      </c>
      <c r="AJ81" s="151" t="s">
        <v>103</v>
      </c>
      <c r="AK81" s="163"/>
      <c r="AL81" s="163"/>
      <c r="AM81" s="163" t="s">
        <v>163</v>
      </c>
      <c r="AN81" s="151" t="s">
        <v>12201</v>
      </c>
      <c r="AO81" s="163">
        <v>1</v>
      </c>
      <c r="AP81" s="163">
        <v>1</v>
      </c>
      <c r="AQ81" s="163"/>
      <c r="AR81" s="163"/>
      <c r="AS81" s="279" t="s">
        <v>12268</v>
      </c>
      <c r="AT81" s="279">
        <v>120</v>
      </c>
      <c r="AU81" s="163"/>
      <c r="AV81" s="163" t="s">
        <v>112</v>
      </c>
      <c r="AW81" s="163" t="s">
        <v>150</v>
      </c>
      <c r="AX81" s="163" t="s">
        <v>114</v>
      </c>
      <c r="AY81" s="164" t="s">
        <v>12299</v>
      </c>
      <c r="AZ81" s="151" t="s">
        <v>12399</v>
      </c>
      <c r="BA81" s="163" t="s">
        <v>94</v>
      </c>
      <c r="BB81" s="165">
        <v>33026</v>
      </c>
      <c r="BC81" s="163" t="s">
        <v>96</v>
      </c>
      <c r="BD81" s="163" t="s">
        <v>12478</v>
      </c>
      <c r="BE81" s="163" t="s">
        <v>118</v>
      </c>
      <c r="BF81" s="151" t="s">
        <v>276</v>
      </c>
      <c r="BG81" s="163" t="s">
        <v>12544</v>
      </c>
      <c r="BH81" s="163" t="s">
        <v>12612</v>
      </c>
      <c r="BI81" s="6" t="s">
        <v>12613</v>
      </c>
      <c r="BJ81" s="166" t="s">
        <v>1727</v>
      </c>
      <c r="BK81" s="151" t="s">
        <v>12719</v>
      </c>
      <c r="BL81" s="167" t="s">
        <v>12831</v>
      </c>
      <c r="BM81" s="151" t="s">
        <v>12931</v>
      </c>
      <c r="BN81" s="151" t="s">
        <v>603</v>
      </c>
      <c r="BO81" s="165">
        <v>32906</v>
      </c>
      <c r="BP81" s="163" t="s">
        <v>96</v>
      </c>
      <c r="BQ81" s="163" t="s">
        <v>12201</v>
      </c>
      <c r="BR81" s="163" t="s">
        <v>118</v>
      </c>
      <c r="BS81" s="151" t="s">
        <v>126</v>
      </c>
      <c r="BT81" s="163" t="s">
        <v>2393</v>
      </c>
      <c r="BU81" s="163" t="s">
        <v>2393</v>
      </c>
      <c r="BV81" s="163" t="s">
        <v>7146</v>
      </c>
      <c r="BW81" s="163">
        <v>0</v>
      </c>
      <c r="BX81" s="151" t="s">
        <v>13132</v>
      </c>
      <c r="BY81" s="151"/>
      <c r="BZ81" s="163" t="s">
        <v>108</v>
      </c>
      <c r="CA81" s="281"/>
      <c r="CB81" s="163"/>
      <c r="CC81" s="163"/>
      <c r="CD81" s="163"/>
      <c r="CE81" s="163"/>
      <c r="CF81" s="151"/>
      <c r="CG81" s="163"/>
      <c r="CH81" s="151"/>
      <c r="CI81" s="151"/>
      <c r="CJ81" s="151"/>
      <c r="CK81" s="151"/>
      <c r="CL81" s="151"/>
    </row>
    <row r="82" spans="1:90" s="168" customFormat="1" ht="21" customHeight="1">
      <c r="A82" s="151">
        <v>4</v>
      </c>
      <c r="B82" s="152"/>
      <c r="C82" s="152"/>
      <c r="D82" s="6"/>
      <c r="E82" s="6"/>
      <c r="F82" s="6"/>
      <c r="G82" s="151"/>
      <c r="H82" s="153"/>
      <c r="I82" s="154" t="s">
        <v>2452</v>
      </c>
      <c r="J82" s="154" t="s">
        <v>257</v>
      </c>
      <c r="K82" s="154" t="s">
        <v>585</v>
      </c>
      <c r="L82" s="151"/>
      <c r="M82" s="151">
        <v>2224</v>
      </c>
      <c r="N82" s="151">
        <v>3208144952</v>
      </c>
      <c r="O82" s="398" t="s">
        <v>10024</v>
      </c>
      <c r="P82" s="156" t="s">
        <v>11643</v>
      </c>
      <c r="Q82" s="174" t="s">
        <v>11644</v>
      </c>
      <c r="R82" s="151" t="s">
        <v>11342</v>
      </c>
      <c r="S82" s="151" t="s">
        <v>3166</v>
      </c>
      <c r="T82" s="151" t="s">
        <v>2306</v>
      </c>
      <c r="U82" s="151" t="s">
        <v>172</v>
      </c>
      <c r="V82" s="157" t="s">
        <v>94</v>
      </c>
      <c r="W82" s="158">
        <v>43834</v>
      </c>
      <c r="X82" s="159"/>
      <c r="Y82" s="160" t="s">
        <v>95</v>
      </c>
      <c r="Z82" s="161"/>
      <c r="AA82" s="159" t="s">
        <v>96</v>
      </c>
      <c r="AB82" s="151" t="s">
        <v>97</v>
      </c>
      <c r="AC82" s="162" t="s">
        <v>11645</v>
      </c>
      <c r="AD82" s="151" t="s">
        <v>318</v>
      </c>
      <c r="AE82" s="151" t="s">
        <v>99</v>
      </c>
      <c r="AF82" s="151" t="s">
        <v>240</v>
      </c>
      <c r="AG82" s="151" t="s">
        <v>241</v>
      </c>
      <c r="AH82" s="151" t="s">
        <v>241</v>
      </c>
      <c r="AI82" s="151">
        <v>65126</v>
      </c>
      <c r="AJ82" s="151" t="s">
        <v>103</v>
      </c>
      <c r="AK82" s="163"/>
      <c r="AL82" s="163"/>
      <c r="AM82" s="163" t="s">
        <v>127</v>
      </c>
      <c r="AN82" s="151" t="s">
        <v>12203</v>
      </c>
      <c r="AO82" s="163">
        <v>2</v>
      </c>
      <c r="AP82" s="163">
        <v>1</v>
      </c>
      <c r="AQ82" s="163"/>
      <c r="AR82" s="163"/>
      <c r="AS82" s="279">
        <v>18</v>
      </c>
      <c r="AT82" s="279">
        <v>110</v>
      </c>
      <c r="AU82" s="163"/>
      <c r="AV82" s="163" t="s">
        <v>112</v>
      </c>
      <c r="AW82" s="163" t="s">
        <v>150</v>
      </c>
      <c r="AX82" s="163" t="s">
        <v>114</v>
      </c>
      <c r="AY82" s="164" t="s">
        <v>12301</v>
      </c>
      <c r="AZ82" s="151" t="s">
        <v>10030</v>
      </c>
      <c r="BA82" s="163" t="s">
        <v>4399</v>
      </c>
      <c r="BB82" s="165">
        <v>32440</v>
      </c>
      <c r="BC82" s="163" t="s">
        <v>96</v>
      </c>
      <c r="BD82" s="163" t="s">
        <v>12203</v>
      </c>
      <c r="BE82" s="163" t="s">
        <v>153</v>
      </c>
      <c r="BF82" s="151" t="s">
        <v>12527</v>
      </c>
      <c r="BG82" s="163" t="s">
        <v>12545</v>
      </c>
      <c r="BH82" s="163" t="s">
        <v>12615</v>
      </c>
      <c r="BI82" s="6" t="s">
        <v>1251</v>
      </c>
      <c r="BJ82" s="166">
        <v>3900000</v>
      </c>
      <c r="BK82" s="151" t="s">
        <v>12721</v>
      </c>
      <c r="BL82" s="167" t="s">
        <v>12833</v>
      </c>
      <c r="BM82" s="151" t="s">
        <v>10034</v>
      </c>
      <c r="BN82" s="151" t="s">
        <v>395</v>
      </c>
      <c r="BO82" s="165">
        <v>32348</v>
      </c>
      <c r="BP82" s="163" t="s">
        <v>96</v>
      </c>
      <c r="BQ82" s="163" t="s">
        <v>13005</v>
      </c>
      <c r="BR82" s="163" t="s">
        <v>118</v>
      </c>
      <c r="BS82" s="151" t="s">
        <v>126</v>
      </c>
      <c r="BT82" s="163" t="s">
        <v>127</v>
      </c>
      <c r="BU82" s="163" t="s">
        <v>127</v>
      </c>
      <c r="BV82" s="163" t="s">
        <v>127</v>
      </c>
      <c r="BW82" s="163" t="s">
        <v>127</v>
      </c>
      <c r="BX82" s="151" t="s">
        <v>13134</v>
      </c>
      <c r="BY82" s="151"/>
      <c r="BZ82" s="163" t="s">
        <v>108</v>
      </c>
      <c r="CA82" s="281"/>
      <c r="CB82" s="163"/>
      <c r="CC82" s="163"/>
      <c r="CD82" s="163"/>
      <c r="CE82" s="163"/>
      <c r="CF82" s="151"/>
      <c r="CG82" s="163"/>
      <c r="CH82" s="151"/>
      <c r="CI82" s="151"/>
      <c r="CJ82" s="151"/>
      <c r="CK82" s="151"/>
      <c r="CL82" s="151"/>
    </row>
    <row r="83" spans="1:90" s="168" customFormat="1" ht="21" customHeight="1">
      <c r="A83" s="151">
        <v>96</v>
      </c>
      <c r="B83" s="152"/>
      <c r="C83" s="152"/>
      <c r="D83" s="6"/>
      <c r="E83" s="6"/>
      <c r="F83" s="6"/>
      <c r="G83" s="151"/>
      <c r="H83" s="153"/>
      <c r="I83" s="154" t="s">
        <v>2452</v>
      </c>
      <c r="J83" s="154" t="s">
        <v>2282</v>
      </c>
      <c r="K83" s="154" t="s">
        <v>11678</v>
      </c>
      <c r="L83" s="151"/>
      <c r="M83" s="151">
        <v>2232</v>
      </c>
      <c r="N83" s="398" t="s">
        <v>13380</v>
      </c>
      <c r="O83" s="398" t="s">
        <v>13379</v>
      </c>
      <c r="P83" s="156" t="s">
        <v>11679</v>
      </c>
      <c r="Q83" s="174" t="s">
        <v>11680</v>
      </c>
      <c r="R83" s="151" t="s">
        <v>11342</v>
      </c>
      <c r="S83" s="151" t="s">
        <v>3166</v>
      </c>
      <c r="T83" s="151" t="s">
        <v>11681</v>
      </c>
      <c r="U83" s="151" t="s">
        <v>93</v>
      </c>
      <c r="V83" s="157" t="s">
        <v>94</v>
      </c>
      <c r="W83" s="158">
        <v>43797</v>
      </c>
      <c r="X83" s="159"/>
      <c r="Y83" s="160" t="s">
        <v>11682</v>
      </c>
      <c r="Z83" s="154" t="s">
        <v>8476</v>
      </c>
      <c r="AA83" s="159" t="s">
        <v>96</v>
      </c>
      <c r="AB83" s="151" t="s">
        <v>97</v>
      </c>
      <c r="AC83" s="162" t="s">
        <v>11683</v>
      </c>
      <c r="AD83" s="151" t="s">
        <v>137</v>
      </c>
      <c r="AE83" s="151" t="s">
        <v>99</v>
      </c>
      <c r="AF83" s="151" t="s">
        <v>4064</v>
      </c>
      <c r="AG83" s="151" t="s">
        <v>178</v>
      </c>
      <c r="AH83" s="151" t="s">
        <v>178</v>
      </c>
      <c r="AI83" s="151">
        <v>65142</v>
      </c>
      <c r="AJ83" s="151" t="s">
        <v>568</v>
      </c>
      <c r="AK83" s="163"/>
      <c r="AL83" s="163"/>
      <c r="AM83" s="163"/>
      <c r="AN83" s="151" t="s">
        <v>12207</v>
      </c>
      <c r="AO83" s="163" t="s">
        <v>12257</v>
      </c>
      <c r="AP83" s="163">
        <v>2</v>
      </c>
      <c r="AQ83" s="163"/>
      <c r="AR83" s="163"/>
      <c r="AS83" s="279" t="s">
        <v>12270</v>
      </c>
      <c r="AT83" s="279" t="s">
        <v>12271</v>
      </c>
      <c r="AU83" s="163"/>
      <c r="AV83" s="163" t="s">
        <v>112</v>
      </c>
      <c r="AW83" s="163" t="s">
        <v>1130</v>
      </c>
      <c r="AX83" s="163" t="s">
        <v>734</v>
      </c>
      <c r="AY83" s="164" t="s">
        <v>12309</v>
      </c>
      <c r="AZ83" s="151" t="s">
        <v>12405</v>
      </c>
      <c r="BA83" s="163" t="s">
        <v>544</v>
      </c>
      <c r="BB83" s="165">
        <v>30349</v>
      </c>
      <c r="BC83" s="163" t="s">
        <v>96</v>
      </c>
      <c r="BD83" s="163" t="s">
        <v>12481</v>
      </c>
      <c r="BE83" s="163" t="s">
        <v>118</v>
      </c>
      <c r="BF83" s="151" t="s">
        <v>1363</v>
      </c>
      <c r="BG83" s="163" t="s">
        <v>4508</v>
      </c>
      <c r="BH83" s="163" t="s">
        <v>4508</v>
      </c>
      <c r="BI83" s="6" t="s">
        <v>12623</v>
      </c>
      <c r="BJ83" s="166" t="s">
        <v>12730</v>
      </c>
      <c r="BK83" s="151" t="s">
        <v>12731</v>
      </c>
      <c r="BL83" s="167" t="s">
        <v>12841</v>
      </c>
      <c r="BM83" s="151" t="s">
        <v>12937</v>
      </c>
      <c r="BN83" s="151" t="s">
        <v>544</v>
      </c>
      <c r="BO83" s="165">
        <v>31917</v>
      </c>
      <c r="BP83" s="163" t="s">
        <v>96</v>
      </c>
      <c r="BQ83" s="163" t="s">
        <v>12207</v>
      </c>
      <c r="BR83" s="163" t="s">
        <v>118</v>
      </c>
      <c r="BS83" s="151" t="s">
        <v>13025</v>
      </c>
      <c r="BT83" s="163" t="s">
        <v>2652</v>
      </c>
      <c r="BU83" s="163" t="s">
        <v>13074</v>
      </c>
      <c r="BV83" s="163" t="s">
        <v>8476</v>
      </c>
      <c r="BW83" s="163" t="s">
        <v>8476</v>
      </c>
      <c r="BX83" s="151" t="s">
        <v>13143</v>
      </c>
      <c r="BY83" s="151"/>
      <c r="BZ83" s="163" t="s">
        <v>108</v>
      </c>
      <c r="CA83" s="281"/>
      <c r="CB83" s="163"/>
      <c r="CC83" s="163"/>
      <c r="CD83" s="163"/>
      <c r="CE83" s="163"/>
      <c r="CF83" s="151"/>
      <c r="CG83" s="163"/>
      <c r="CH83" s="151"/>
      <c r="CI83" s="151"/>
      <c r="CJ83" s="151"/>
      <c r="CK83" s="151"/>
      <c r="CL83" s="151"/>
    </row>
    <row r="84" spans="1:90" s="168" customFormat="1" ht="21" customHeight="1">
      <c r="A84" s="151">
        <v>48</v>
      </c>
      <c r="B84" s="152"/>
      <c r="C84" s="152"/>
      <c r="D84" s="6"/>
      <c r="E84" s="6"/>
      <c r="F84" s="6"/>
      <c r="G84" s="151"/>
      <c r="H84" s="153"/>
      <c r="I84" s="169" t="s">
        <v>2452</v>
      </c>
      <c r="J84" s="169" t="s">
        <v>166</v>
      </c>
      <c r="K84" s="169" t="s">
        <v>11684</v>
      </c>
      <c r="L84" s="151"/>
      <c r="M84" s="151">
        <v>2233</v>
      </c>
      <c r="N84" s="398" t="s">
        <v>13382</v>
      </c>
      <c r="O84" s="398" t="s">
        <v>13381</v>
      </c>
      <c r="P84" s="170" t="s">
        <v>11685</v>
      </c>
      <c r="Q84" s="174" t="s">
        <v>11686</v>
      </c>
      <c r="R84" s="151" t="s">
        <v>11342</v>
      </c>
      <c r="S84" s="151" t="s">
        <v>3166</v>
      </c>
      <c r="T84" s="151" t="s">
        <v>10590</v>
      </c>
      <c r="U84" s="151" t="s">
        <v>172</v>
      </c>
      <c r="V84" s="157" t="s">
        <v>94</v>
      </c>
      <c r="W84" s="171">
        <v>43865</v>
      </c>
      <c r="X84" s="159"/>
      <c r="Y84" s="172" t="s">
        <v>95</v>
      </c>
      <c r="Z84" s="173"/>
      <c r="AA84" s="159" t="s">
        <v>96</v>
      </c>
      <c r="AB84" s="151" t="s">
        <v>97</v>
      </c>
      <c r="AC84" s="162" t="s">
        <v>11687</v>
      </c>
      <c r="AD84" s="151">
        <v>7</v>
      </c>
      <c r="AE84" s="151">
        <v>6</v>
      </c>
      <c r="AF84" s="151" t="s">
        <v>11688</v>
      </c>
      <c r="AG84" s="151" t="s">
        <v>547</v>
      </c>
      <c r="AH84" s="151" t="s">
        <v>178</v>
      </c>
      <c r="AI84" s="151">
        <v>65144</v>
      </c>
      <c r="AJ84" s="151" t="s">
        <v>568</v>
      </c>
      <c r="AK84" s="163"/>
      <c r="AL84" s="163"/>
      <c r="AM84" s="163" t="s">
        <v>127</v>
      </c>
      <c r="AN84" s="151" t="s">
        <v>12208</v>
      </c>
      <c r="AO84" s="163">
        <v>1</v>
      </c>
      <c r="AP84" s="163">
        <v>1</v>
      </c>
      <c r="AQ84" s="163"/>
      <c r="AR84" s="163"/>
      <c r="AS84" s="280">
        <v>18</v>
      </c>
      <c r="AT84" s="280">
        <v>110</v>
      </c>
      <c r="AU84" s="163"/>
      <c r="AV84" s="163" t="s">
        <v>112</v>
      </c>
      <c r="AW84" s="163" t="s">
        <v>12284</v>
      </c>
      <c r="AX84" s="163" t="s">
        <v>427</v>
      </c>
      <c r="AY84" s="164" t="s">
        <v>12310</v>
      </c>
      <c r="AZ84" s="151" t="s">
        <v>12406</v>
      </c>
      <c r="BA84" s="163" t="s">
        <v>544</v>
      </c>
      <c r="BB84" s="165">
        <v>34023</v>
      </c>
      <c r="BC84" s="163" t="s">
        <v>96</v>
      </c>
      <c r="BD84" s="163" t="s">
        <v>12482</v>
      </c>
      <c r="BE84" s="163" t="s">
        <v>118</v>
      </c>
      <c r="BF84" s="151" t="s">
        <v>925</v>
      </c>
      <c r="BG84" s="163" t="s">
        <v>12552</v>
      </c>
      <c r="BH84" s="163" t="s">
        <v>12624</v>
      </c>
      <c r="BI84" s="6" t="s">
        <v>127</v>
      </c>
      <c r="BJ84" s="166" t="s">
        <v>127</v>
      </c>
      <c r="BK84" s="151" t="s">
        <v>12732</v>
      </c>
      <c r="BL84" s="167" t="s">
        <v>12842</v>
      </c>
      <c r="BM84" s="151" t="s">
        <v>12938</v>
      </c>
      <c r="BN84" s="151" t="s">
        <v>2279</v>
      </c>
      <c r="BO84" s="165">
        <v>34405</v>
      </c>
      <c r="BP84" s="163" t="s">
        <v>96</v>
      </c>
      <c r="BQ84" s="163" t="s">
        <v>12208</v>
      </c>
      <c r="BR84" s="163" t="s">
        <v>118</v>
      </c>
      <c r="BS84" s="151" t="s">
        <v>925</v>
      </c>
      <c r="BT84" s="163" t="s">
        <v>13039</v>
      </c>
      <c r="BU84" s="163" t="s">
        <v>13075</v>
      </c>
      <c r="BV84" s="163" t="s">
        <v>127</v>
      </c>
      <c r="BW84" s="163" t="s">
        <v>13144</v>
      </c>
      <c r="BX84" s="151" t="s">
        <v>13145</v>
      </c>
      <c r="BY84" s="151"/>
      <c r="BZ84" s="163" t="s">
        <v>108</v>
      </c>
      <c r="CA84" s="282"/>
      <c r="CB84" s="163"/>
      <c r="CC84" s="163"/>
      <c r="CD84" s="163"/>
      <c r="CE84" s="163"/>
      <c r="CF84" s="151"/>
      <c r="CG84" s="163"/>
      <c r="CH84" s="151"/>
      <c r="CI84" s="151"/>
      <c r="CJ84" s="151"/>
      <c r="CK84" s="151"/>
      <c r="CL84" s="151"/>
    </row>
    <row r="85" spans="1:90" s="168" customFormat="1" ht="21" customHeight="1">
      <c r="A85" s="151">
        <v>33</v>
      </c>
      <c r="B85" s="152"/>
      <c r="C85" s="152"/>
      <c r="D85" s="6"/>
      <c r="E85" s="6"/>
      <c r="F85" s="6"/>
      <c r="G85" s="151"/>
      <c r="H85" s="153"/>
      <c r="I85" s="169" t="s">
        <v>2452</v>
      </c>
      <c r="J85" s="169" t="s">
        <v>1366</v>
      </c>
      <c r="K85" s="169" t="s">
        <v>11693</v>
      </c>
      <c r="L85" s="151"/>
      <c r="M85" s="151">
        <v>2235</v>
      </c>
      <c r="N85" s="398" t="s">
        <v>13384</v>
      </c>
      <c r="O85" s="398" t="s">
        <v>13383</v>
      </c>
      <c r="P85" s="170" t="s">
        <v>11694</v>
      </c>
      <c r="Q85" s="174" t="s">
        <v>11695</v>
      </c>
      <c r="R85" s="151" t="s">
        <v>11342</v>
      </c>
      <c r="S85" s="151" t="s">
        <v>3166</v>
      </c>
      <c r="T85" s="151" t="s">
        <v>11696</v>
      </c>
      <c r="U85" s="151" t="s">
        <v>172</v>
      </c>
      <c r="V85" s="157" t="s">
        <v>11697</v>
      </c>
      <c r="W85" s="171">
        <v>43537</v>
      </c>
      <c r="X85" s="159"/>
      <c r="Y85" s="172" t="s">
        <v>95</v>
      </c>
      <c r="Z85" s="173"/>
      <c r="AA85" s="159" t="s">
        <v>96</v>
      </c>
      <c r="AB85" s="151" t="s">
        <v>97</v>
      </c>
      <c r="AC85" s="162" t="s">
        <v>11698</v>
      </c>
      <c r="AD85" s="151" t="s">
        <v>137</v>
      </c>
      <c r="AE85" s="151">
        <v>16</v>
      </c>
      <c r="AF85" s="151" t="s">
        <v>139</v>
      </c>
      <c r="AG85" s="151" t="s">
        <v>732</v>
      </c>
      <c r="AH85" s="163" t="s">
        <v>141</v>
      </c>
      <c r="AI85" s="151">
        <v>65152</v>
      </c>
      <c r="AJ85" s="151" t="s">
        <v>94</v>
      </c>
      <c r="AK85" s="163"/>
      <c r="AL85" s="163"/>
      <c r="AM85" s="163" t="s">
        <v>12159</v>
      </c>
      <c r="AN85" s="151" t="s">
        <v>12159</v>
      </c>
      <c r="AO85" s="163">
        <v>3</v>
      </c>
      <c r="AP85" s="163">
        <v>2</v>
      </c>
      <c r="AQ85" s="163"/>
      <c r="AR85" s="163"/>
      <c r="AS85" s="280" t="s">
        <v>12272</v>
      </c>
      <c r="AT85" s="280" t="s">
        <v>6276</v>
      </c>
      <c r="AU85" s="163"/>
      <c r="AV85" s="163" t="s">
        <v>112</v>
      </c>
      <c r="AW85" s="163" t="s">
        <v>549</v>
      </c>
      <c r="AX85" s="163" t="s">
        <v>427</v>
      </c>
      <c r="AY85" s="164" t="s">
        <v>12312</v>
      </c>
      <c r="AZ85" s="151" t="s">
        <v>12407</v>
      </c>
      <c r="BA85" s="163" t="s">
        <v>435</v>
      </c>
      <c r="BB85" s="165">
        <v>30684</v>
      </c>
      <c r="BC85" s="163" t="s">
        <v>96</v>
      </c>
      <c r="BD85" s="163" t="s">
        <v>12159</v>
      </c>
      <c r="BE85" s="163" t="s">
        <v>153</v>
      </c>
      <c r="BF85" s="151" t="s">
        <v>12528</v>
      </c>
      <c r="BG85" s="163" t="s">
        <v>12553</v>
      </c>
      <c r="BH85" s="163" t="s">
        <v>127</v>
      </c>
      <c r="BI85" s="6" t="s">
        <v>127</v>
      </c>
      <c r="BJ85" s="166" t="s">
        <v>1727</v>
      </c>
      <c r="BK85" s="151" t="s">
        <v>12733</v>
      </c>
      <c r="BL85" s="167" t="s">
        <v>12844</v>
      </c>
      <c r="BM85" s="151" t="s">
        <v>12939</v>
      </c>
      <c r="BN85" s="151" t="s">
        <v>603</v>
      </c>
      <c r="BO85" s="165">
        <v>31888</v>
      </c>
      <c r="BP85" s="163" t="s">
        <v>96</v>
      </c>
      <c r="BQ85" s="163" t="s">
        <v>12159</v>
      </c>
      <c r="BR85" s="163" t="s">
        <v>118</v>
      </c>
      <c r="BS85" s="151" t="s">
        <v>254</v>
      </c>
      <c r="BT85" s="163" t="s">
        <v>127</v>
      </c>
      <c r="BU85" s="163" t="s">
        <v>127</v>
      </c>
      <c r="BV85" s="163" t="s">
        <v>127</v>
      </c>
      <c r="BW85" s="163" t="s">
        <v>127</v>
      </c>
      <c r="BX85" s="151" t="s">
        <v>12733</v>
      </c>
      <c r="BY85" s="151" t="s">
        <v>13222</v>
      </c>
      <c r="BZ85" s="163" t="s">
        <v>603</v>
      </c>
      <c r="CA85" s="283">
        <v>31888</v>
      </c>
      <c r="CB85" s="163"/>
      <c r="CC85" s="163" t="s">
        <v>12159</v>
      </c>
      <c r="CD85" s="163" t="s">
        <v>118</v>
      </c>
      <c r="CE85" s="163" t="s">
        <v>254</v>
      </c>
      <c r="CF85" s="151"/>
      <c r="CG85" s="163"/>
      <c r="CH85" s="151"/>
      <c r="CI85" s="151"/>
      <c r="CJ85" s="151"/>
      <c r="CK85" s="151"/>
      <c r="CL85" s="151"/>
    </row>
    <row r="86" spans="1:90" s="168" customFormat="1" ht="21" customHeight="1">
      <c r="A86" s="151">
        <v>30</v>
      </c>
      <c r="B86" s="152"/>
      <c r="C86" s="152"/>
      <c r="D86" s="6"/>
      <c r="E86" s="6"/>
      <c r="F86" s="6"/>
      <c r="G86" s="151"/>
      <c r="H86" s="153"/>
      <c r="I86" s="154" t="s">
        <v>2684</v>
      </c>
      <c r="J86" s="154" t="s">
        <v>11699</v>
      </c>
      <c r="K86" s="154" t="s">
        <v>11700</v>
      </c>
      <c r="L86" s="151"/>
      <c r="M86" s="151">
        <v>2236</v>
      </c>
      <c r="N86" s="151"/>
      <c r="O86" s="398" t="s">
        <v>13385</v>
      </c>
      <c r="P86" s="156" t="s">
        <v>11701</v>
      </c>
      <c r="Q86" s="174" t="s">
        <v>11702</v>
      </c>
      <c r="R86" s="151" t="s">
        <v>11342</v>
      </c>
      <c r="S86" s="151" t="s">
        <v>3166</v>
      </c>
      <c r="T86" s="151" t="s">
        <v>11703</v>
      </c>
      <c r="U86" s="151" t="s">
        <v>172</v>
      </c>
      <c r="V86" s="157" t="s">
        <v>94</v>
      </c>
      <c r="W86" s="158">
        <v>43640</v>
      </c>
      <c r="X86" s="159"/>
      <c r="Y86" s="160" t="s">
        <v>95</v>
      </c>
      <c r="Z86" s="161"/>
      <c r="AA86" s="159" t="s">
        <v>96</v>
      </c>
      <c r="AB86" s="151" t="s">
        <v>97</v>
      </c>
      <c r="AC86" s="162" t="s">
        <v>11704</v>
      </c>
      <c r="AD86" s="151">
        <v>1</v>
      </c>
      <c r="AE86" s="151">
        <v>5</v>
      </c>
      <c r="AF86" s="151" t="s">
        <v>921</v>
      </c>
      <c r="AG86" s="151" t="s">
        <v>687</v>
      </c>
      <c r="AH86" s="163" t="s">
        <v>141</v>
      </c>
      <c r="AI86" s="151">
        <v>65151</v>
      </c>
      <c r="AJ86" s="151" t="s">
        <v>1374</v>
      </c>
      <c r="AK86" s="163"/>
      <c r="AL86" s="163"/>
      <c r="AM86" s="163" t="s">
        <v>12160</v>
      </c>
      <c r="AN86" s="151" t="s">
        <v>12209</v>
      </c>
      <c r="AO86" s="163">
        <v>1</v>
      </c>
      <c r="AP86" s="163">
        <v>0</v>
      </c>
      <c r="AQ86" s="163"/>
      <c r="AR86" s="163"/>
      <c r="AS86" s="279" t="s">
        <v>12273</v>
      </c>
      <c r="AT86" s="279" t="s">
        <v>12274</v>
      </c>
      <c r="AU86" s="163"/>
      <c r="AV86" s="163" t="s">
        <v>212</v>
      </c>
      <c r="AW86" s="163" t="s">
        <v>150</v>
      </c>
      <c r="AX86" s="163" t="s">
        <v>114</v>
      </c>
      <c r="AY86" s="164" t="s">
        <v>12313</v>
      </c>
      <c r="AZ86" s="151" t="s">
        <v>12408</v>
      </c>
      <c r="BA86" s="163" t="s">
        <v>3153</v>
      </c>
      <c r="BB86" s="165">
        <v>33302</v>
      </c>
      <c r="BC86" s="163" t="s">
        <v>96</v>
      </c>
      <c r="BD86" s="163" t="s">
        <v>12483</v>
      </c>
      <c r="BE86" s="163" t="s">
        <v>216</v>
      </c>
      <c r="BF86" s="151" t="s">
        <v>247</v>
      </c>
      <c r="BG86" s="163" t="s">
        <v>247</v>
      </c>
      <c r="BH86" s="163" t="s">
        <v>11704</v>
      </c>
      <c r="BI86" s="6" t="s">
        <v>12483</v>
      </c>
      <c r="BJ86" s="166" t="s">
        <v>250</v>
      </c>
      <c r="BK86" s="151" t="s">
        <v>12734</v>
      </c>
      <c r="BL86" s="167" t="s">
        <v>12845</v>
      </c>
      <c r="BM86" s="151" t="s">
        <v>12940</v>
      </c>
      <c r="BN86" s="151" t="s">
        <v>94</v>
      </c>
      <c r="BO86" s="165">
        <v>33689</v>
      </c>
      <c r="BP86" s="163" t="s">
        <v>96</v>
      </c>
      <c r="BQ86" s="163" t="s">
        <v>12209</v>
      </c>
      <c r="BR86" s="163" t="s">
        <v>216</v>
      </c>
      <c r="BS86" s="151" t="s">
        <v>126</v>
      </c>
      <c r="BT86" s="163" t="s">
        <v>162</v>
      </c>
      <c r="BU86" s="163" t="s">
        <v>162</v>
      </c>
      <c r="BV86" s="163" t="s">
        <v>163</v>
      </c>
      <c r="BW86" s="163" t="s">
        <v>163</v>
      </c>
      <c r="BX86" s="151" t="s">
        <v>13146</v>
      </c>
      <c r="BY86" s="151"/>
      <c r="BZ86" s="163" t="s">
        <v>108</v>
      </c>
      <c r="CA86" s="284">
        <v>45939</v>
      </c>
      <c r="CB86" s="163"/>
      <c r="CC86" s="163"/>
      <c r="CD86" s="163"/>
      <c r="CE86" s="163"/>
      <c r="CF86" s="151"/>
      <c r="CG86" s="163"/>
      <c r="CH86" s="151"/>
      <c r="CI86" s="151"/>
      <c r="CJ86" s="151"/>
      <c r="CK86" s="151"/>
      <c r="CL86" s="151"/>
    </row>
    <row r="87" spans="1:90" s="168" customFormat="1" ht="21" customHeight="1">
      <c r="A87" s="151">
        <v>39</v>
      </c>
      <c r="B87" s="152"/>
      <c r="C87" s="152"/>
      <c r="D87" s="6"/>
      <c r="E87" s="6"/>
      <c r="F87" s="6"/>
      <c r="G87" s="151"/>
      <c r="H87" s="153"/>
      <c r="I87" s="154" t="s">
        <v>2452</v>
      </c>
      <c r="J87" s="154" t="s">
        <v>311</v>
      </c>
      <c r="K87" s="154" t="s">
        <v>11721</v>
      </c>
      <c r="L87" s="151"/>
      <c r="M87" s="151">
        <v>2240</v>
      </c>
      <c r="N87" s="398" t="s">
        <v>13388</v>
      </c>
      <c r="O87" s="398" t="s">
        <v>11598</v>
      </c>
      <c r="P87" s="156" t="s">
        <v>11722</v>
      </c>
      <c r="Q87" s="174" t="s">
        <v>11723</v>
      </c>
      <c r="R87" s="151" t="s">
        <v>11342</v>
      </c>
      <c r="S87" s="151" t="s">
        <v>3166</v>
      </c>
      <c r="T87" s="151" t="s">
        <v>9191</v>
      </c>
      <c r="U87" s="151" t="s">
        <v>93</v>
      </c>
      <c r="V87" s="157" t="s">
        <v>94</v>
      </c>
      <c r="W87" s="158">
        <v>43809</v>
      </c>
      <c r="X87" s="159"/>
      <c r="Y87" s="160" t="s">
        <v>95</v>
      </c>
      <c r="Z87" s="161"/>
      <c r="AA87" s="159" t="s">
        <v>96</v>
      </c>
      <c r="AB87" s="151" t="s">
        <v>97</v>
      </c>
      <c r="AC87" s="162" t="s">
        <v>2862</v>
      </c>
      <c r="AD87" s="151" t="s">
        <v>318</v>
      </c>
      <c r="AE87" s="151" t="s">
        <v>294</v>
      </c>
      <c r="AF87" s="151" t="s">
        <v>521</v>
      </c>
      <c r="AG87" s="151" t="s">
        <v>11724</v>
      </c>
      <c r="AH87" s="151" t="s">
        <v>178</v>
      </c>
      <c r="AI87" s="151">
        <v>65141</v>
      </c>
      <c r="AJ87" s="151" t="s">
        <v>103</v>
      </c>
      <c r="AK87" s="163"/>
      <c r="AL87" s="163"/>
      <c r="AM87" s="163" t="s">
        <v>12163</v>
      </c>
      <c r="AN87" s="151" t="s">
        <v>2865</v>
      </c>
      <c r="AO87" s="163">
        <v>2</v>
      </c>
      <c r="AP87" s="163">
        <v>1</v>
      </c>
      <c r="AQ87" s="163"/>
      <c r="AR87" s="163"/>
      <c r="AS87" s="279">
        <v>21</v>
      </c>
      <c r="AT87" s="279">
        <v>110</v>
      </c>
      <c r="AU87" s="163"/>
      <c r="AV87" s="163" t="s">
        <v>112</v>
      </c>
      <c r="AW87" s="163" t="s">
        <v>549</v>
      </c>
      <c r="AX87" s="163" t="s">
        <v>114</v>
      </c>
      <c r="AY87" s="164" t="s">
        <v>12317</v>
      </c>
      <c r="AZ87" s="151" t="s">
        <v>2867</v>
      </c>
      <c r="BA87" s="163" t="s">
        <v>395</v>
      </c>
      <c r="BB87" s="165">
        <v>31879</v>
      </c>
      <c r="BC87" s="163" t="s">
        <v>96</v>
      </c>
      <c r="BD87" s="163" t="s">
        <v>12485</v>
      </c>
      <c r="BE87" s="163" t="s">
        <v>118</v>
      </c>
      <c r="BF87" s="151" t="s">
        <v>332</v>
      </c>
      <c r="BG87" s="163" t="s">
        <v>2869</v>
      </c>
      <c r="BH87" s="163" t="s">
        <v>12631</v>
      </c>
      <c r="BI87" s="6" t="s">
        <v>2871</v>
      </c>
      <c r="BJ87" s="166" t="s">
        <v>2872</v>
      </c>
      <c r="BK87" s="151" t="s">
        <v>2873</v>
      </c>
      <c r="BL87" s="167" t="s">
        <v>12849</v>
      </c>
      <c r="BM87" s="151" t="s">
        <v>2875</v>
      </c>
      <c r="BN87" s="151" t="s">
        <v>395</v>
      </c>
      <c r="BO87" s="165">
        <v>31929</v>
      </c>
      <c r="BP87" s="163" t="s">
        <v>96</v>
      </c>
      <c r="BQ87" s="163" t="s">
        <v>2865</v>
      </c>
      <c r="BR87" s="163" t="s">
        <v>153</v>
      </c>
      <c r="BS87" s="151" t="s">
        <v>925</v>
      </c>
      <c r="BT87" s="163" t="s">
        <v>2877</v>
      </c>
      <c r="BU87" s="163" t="s">
        <v>13078</v>
      </c>
      <c r="BV87" s="163" t="s">
        <v>13079</v>
      </c>
      <c r="BW87" s="163" t="s">
        <v>12752</v>
      </c>
      <c r="BX87" s="151" t="s">
        <v>2881</v>
      </c>
      <c r="BY87" s="151"/>
      <c r="BZ87" s="163" t="s">
        <v>108</v>
      </c>
      <c r="CA87" s="281"/>
      <c r="CB87" s="163"/>
      <c r="CC87" s="163"/>
      <c r="CD87" s="163"/>
      <c r="CE87" s="163"/>
      <c r="CF87" s="151"/>
      <c r="CG87" s="163"/>
      <c r="CH87" s="151"/>
      <c r="CI87" s="151"/>
      <c r="CJ87" s="151"/>
      <c r="CK87" s="151"/>
      <c r="CL87" s="151"/>
    </row>
    <row r="88" spans="1:90" s="168" customFormat="1" ht="21" customHeight="1">
      <c r="A88" s="151">
        <v>32</v>
      </c>
      <c r="B88" s="152"/>
      <c r="C88" s="152"/>
      <c r="D88" s="6"/>
      <c r="E88" s="6"/>
      <c r="F88" s="6"/>
      <c r="G88" s="151"/>
      <c r="H88" s="153"/>
      <c r="I88" s="154" t="s">
        <v>2452</v>
      </c>
      <c r="J88" s="154" t="s">
        <v>1366</v>
      </c>
      <c r="K88" s="154" t="s">
        <v>11730</v>
      </c>
      <c r="L88" s="151"/>
      <c r="M88" s="151">
        <v>2242</v>
      </c>
      <c r="N88" s="398" t="s">
        <v>13391</v>
      </c>
      <c r="O88" s="398" t="s">
        <v>1368</v>
      </c>
      <c r="P88" s="156" t="s">
        <v>11731</v>
      </c>
      <c r="Q88" s="174" t="s">
        <v>11732</v>
      </c>
      <c r="R88" s="151" t="s">
        <v>11342</v>
      </c>
      <c r="S88" s="151" t="s">
        <v>3166</v>
      </c>
      <c r="T88" s="151" t="s">
        <v>10464</v>
      </c>
      <c r="U88" s="151" t="s">
        <v>93</v>
      </c>
      <c r="V88" s="157" t="s">
        <v>94</v>
      </c>
      <c r="W88" s="158">
        <v>43717</v>
      </c>
      <c r="X88" s="159"/>
      <c r="Y88" s="160" t="s">
        <v>95</v>
      </c>
      <c r="Z88" s="161"/>
      <c r="AA88" s="159" t="s">
        <v>96</v>
      </c>
      <c r="AB88" s="151" t="s">
        <v>97</v>
      </c>
      <c r="AC88" s="162" t="s">
        <v>11733</v>
      </c>
      <c r="AD88" s="151">
        <v>2</v>
      </c>
      <c r="AE88" s="151">
        <v>7</v>
      </c>
      <c r="AF88" s="151" t="s">
        <v>686</v>
      </c>
      <c r="AG88" s="151" t="s">
        <v>687</v>
      </c>
      <c r="AH88" s="163" t="s">
        <v>141</v>
      </c>
      <c r="AI88" s="151" t="s">
        <v>11734</v>
      </c>
      <c r="AJ88" s="151" t="s">
        <v>1374</v>
      </c>
      <c r="AK88" s="163"/>
      <c r="AL88" s="163"/>
      <c r="AM88" s="163" t="s">
        <v>127</v>
      </c>
      <c r="AN88" s="151" t="s">
        <v>1375</v>
      </c>
      <c r="AO88" s="163">
        <v>2</v>
      </c>
      <c r="AP88" s="163">
        <v>1</v>
      </c>
      <c r="AQ88" s="163"/>
      <c r="AR88" s="163"/>
      <c r="AS88" s="279">
        <v>22</v>
      </c>
      <c r="AT88" s="279">
        <v>100</v>
      </c>
      <c r="AU88" s="163"/>
      <c r="AV88" s="163" t="s">
        <v>112</v>
      </c>
      <c r="AW88" s="163" t="s">
        <v>12286</v>
      </c>
      <c r="AX88" s="163" t="s">
        <v>114</v>
      </c>
      <c r="AY88" s="164" t="s">
        <v>12319</v>
      </c>
      <c r="AZ88" s="151" t="s">
        <v>1378</v>
      </c>
      <c r="BA88" s="163" t="s">
        <v>94</v>
      </c>
      <c r="BB88" s="165">
        <v>30500</v>
      </c>
      <c r="BC88" s="163" t="s">
        <v>96</v>
      </c>
      <c r="BD88" s="163" t="s">
        <v>1379</v>
      </c>
      <c r="BE88" s="163" t="s">
        <v>224</v>
      </c>
      <c r="BF88" s="151" t="s">
        <v>154</v>
      </c>
      <c r="BG88" s="163" t="s">
        <v>226</v>
      </c>
      <c r="BH88" s="163" t="s">
        <v>12633</v>
      </c>
      <c r="BI88" s="6"/>
      <c r="BJ88" s="166" t="s">
        <v>12738</v>
      </c>
      <c r="BK88" s="151" t="s">
        <v>1383</v>
      </c>
      <c r="BL88" s="167" t="s">
        <v>12851</v>
      </c>
      <c r="BM88" s="151" t="s">
        <v>1385</v>
      </c>
      <c r="BN88" s="151" t="s">
        <v>1372</v>
      </c>
      <c r="BO88" s="165">
        <v>32204</v>
      </c>
      <c r="BP88" s="163" t="s">
        <v>96</v>
      </c>
      <c r="BQ88" s="163" t="s">
        <v>1375</v>
      </c>
      <c r="BR88" s="163" t="s">
        <v>153</v>
      </c>
      <c r="BS88" s="151" t="s">
        <v>154</v>
      </c>
      <c r="BT88" s="163" t="s">
        <v>226</v>
      </c>
      <c r="BU88" s="163" t="s">
        <v>1381</v>
      </c>
      <c r="BV88" s="163"/>
      <c r="BW88" s="163" t="s">
        <v>5927</v>
      </c>
      <c r="BX88" s="151" t="s">
        <v>13149</v>
      </c>
      <c r="BY88" s="151"/>
      <c r="BZ88" s="163" t="s">
        <v>108</v>
      </c>
      <c r="CA88" s="281"/>
      <c r="CB88" s="163"/>
      <c r="CC88" s="163"/>
      <c r="CD88" s="163"/>
      <c r="CE88" s="163"/>
      <c r="CF88" s="151"/>
      <c r="CG88" s="163"/>
      <c r="CH88" s="151"/>
      <c r="CI88" s="151"/>
      <c r="CJ88" s="151"/>
      <c r="CK88" s="151"/>
      <c r="CL88" s="151"/>
    </row>
    <row r="89" spans="1:90" s="329" customFormat="1" ht="21" customHeight="1">
      <c r="A89" s="312">
        <v>77</v>
      </c>
      <c r="B89" s="313"/>
      <c r="C89" s="313"/>
      <c r="D89" s="28"/>
      <c r="E89" s="28"/>
      <c r="F89" s="28"/>
      <c r="G89" s="312"/>
      <c r="H89" s="314"/>
      <c r="I89" s="330" t="s">
        <v>2452</v>
      </c>
      <c r="J89" s="330" t="s">
        <v>11757</v>
      </c>
      <c r="K89" s="330" t="s">
        <v>11758</v>
      </c>
      <c r="L89" s="312"/>
      <c r="M89" s="312">
        <v>2246</v>
      </c>
      <c r="N89" s="399" t="s">
        <v>13396</v>
      </c>
      <c r="O89" s="399" t="s">
        <v>13397</v>
      </c>
      <c r="P89" s="331" t="s">
        <v>11759</v>
      </c>
      <c r="Q89" s="386" t="s">
        <v>11760</v>
      </c>
      <c r="R89" s="312" t="s">
        <v>11342</v>
      </c>
      <c r="S89" s="312" t="s">
        <v>3166</v>
      </c>
      <c r="T89" s="312" t="s">
        <v>3646</v>
      </c>
      <c r="U89" s="312" t="s">
        <v>93</v>
      </c>
      <c r="V89" s="317" t="s">
        <v>94</v>
      </c>
      <c r="W89" s="332">
        <v>43217</v>
      </c>
      <c r="X89" s="319"/>
      <c r="Y89" s="333" t="s">
        <v>425</v>
      </c>
      <c r="Z89" s="330" t="s">
        <v>11761</v>
      </c>
      <c r="AA89" s="319" t="s">
        <v>96</v>
      </c>
      <c r="AB89" s="312" t="s">
        <v>97</v>
      </c>
      <c r="AC89" s="321" t="s">
        <v>11762</v>
      </c>
      <c r="AD89" s="312" t="s">
        <v>99</v>
      </c>
      <c r="AE89" s="312" t="s">
        <v>137</v>
      </c>
      <c r="AF89" s="312" t="s">
        <v>11763</v>
      </c>
      <c r="AG89" s="312" t="s">
        <v>102</v>
      </c>
      <c r="AH89" s="322" t="s">
        <v>102</v>
      </c>
      <c r="AI89" s="312">
        <v>65147</v>
      </c>
      <c r="AJ89" s="312" t="s">
        <v>103</v>
      </c>
      <c r="AK89" s="322"/>
      <c r="AL89" s="322"/>
      <c r="AM89" s="322" t="s">
        <v>127</v>
      </c>
      <c r="AN89" s="312" t="s">
        <v>12213</v>
      </c>
      <c r="AO89" s="322">
        <v>1</v>
      </c>
      <c r="AP89" s="322">
        <v>0</v>
      </c>
      <c r="AQ89" s="322"/>
      <c r="AR89" s="322"/>
      <c r="AS89" s="334">
        <v>23</v>
      </c>
      <c r="AT89" s="334">
        <v>123</v>
      </c>
      <c r="AU89" s="322"/>
      <c r="AV89" s="322" t="s">
        <v>112</v>
      </c>
      <c r="AW89" s="322" t="s">
        <v>127</v>
      </c>
      <c r="AX89" s="322" t="s">
        <v>114</v>
      </c>
      <c r="AY89" s="324" t="s">
        <v>12323</v>
      </c>
      <c r="AZ89" s="312" t="s">
        <v>12413</v>
      </c>
      <c r="BA89" s="322" t="s">
        <v>12470</v>
      </c>
      <c r="BB89" s="325">
        <v>30682</v>
      </c>
      <c r="BC89" s="322" t="s">
        <v>96</v>
      </c>
      <c r="BD89" s="322" t="s">
        <v>12213</v>
      </c>
      <c r="BE89" s="322" t="s">
        <v>153</v>
      </c>
      <c r="BF89" s="312" t="s">
        <v>471</v>
      </c>
      <c r="BG89" s="322" t="s">
        <v>12557</v>
      </c>
      <c r="BH89" s="322" t="s">
        <v>12637</v>
      </c>
      <c r="BI89" s="28" t="s">
        <v>12638</v>
      </c>
      <c r="BJ89" s="326">
        <v>9000000</v>
      </c>
      <c r="BK89" s="312" t="s">
        <v>12742</v>
      </c>
      <c r="BL89" s="327" t="s">
        <v>12855</v>
      </c>
      <c r="BM89" s="312" t="s">
        <v>12945</v>
      </c>
      <c r="BN89" s="312" t="s">
        <v>971</v>
      </c>
      <c r="BO89" s="325">
        <v>30588</v>
      </c>
      <c r="BP89" s="322" t="s">
        <v>96</v>
      </c>
      <c r="BQ89" s="322" t="s">
        <v>13009</v>
      </c>
      <c r="BR89" s="322" t="s">
        <v>153</v>
      </c>
      <c r="BS89" s="312" t="s">
        <v>127</v>
      </c>
      <c r="BT89" s="322" t="s">
        <v>127</v>
      </c>
      <c r="BU89" s="322" t="s">
        <v>127</v>
      </c>
      <c r="BV89" s="322" t="s">
        <v>127</v>
      </c>
      <c r="BW89" s="322" t="s">
        <v>127</v>
      </c>
      <c r="BX89" s="312" t="s">
        <v>127</v>
      </c>
      <c r="BY89" s="312" t="s">
        <v>127</v>
      </c>
      <c r="BZ89" s="322" t="s">
        <v>127</v>
      </c>
      <c r="CA89" s="335"/>
      <c r="CB89" s="322"/>
      <c r="CC89" s="322"/>
      <c r="CD89" s="322"/>
      <c r="CE89" s="322"/>
      <c r="CF89" s="312"/>
      <c r="CG89" s="322"/>
      <c r="CH89" s="312"/>
      <c r="CI89" s="312"/>
      <c r="CJ89" s="312"/>
      <c r="CK89" s="312"/>
      <c r="CL89" s="312"/>
    </row>
    <row r="90" spans="1:90" s="168" customFormat="1" ht="21" customHeight="1">
      <c r="A90" s="151">
        <v>43</v>
      </c>
      <c r="B90" s="152"/>
      <c r="C90" s="152"/>
      <c r="D90" s="6"/>
      <c r="E90" s="6"/>
      <c r="F90" s="6"/>
      <c r="G90" s="151"/>
      <c r="H90" s="153"/>
      <c r="I90" s="169" t="s">
        <v>2452</v>
      </c>
      <c r="J90" s="169" t="s">
        <v>11785</v>
      </c>
      <c r="K90" s="169" t="s">
        <v>11786</v>
      </c>
      <c r="L90" s="151"/>
      <c r="M90" s="151">
        <v>2251</v>
      </c>
      <c r="N90" s="151"/>
      <c r="O90" s="398" t="s">
        <v>13405</v>
      </c>
      <c r="P90" s="170" t="s">
        <v>11787</v>
      </c>
      <c r="Q90" s="174" t="s">
        <v>11788</v>
      </c>
      <c r="R90" s="151" t="s">
        <v>11342</v>
      </c>
      <c r="S90" s="151" t="s">
        <v>3166</v>
      </c>
      <c r="T90" s="151" t="s">
        <v>11789</v>
      </c>
      <c r="U90" s="151" t="s">
        <v>93</v>
      </c>
      <c r="V90" s="157" t="s">
        <v>94</v>
      </c>
      <c r="W90" s="171">
        <v>43791</v>
      </c>
      <c r="X90" s="159"/>
      <c r="Y90" s="172" t="s">
        <v>95</v>
      </c>
      <c r="Z90" s="173"/>
      <c r="AA90" s="159" t="s">
        <v>96</v>
      </c>
      <c r="AB90" s="151" t="s">
        <v>97</v>
      </c>
      <c r="AC90" s="162" t="s">
        <v>11790</v>
      </c>
      <c r="AD90" s="151" t="s">
        <v>293</v>
      </c>
      <c r="AE90" s="151" t="s">
        <v>546</v>
      </c>
      <c r="AF90" s="151" t="s">
        <v>5487</v>
      </c>
      <c r="AG90" s="151" t="s">
        <v>3503</v>
      </c>
      <c r="AH90" s="163" t="s">
        <v>141</v>
      </c>
      <c r="AI90" s="151">
        <v>65154</v>
      </c>
      <c r="AJ90" s="151" t="s">
        <v>1374</v>
      </c>
      <c r="AK90" s="163"/>
      <c r="AL90" s="163"/>
      <c r="AM90" s="163" t="s">
        <v>12167</v>
      </c>
      <c r="AN90" s="151" t="s">
        <v>12216</v>
      </c>
      <c r="AO90" s="163">
        <v>1</v>
      </c>
      <c r="AP90" s="163">
        <v>0</v>
      </c>
      <c r="AQ90" s="163"/>
      <c r="AR90" s="163"/>
      <c r="AS90" s="280">
        <v>18</v>
      </c>
      <c r="AT90" s="280">
        <v>110</v>
      </c>
      <c r="AU90" s="163"/>
      <c r="AV90" s="163" t="s">
        <v>112</v>
      </c>
      <c r="AW90" s="163" t="s">
        <v>392</v>
      </c>
      <c r="AX90" s="163" t="s">
        <v>114</v>
      </c>
      <c r="AY90" s="164" t="s">
        <v>12328</v>
      </c>
      <c r="AZ90" s="151" t="s">
        <v>12417</v>
      </c>
      <c r="BA90" s="163" t="s">
        <v>94</v>
      </c>
      <c r="BB90" s="165">
        <v>33909</v>
      </c>
      <c r="BC90" s="163" t="s">
        <v>96</v>
      </c>
      <c r="BD90" s="163" t="s">
        <v>12167</v>
      </c>
      <c r="BE90" s="163" t="s">
        <v>118</v>
      </c>
      <c r="BF90" s="151" t="s">
        <v>327</v>
      </c>
      <c r="BG90" s="163" t="s">
        <v>3215</v>
      </c>
      <c r="BH90" s="163" t="s">
        <v>12643</v>
      </c>
      <c r="BI90" s="6"/>
      <c r="BJ90" s="166">
        <v>3000000</v>
      </c>
      <c r="BK90" s="151" t="s">
        <v>12747</v>
      </c>
      <c r="BL90" s="167" t="s">
        <v>12860</v>
      </c>
      <c r="BM90" s="151" t="s">
        <v>12949</v>
      </c>
      <c r="BN90" s="151" t="s">
        <v>94</v>
      </c>
      <c r="BO90" s="165">
        <v>34279</v>
      </c>
      <c r="BP90" s="163" t="s">
        <v>96</v>
      </c>
      <c r="BQ90" s="163" t="s">
        <v>12216</v>
      </c>
      <c r="BR90" s="163" t="s">
        <v>118</v>
      </c>
      <c r="BS90" s="151" t="s">
        <v>276</v>
      </c>
      <c r="BT90" s="163" t="s">
        <v>155</v>
      </c>
      <c r="BU90" s="163" t="s">
        <v>13086</v>
      </c>
      <c r="BV90" s="163"/>
      <c r="BW90" s="163">
        <v>3000000</v>
      </c>
      <c r="BX90" s="151" t="s">
        <v>13156</v>
      </c>
      <c r="BY90" s="151"/>
      <c r="BZ90" s="163" t="s">
        <v>108</v>
      </c>
      <c r="CA90" s="282"/>
      <c r="CB90" s="163"/>
      <c r="CC90" s="163"/>
      <c r="CD90" s="163"/>
      <c r="CE90" s="163"/>
      <c r="CF90" s="151"/>
      <c r="CG90" s="163"/>
      <c r="CH90" s="151"/>
      <c r="CI90" s="151"/>
      <c r="CJ90" s="151"/>
      <c r="CK90" s="151"/>
      <c r="CL90" s="151"/>
    </row>
    <row r="91" spans="1:90" s="168" customFormat="1" ht="21" customHeight="1">
      <c r="A91" s="151">
        <v>101</v>
      </c>
      <c r="B91" s="152"/>
      <c r="C91" s="152"/>
      <c r="D91" s="6"/>
      <c r="E91" s="6"/>
      <c r="F91" s="6"/>
      <c r="G91" s="151"/>
      <c r="H91" s="153"/>
      <c r="I91" s="154" t="s">
        <v>2452</v>
      </c>
      <c r="J91" s="154" t="s">
        <v>7926</v>
      </c>
      <c r="K91" s="154" t="s">
        <v>11791</v>
      </c>
      <c r="L91" s="151"/>
      <c r="M91" s="151">
        <v>2252</v>
      </c>
      <c r="N91" s="398" t="s">
        <v>13407</v>
      </c>
      <c r="O91" s="398" t="s">
        <v>13406</v>
      </c>
      <c r="P91" s="156" t="s">
        <v>11792</v>
      </c>
      <c r="Q91" s="174" t="s">
        <v>11793</v>
      </c>
      <c r="R91" s="151" t="s">
        <v>11342</v>
      </c>
      <c r="S91" s="151" t="s">
        <v>3166</v>
      </c>
      <c r="T91" s="151" t="s">
        <v>9628</v>
      </c>
      <c r="U91" s="151" t="s">
        <v>93</v>
      </c>
      <c r="V91" s="157" t="s">
        <v>94</v>
      </c>
      <c r="W91" s="158">
        <v>43879</v>
      </c>
      <c r="X91" s="159"/>
      <c r="Y91" s="160" t="s">
        <v>95</v>
      </c>
      <c r="Z91" s="161"/>
      <c r="AA91" s="159" t="s">
        <v>96</v>
      </c>
      <c r="AB91" s="151" t="s">
        <v>97</v>
      </c>
      <c r="AC91" s="162" t="s">
        <v>11794</v>
      </c>
      <c r="AD91" s="151" t="s">
        <v>358</v>
      </c>
      <c r="AE91" s="151" t="s">
        <v>1281</v>
      </c>
      <c r="AF91" s="151" t="s">
        <v>942</v>
      </c>
      <c r="AG91" s="151" t="s">
        <v>178</v>
      </c>
      <c r="AH91" s="151" t="s">
        <v>178</v>
      </c>
      <c r="AI91" s="151">
        <v>65143</v>
      </c>
      <c r="AJ91" s="151" t="s">
        <v>103</v>
      </c>
      <c r="AK91" s="163"/>
      <c r="AL91" s="163"/>
      <c r="AM91" s="163" t="s">
        <v>12168</v>
      </c>
      <c r="AN91" s="151" t="s">
        <v>12168</v>
      </c>
      <c r="AO91" s="163">
        <v>1</v>
      </c>
      <c r="AP91" s="163">
        <v>0</v>
      </c>
      <c r="AQ91" s="163"/>
      <c r="AR91" s="163"/>
      <c r="AS91" s="279">
        <v>23</v>
      </c>
      <c r="AT91" s="279" t="s">
        <v>1266</v>
      </c>
      <c r="AU91" s="163"/>
      <c r="AV91" s="163" t="s">
        <v>112</v>
      </c>
      <c r="AW91" s="163" t="s">
        <v>344</v>
      </c>
      <c r="AX91" s="163" t="s">
        <v>441</v>
      </c>
      <c r="AY91" s="164" t="s">
        <v>12329</v>
      </c>
      <c r="AZ91" s="151" t="s">
        <v>12418</v>
      </c>
      <c r="BA91" s="163" t="s">
        <v>2806</v>
      </c>
      <c r="BB91" s="165">
        <v>35527</v>
      </c>
      <c r="BC91" s="163" t="s">
        <v>96</v>
      </c>
      <c r="BD91" s="163" t="s">
        <v>12490</v>
      </c>
      <c r="BE91" s="163" t="s">
        <v>216</v>
      </c>
      <c r="BF91" s="151" t="s">
        <v>195</v>
      </c>
      <c r="BG91" s="163" t="s">
        <v>12561</v>
      </c>
      <c r="BH91" s="163" t="s">
        <v>12644</v>
      </c>
      <c r="BI91" s="6"/>
      <c r="BJ91" s="166" t="s">
        <v>12748</v>
      </c>
      <c r="BK91" s="151" t="s">
        <v>12749</v>
      </c>
      <c r="BL91" s="167" t="s">
        <v>12861</v>
      </c>
      <c r="BM91" s="151" t="s">
        <v>12950</v>
      </c>
      <c r="BN91" s="151" t="s">
        <v>94</v>
      </c>
      <c r="BO91" s="165">
        <v>35602</v>
      </c>
      <c r="BP91" s="163" t="s">
        <v>96</v>
      </c>
      <c r="BQ91" s="163" t="s">
        <v>12168</v>
      </c>
      <c r="BR91" s="163" t="s">
        <v>216</v>
      </c>
      <c r="BS91" s="151" t="s">
        <v>195</v>
      </c>
      <c r="BT91" s="163" t="s">
        <v>12561</v>
      </c>
      <c r="BU91" s="163" t="s">
        <v>12644</v>
      </c>
      <c r="BV91" s="163"/>
      <c r="BW91" s="163" t="s">
        <v>1639</v>
      </c>
      <c r="BX91" s="151" t="s">
        <v>12749</v>
      </c>
      <c r="BY91" s="151"/>
      <c r="BZ91" s="163" t="s">
        <v>108</v>
      </c>
      <c r="CA91" s="281"/>
      <c r="CB91" s="163"/>
      <c r="CC91" s="163"/>
      <c r="CD91" s="163"/>
      <c r="CE91" s="163"/>
      <c r="CF91" s="151"/>
      <c r="CG91" s="163"/>
      <c r="CH91" s="151"/>
      <c r="CI91" s="151"/>
      <c r="CJ91" s="151"/>
      <c r="CK91" s="151"/>
      <c r="CL91" s="151"/>
    </row>
    <row r="92" spans="1:90" s="168" customFormat="1" ht="21" customHeight="1">
      <c r="A92" s="151">
        <v>35</v>
      </c>
      <c r="B92" s="152"/>
      <c r="C92" s="152"/>
      <c r="D92" s="6"/>
      <c r="E92" s="6"/>
      <c r="F92" s="6"/>
      <c r="G92" s="151"/>
      <c r="H92" s="153"/>
      <c r="I92" s="169" t="s">
        <v>2452</v>
      </c>
      <c r="J92" s="169" t="s">
        <v>166</v>
      </c>
      <c r="K92" s="169" t="s">
        <v>11833</v>
      </c>
      <c r="L92" s="151"/>
      <c r="M92" s="151">
        <v>2261</v>
      </c>
      <c r="N92" s="151"/>
      <c r="O92" s="398" t="s">
        <v>13445</v>
      </c>
      <c r="P92" s="170" t="s">
        <v>11834</v>
      </c>
      <c r="Q92" s="174" t="s">
        <v>11835</v>
      </c>
      <c r="R92" s="151" t="s">
        <v>11342</v>
      </c>
      <c r="S92" s="151" t="s">
        <v>3166</v>
      </c>
      <c r="T92" s="151" t="s">
        <v>11836</v>
      </c>
      <c r="U92" s="151" t="s">
        <v>93</v>
      </c>
      <c r="V92" s="157" t="s">
        <v>2267</v>
      </c>
      <c r="W92" s="171">
        <v>44021</v>
      </c>
      <c r="X92" s="159"/>
      <c r="Y92" s="172" t="s">
        <v>95</v>
      </c>
      <c r="Z92" s="173"/>
      <c r="AA92" s="159" t="s">
        <v>96</v>
      </c>
      <c r="AB92" s="151" t="s">
        <v>97</v>
      </c>
      <c r="AC92" s="162" t="s">
        <v>11837</v>
      </c>
      <c r="AD92" s="151" t="s">
        <v>175</v>
      </c>
      <c r="AE92" s="151" t="s">
        <v>3397</v>
      </c>
      <c r="AF92" s="151" t="s">
        <v>891</v>
      </c>
      <c r="AG92" s="151" t="s">
        <v>178</v>
      </c>
      <c r="AH92" s="151" t="s">
        <v>178</v>
      </c>
      <c r="AI92" s="151">
        <v>65141</v>
      </c>
      <c r="AJ92" s="151" t="s">
        <v>94</v>
      </c>
      <c r="AK92" s="163"/>
      <c r="AL92" s="163"/>
      <c r="AM92" s="163" t="s">
        <v>2280</v>
      </c>
      <c r="AN92" s="151" t="s">
        <v>2280</v>
      </c>
      <c r="AO92" s="163">
        <v>2</v>
      </c>
      <c r="AP92" s="163">
        <v>3</v>
      </c>
      <c r="AQ92" s="163"/>
      <c r="AR92" s="163"/>
      <c r="AS92" s="280" t="s">
        <v>9545</v>
      </c>
      <c r="AT92" s="280" t="s">
        <v>1178</v>
      </c>
      <c r="AU92" s="163"/>
      <c r="AV92" s="163" t="s">
        <v>112</v>
      </c>
      <c r="AW92" s="163" t="s">
        <v>150</v>
      </c>
      <c r="AX92" s="163" t="s">
        <v>114</v>
      </c>
      <c r="AY92" s="164" t="s">
        <v>2273</v>
      </c>
      <c r="AZ92" s="151" t="s">
        <v>2274</v>
      </c>
      <c r="BA92" s="163" t="s">
        <v>94</v>
      </c>
      <c r="BB92" s="165">
        <v>32665</v>
      </c>
      <c r="BC92" s="163" t="s">
        <v>96</v>
      </c>
      <c r="BD92" s="163" t="s">
        <v>2271</v>
      </c>
      <c r="BE92" s="163" t="s">
        <v>216</v>
      </c>
      <c r="BF92" s="151" t="s">
        <v>247</v>
      </c>
      <c r="BG92" s="163" t="s">
        <v>12568</v>
      </c>
      <c r="BH92" s="163" t="s">
        <v>12652</v>
      </c>
      <c r="BI92" s="6" t="s">
        <v>12653</v>
      </c>
      <c r="BJ92" s="166" t="s">
        <v>190</v>
      </c>
      <c r="BK92" s="151" t="s">
        <v>2276</v>
      </c>
      <c r="BL92" s="167" t="s">
        <v>2277</v>
      </c>
      <c r="BM92" s="151" t="s">
        <v>2278</v>
      </c>
      <c r="BN92" s="151" t="s">
        <v>2279</v>
      </c>
      <c r="BO92" s="165">
        <v>34183</v>
      </c>
      <c r="BP92" s="163" t="s">
        <v>96</v>
      </c>
      <c r="BQ92" s="163" t="s">
        <v>2280</v>
      </c>
      <c r="BR92" s="163" t="s">
        <v>216</v>
      </c>
      <c r="BS92" s="151" t="s">
        <v>126</v>
      </c>
      <c r="BT92" s="163" t="s">
        <v>162</v>
      </c>
      <c r="BU92" s="163" t="s">
        <v>162</v>
      </c>
      <c r="BV92" s="163" t="s">
        <v>162</v>
      </c>
      <c r="BW92" s="163" t="s">
        <v>162</v>
      </c>
      <c r="BX92" s="151" t="s">
        <v>2281</v>
      </c>
      <c r="BY92" s="151" t="s">
        <v>13224</v>
      </c>
      <c r="BZ92" s="163" t="s">
        <v>94</v>
      </c>
      <c r="CA92" s="283">
        <v>24147</v>
      </c>
      <c r="CB92" s="163"/>
      <c r="CC92" s="163" t="s">
        <v>13238</v>
      </c>
      <c r="CD92" s="163" t="s">
        <v>216</v>
      </c>
      <c r="CE92" s="163" t="s">
        <v>247</v>
      </c>
      <c r="CF92" s="151"/>
      <c r="CG92" s="163"/>
      <c r="CH92" s="151"/>
      <c r="CI92" s="151"/>
      <c r="CJ92" s="151"/>
      <c r="CK92" s="151"/>
      <c r="CL92" s="151"/>
    </row>
    <row r="93" spans="1:90" s="168" customFormat="1" ht="21" customHeight="1">
      <c r="A93" s="151">
        <v>66</v>
      </c>
      <c r="B93" s="152"/>
      <c r="C93" s="152"/>
      <c r="D93" s="6"/>
      <c r="E93" s="6"/>
      <c r="F93" s="6"/>
      <c r="G93" s="151"/>
      <c r="H93" s="153"/>
      <c r="I93" s="169" t="s">
        <v>2452</v>
      </c>
      <c r="J93" s="169" t="s">
        <v>11855</v>
      </c>
      <c r="K93" s="169" t="s">
        <v>4829</v>
      </c>
      <c r="L93" s="151"/>
      <c r="M93" s="151">
        <v>2265</v>
      </c>
      <c r="N93" s="398" t="s">
        <v>13452</v>
      </c>
      <c r="O93" s="398" t="s">
        <v>13451</v>
      </c>
      <c r="P93" s="170" t="s">
        <v>11856</v>
      </c>
      <c r="Q93" s="174" t="s">
        <v>11857</v>
      </c>
      <c r="R93" s="151" t="s">
        <v>11342</v>
      </c>
      <c r="S93" s="151" t="s">
        <v>3166</v>
      </c>
      <c r="T93" s="151" t="s">
        <v>3054</v>
      </c>
      <c r="U93" s="151" t="s">
        <v>172</v>
      </c>
      <c r="V93" s="157" t="s">
        <v>511</v>
      </c>
      <c r="W93" s="171">
        <v>43541</v>
      </c>
      <c r="X93" s="159"/>
      <c r="Y93" s="172" t="s">
        <v>95</v>
      </c>
      <c r="Z93" s="173"/>
      <c r="AA93" s="159" t="s">
        <v>96</v>
      </c>
      <c r="AB93" s="151" t="s">
        <v>97</v>
      </c>
      <c r="AC93" s="162" t="s">
        <v>11858</v>
      </c>
      <c r="AD93" s="151" t="s">
        <v>175</v>
      </c>
      <c r="AE93" s="151" t="s">
        <v>3460</v>
      </c>
      <c r="AF93" s="151" t="s">
        <v>11859</v>
      </c>
      <c r="AG93" s="151" t="s">
        <v>4829</v>
      </c>
      <c r="AH93" s="163" t="s">
        <v>141</v>
      </c>
      <c r="AI93" s="151">
        <v>65212</v>
      </c>
      <c r="AJ93" s="151" t="s">
        <v>94</v>
      </c>
      <c r="AK93" s="163"/>
      <c r="AL93" s="163"/>
      <c r="AM93" s="163" t="s">
        <v>12173</v>
      </c>
      <c r="AN93" s="151" t="s">
        <v>12173</v>
      </c>
      <c r="AO93" s="163">
        <v>1</v>
      </c>
      <c r="AP93" s="163">
        <v>2</v>
      </c>
      <c r="AQ93" s="163"/>
      <c r="AR93" s="163"/>
      <c r="AS93" s="280">
        <v>18</v>
      </c>
      <c r="AT93" s="280">
        <v>117</v>
      </c>
      <c r="AU93" s="163"/>
      <c r="AV93" s="163" t="s">
        <v>112</v>
      </c>
      <c r="AW93" s="163" t="s">
        <v>150</v>
      </c>
      <c r="AX93" s="163" t="s">
        <v>2980</v>
      </c>
      <c r="AY93" s="164" t="s">
        <v>12341</v>
      </c>
      <c r="AZ93" s="151" t="s">
        <v>12427</v>
      </c>
      <c r="BA93" s="163" t="s">
        <v>511</v>
      </c>
      <c r="BB93" s="165">
        <v>33097</v>
      </c>
      <c r="BC93" s="163" t="s">
        <v>96</v>
      </c>
      <c r="BD93" s="163" t="s">
        <v>12498</v>
      </c>
      <c r="BE93" s="163" t="s">
        <v>118</v>
      </c>
      <c r="BF93" s="151" t="s">
        <v>188</v>
      </c>
      <c r="BG93" s="163" t="s">
        <v>12571</v>
      </c>
      <c r="BH93" s="163" t="s">
        <v>12657</v>
      </c>
      <c r="BI93" s="6" t="s">
        <v>127</v>
      </c>
      <c r="BJ93" s="166">
        <v>10000000</v>
      </c>
      <c r="BK93" s="151" t="s">
        <v>12762</v>
      </c>
      <c r="BL93" s="167" t="s">
        <v>12873</v>
      </c>
      <c r="BM93" s="151" t="s">
        <v>12959</v>
      </c>
      <c r="BN93" s="151" t="s">
        <v>511</v>
      </c>
      <c r="BO93" s="165">
        <v>32974</v>
      </c>
      <c r="BP93" s="163" t="s">
        <v>96</v>
      </c>
      <c r="BQ93" s="163" t="s">
        <v>13011</v>
      </c>
      <c r="BR93" s="163" t="s">
        <v>118</v>
      </c>
      <c r="BS93" s="151" t="s">
        <v>119</v>
      </c>
      <c r="BT93" s="163" t="s">
        <v>13047</v>
      </c>
      <c r="BU93" s="163" t="s">
        <v>13088</v>
      </c>
      <c r="BV93" s="163" t="s">
        <v>127</v>
      </c>
      <c r="BW93" s="163">
        <v>10000000</v>
      </c>
      <c r="BX93" s="151" t="s">
        <v>13166</v>
      </c>
      <c r="BY93" s="151"/>
      <c r="BZ93" s="163" t="s">
        <v>108</v>
      </c>
      <c r="CA93" s="282"/>
      <c r="CB93" s="163"/>
      <c r="CC93" s="163"/>
      <c r="CD93" s="163"/>
      <c r="CE93" s="163"/>
      <c r="CF93" s="151"/>
      <c r="CG93" s="163"/>
      <c r="CH93" s="151"/>
      <c r="CI93" s="151"/>
      <c r="CJ93" s="151"/>
      <c r="CK93" s="151"/>
      <c r="CL93" s="151"/>
    </row>
    <row r="94" spans="1:90" s="168" customFormat="1" ht="21" customHeight="1">
      <c r="A94" s="151">
        <v>3</v>
      </c>
      <c r="B94" s="152"/>
      <c r="C94" s="152"/>
      <c r="D94" s="6"/>
      <c r="E94" s="6"/>
      <c r="F94" s="6"/>
      <c r="G94" s="151"/>
      <c r="H94" s="153"/>
      <c r="I94" s="169" t="s">
        <v>2452</v>
      </c>
      <c r="J94" s="169" t="s">
        <v>1669</v>
      </c>
      <c r="K94" s="169" t="s">
        <v>11892</v>
      </c>
      <c r="L94" s="151"/>
      <c r="M94" s="151">
        <v>2273</v>
      </c>
      <c r="N94" s="151">
        <v>3198373166</v>
      </c>
      <c r="O94" s="398" t="s">
        <v>13463</v>
      </c>
      <c r="P94" s="170" t="s">
        <v>11893</v>
      </c>
      <c r="Q94" s="174" t="s">
        <v>11894</v>
      </c>
      <c r="R94" s="151" t="s">
        <v>11342</v>
      </c>
      <c r="S94" s="151" t="s">
        <v>3166</v>
      </c>
      <c r="T94" s="151" t="s">
        <v>11895</v>
      </c>
      <c r="U94" s="151" t="s">
        <v>172</v>
      </c>
      <c r="V94" s="157" t="s">
        <v>94</v>
      </c>
      <c r="W94" s="171">
        <v>43532</v>
      </c>
      <c r="X94" s="159"/>
      <c r="Y94" s="172" t="s">
        <v>95</v>
      </c>
      <c r="Z94" s="169"/>
      <c r="AA94" s="159" t="s">
        <v>96</v>
      </c>
      <c r="AB94" s="151" t="s">
        <v>97</v>
      </c>
      <c r="AC94" s="162" t="s">
        <v>11896</v>
      </c>
      <c r="AD94" s="151" t="s">
        <v>318</v>
      </c>
      <c r="AE94" s="151" t="s">
        <v>99</v>
      </c>
      <c r="AF94" s="151" t="s">
        <v>521</v>
      </c>
      <c r="AG94" s="151" t="s">
        <v>178</v>
      </c>
      <c r="AH94" s="151" t="s">
        <v>178</v>
      </c>
      <c r="AI94" s="151">
        <v>65141</v>
      </c>
      <c r="AJ94" s="151" t="s">
        <v>103</v>
      </c>
      <c r="AK94" s="163"/>
      <c r="AL94" s="163"/>
      <c r="AM94" s="163" t="s">
        <v>3019</v>
      </c>
      <c r="AN94" s="151" t="s">
        <v>10517</v>
      </c>
      <c r="AO94" s="163" t="s">
        <v>12261</v>
      </c>
      <c r="AP94" s="163" t="s">
        <v>12262</v>
      </c>
      <c r="AQ94" s="163"/>
      <c r="AR94" s="163"/>
      <c r="AS94" s="280" t="s">
        <v>4957</v>
      </c>
      <c r="AT94" s="280" t="s">
        <v>272</v>
      </c>
      <c r="AU94" s="163"/>
      <c r="AV94" s="163" t="s">
        <v>112</v>
      </c>
      <c r="AW94" s="163" t="s">
        <v>3019</v>
      </c>
      <c r="AX94" s="163" t="s">
        <v>183</v>
      </c>
      <c r="AY94" s="164" t="s">
        <v>12349</v>
      </c>
      <c r="AZ94" s="151" t="s">
        <v>10516</v>
      </c>
      <c r="BA94" s="163" t="s">
        <v>94</v>
      </c>
      <c r="BB94" s="165">
        <v>30501</v>
      </c>
      <c r="BC94" s="163" t="s">
        <v>96</v>
      </c>
      <c r="BD94" s="163" t="s">
        <v>10517</v>
      </c>
      <c r="BE94" s="163" t="s">
        <v>118</v>
      </c>
      <c r="BF94" s="151" t="s">
        <v>276</v>
      </c>
      <c r="BG94" s="163" t="s">
        <v>7087</v>
      </c>
      <c r="BH94" s="163" t="s">
        <v>12667</v>
      </c>
      <c r="BI94" s="6" t="s">
        <v>10519</v>
      </c>
      <c r="BJ94" s="166" t="s">
        <v>2966</v>
      </c>
      <c r="BK94" s="151" t="s">
        <v>10520</v>
      </c>
      <c r="BL94" s="167" t="s">
        <v>12881</v>
      </c>
      <c r="BM94" s="151" t="s">
        <v>10522</v>
      </c>
      <c r="BN94" s="151" t="s">
        <v>94</v>
      </c>
      <c r="BO94" s="165">
        <v>31605</v>
      </c>
      <c r="BP94" s="163" t="s">
        <v>96</v>
      </c>
      <c r="BQ94" s="163" t="s">
        <v>10523</v>
      </c>
      <c r="BR94" s="163" t="s">
        <v>118</v>
      </c>
      <c r="BS94" s="151" t="s">
        <v>126</v>
      </c>
      <c r="BT94" s="163" t="s">
        <v>162</v>
      </c>
      <c r="BU94" s="163" t="s">
        <v>162</v>
      </c>
      <c r="BV94" s="163" t="s">
        <v>3019</v>
      </c>
      <c r="BW94" s="163" t="s">
        <v>3019</v>
      </c>
      <c r="BX94" s="151" t="s">
        <v>10524</v>
      </c>
      <c r="BY94" s="151"/>
      <c r="BZ94" s="163" t="s">
        <v>108</v>
      </c>
      <c r="CA94" s="285"/>
      <c r="CB94" s="163"/>
      <c r="CC94" s="163"/>
      <c r="CD94" s="163"/>
      <c r="CE94" s="163"/>
      <c r="CF94" s="151"/>
      <c r="CG94" s="163"/>
      <c r="CH94" s="151"/>
      <c r="CI94" s="151"/>
      <c r="CJ94" s="151"/>
      <c r="CK94" s="151"/>
      <c r="CL94" s="151"/>
    </row>
    <row r="95" spans="1:90" s="168" customFormat="1" ht="21" customHeight="1">
      <c r="A95" s="151">
        <v>84</v>
      </c>
      <c r="B95" s="152"/>
      <c r="C95" s="152"/>
      <c r="D95" s="6"/>
      <c r="E95" s="6"/>
      <c r="F95" s="6"/>
      <c r="G95" s="151"/>
      <c r="H95" s="153"/>
      <c r="I95" s="154" t="s">
        <v>2452</v>
      </c>
      <c r="J95" s="154" t="s">
        <v>11907</v>
      </c>
      <c r="K95" s="154" t="s">
        <v>11908</v>
      </c>
      <c r="L95" s="151"/>
      <c r="M95" s="151">
        <v>2276</v>
      </c>
      <c r="N95" s="151"/>
      <c r="O95" s="398" t="s">
        <v>13467</v>
      </c>
      <c r="P95" s="156" t="s">
        <v>11909</v>
      </c>
      <c r="Q95" s="174" t="s">
        <v>11910</v>
      </c>
      <c r="R95" s="151" t="s">
        <v>11342</v>
      </c>
      <c r="S95" s="151" t="s">
        <v>3166</v>
      </c>
      <c r="T95" s="151" t="s">
        <v>1524</v>
      </c>
      <c r="U95" s="151" t="s">
        <v>172</v>
      </c>
      <c r="V95" s="157" t="s">
        <v>94</v>
      </c>
      <c r="W95" s="158">
        <v>43614</v>
      </c>
      <c r="X95" s="159"/>
      <c r="Y95" s="160" t="s">
        <v>95</v>
      </c>
      <c r="Z95" s="161"/>
      <c r="AA95" s="159" t="s">
        <v>96</v>
      </c>
      <c r="AB95" s="151" t="s">
        <v>97</v>
      </c>
      <c r="AC95" s="162" t="s">
        <v>11911</v>
      </c>
      <c r="AD95" s="151" t="s">
        <v>358</v>
      </c>
      <c r="AE95" s="151" t="s">
        <v>175</v>
      </c>
      <c r="AF95" s="151" t="s">
        <v>295</v>
      </c>
      <c r="AG95" s="151" t="s">
        <v>178</v>
      </c>
      <c r="AH95" s="151" t="s">
        <v>178</v>
      </c>
      <c r="AI95" s="151">
        <v>65144</v>
      </c>
      <c r="AJ95" s="151" t="s">
        <v>103</v>
      </c>
      <c r="AK95" s="163"/>
      <c r="AL95" s="163"/>
      <c r="AM95" s="163" t="s">
        <v>12180</v>
      </c>
      <c r="AN95" s="151" t="s">
        <v>12229</v>
      </c>
      <c r="AO95" s="163">
        <v>1</v>
      </c>
      <c r="AP95" s="163">
        <v>1</v>
      </c>
      <c r="AQ95" s="163"/>
      <c r="AR95" s="163"/>
      <c r="AS95" s="279">
        <v>17</v>
      </c>
      <c r="AT95" s="279">
        <v>118</v>
      </c>
      <c r="AU95" s="163"/>
      <c r="AV95" s="163" t="s">
        <v>112</v>
      </c>
      <c r="AW95" s="163" t="s">
        <v>12291</v>
      </c>
      <c r="AX95" s="163" t="s">
        <v>2093</v>
      </c>
      <c r="AY95" s="164" t="s">
        <v>12352</v>
      </c>
      <c r="AZ95" s="151" t="s">
        <v>12436</v>
      </c>
      <c r="BA95" s="163" t="s">
        <v>435</v>
      </c>
      <c r="BB95" s="165">
        <v>32050</v>
      </c>
      <c r="BC95" s="163" t="s">
        <v>96</v>
      </c>
      <c r="BD95" s="163" t="s">
        <v>12505</v>
      </c>
      <c r="BE95" s="163" t="s">
        <v>118</v>
      </c>
      <c r="BF95" s="151" t="s">
        <v>247</v>
      </c>
      <c r="BG95" s="163" t="s">
        <v>3745</v>
      </c>
      <c r="BH95" s="163" t="s">
        <v>12669</v>
      </c>
      <c r="BI95" s="6" t="s">
        <v>12180</v>
      </c>
      <c r="BJ95" s="166" t="s">
        <v>556</v>
      </c>
      <c r="BK95" s="151" t="s">
        <v>12775</v>
      </c>
      <c r="BL95" s="167" t="s">
        <v>12884</v>
      </c>
      <c r="BM95" s="151" t="s">
        <v>12968</v>
      </c>
      <c r="BN95" s="151" t="s">
        <v>94</v>
      </c>
      <c r="BO95" s="165">
        <v>33560</v>
      </c>
      <c r="BP95" s="163" t="s">
        <v>96</v>
      </c>
      <c r="BQ95" s="163" t="s">
        <v>13015</v>
      </c>
      <c r="BR95" s="163" t="s">
        <v>118</v>
      </c>
      <c r="BS95" s="151" t="s">
        <v>126</v>
      </c>
      <c r="BT95" s="163" t="s">
        <v>162</v>
      </c>
      <c r="BU95" s="163" t="s">
        <v>162</v>
      </c>
      <c r="BV95" s="163"/>
      <c r="BW95" s="163">
        <v>0</v>
      </c>
      <c r="BX95" s="151" t="s">
        <v>13176</v>
      </c>
      <c r="BY95" s="151"/>
      <c r="BZ95" s="163" t="s">
        <v>108</v>
      </c>
      <c r="CA95" s="281"/>
      <c r="CB95" s="163"/>
      <c r="CC95" s="163"/>
      <c r="CD95" s="163"/>
      <c r="CE95" s="163"/>
      <c r="CF95" s="151"/>
      <c r="CG95" s="163"/>
      <c r="CH95" s="151"/>
      <c r="CI95" s="151"/>
      <c r="CJ95" s="151"/>
      <c r="CK95" s="151"/>
      <c r="CL95" s="151"/>
    </row>
    <row r="96" spans="1:90" s="168" customFormat="1" ht="21" customHeight="1">
      <c r="A96" s="151">
        <v>44</v>
      </c>
      <c r="B96" s="152"/>
      <c r="C96" s="152"/>
      <c r="D96" s="6"/>
      <c r="E96" s="6"/>
      <c r="F96" s="6"/>
      <c r="G96" s="151"/>
      <c r="H96" s="153"/>
      <c r="I96" s="169" t="s">
        <v>2452</v>
      </c>
      <c r="J96" s="169" t="s">
        <v>1218</v>
      </c>
      <c r="K96" s="169" t="s">
        <v>3373</v>
      </c>
      <c r="L96" s="151"/>
      <c r="M96" s="151">
        <v>2277</v>
      </c>
      <c r="N96" s="398" t="s">
        <v>13469</v>
      </c>
      <c r="O96" s="398" t="s">
        <v>13468</v>
      </c>
      <c r="P96" s="170" t="s">
        <v>11912</v>
      </c>
      <c r="Q96" s="174" t="s">
        <v>11913</v>
      </c>
      <c r="R96" s="151" t="s">
        <v>11342</v>
      </c>
      <c r="S96" s="151" t="s">
        <v>3166</v>
      </c>
      <c r="T96" s="151" t="s">
        <v>11914</v>
      </c>
      <c r="U96" s="151" t="s">
        <v>93</v>
      </c>
      <c r="V96" s="157" t="s">
        <v>94</v>
      </c>
      <c r="W96" s="171">
        <v>43763</v>
      </c>
      <c r="X96" s="159"/>
      <c r="Y96" s="172" t="s">
        <v>95</v>
      </c>
      <c r="Z96" s="169" t="s">
        <v>127</v>
      </c>
      <c r="AA96" s="159" t="s">
        <v>96</v>
      </c>
      <c r="AB96" s="151" t="s">
        <v>97</v>
      </c>
      <c r="AC96" s="162" t="s">
        <v>11915</v>
      </c>
      <c r="AD96" s="151" t="s">
        <v>293</v>
      </c>
      <c r="AE96" s="151" t="s">
        <v>546</v>
      </c>
      <c r="AF96" s="151" t="s">
        <v>240</v>
      </c>
      <c r="AG96" s="151" t="s">
        <v>241</v>
      </c>
      <c r="AH96" s="163" t="s">
        <v>241</v>
      </c>
      <c r="AI96" s="151">
        <v>65126</v>
      </c>
      <c r="AJ96" s="151" t="s">
        <v>103</v>
      </c>
      <c r="AK96" s="163"/>
      <c r="AL96" s="163"/>
      <c r="AM96" s="163" t="s">
        <v>127</v>
      </c>
      <c r="AN96" s="151" t="s">
        <v>12230</v>
      </c>
      <c r="AO96" s="163">
        <v>3</v>
      </c>
      <c r="AP96" s="163">
        <v>2</v>
      </c>
      <c r="AQ96" s="163"/>
      <c r="AR96" s="163"/>
      <c r="AS96" s="280">
        <v>18.5</v>
      </c>
      <c r="AT96" s="280">
        <v>120</v>
      </c>
      <c r="AU96" s="163"/>
      <c r="AV96" s="163" t="s">
        <v>112</v>
      </c>
      <c r="AW96" s="163" t="s">
        <v>12292</v>
      </c>
      <c r="AX96" s="163" t="s">
        <v>114</v>
      </c>
      <c r="AY96" s="164" t="s">
        <v>12353</v>
      </c>
      <c r="AZ96" s="151" t="s">
        <v>12437</v>
      </c>
      <c r="BA96" s="163" t="s">
        <v>94</v>
      </c>
      <c r="BB96" s="165">
        <v>31207</v>
      </c>
      <c r="BC96" s="163" t="s">
        <v>96</v>
      </c>
      <c r="BD96" s="163" t="s">
        <v>12506</v>
      </c>
      <c r="BE96" s="163" t="s">
        <v>118</v>
      </c>
      <c r="BF96" s="151" t="s">
        <v>1571</v>
      </c>
      <c r="BG96" s="163" t="s">
        <v>12579</v>
      </c>
      <c r="BH96" s="163" t="s">
        <v>12670</v>
      </c>
      <c r="BI96" s="6" t="s">
        <v>127</v>
      </c>
      <c r="BJ96" s="166" t="s">
        <v>12776</v>
      </c>
      <c r="BK96" s="151" t="s">
        <v>12777</v>
      </c>
      <c r="BL96" s="167" t="s">
        <v>12885</v>
      </c>
      <c r="BM96" s="151" t="s">
        <v>12969</v>
      </c>
      <c r="BN96" s="151" t="s">
        <v>94</v>
      </c>
      <c r="BO96" s="165">
        <v>31647</v>
      </c>
      <c r="BP96" s="163" t="s">
        <v>96</v>
      </c>
      <c r="BQ96" s="163" t="s">
        <v>12230</v>
      </c>
      <c r="BR96" s="163" t="s">
        <v>118</v>
      </c>
      <c r="BS96" s="151" t="s">
        <v>13028</v>
      </c>
      <c r="BT96" s="163" t="s">
        <v>13051</v>
      </c>
      <c r="BU96" s="163" t="s">
        <v>13097</v>
      </c>
      <c r="BV96" s="163" t="s">
        <v>13098</v>
      </c>
      <c r="BW96" s="163" t="s">
        <v>13177</v>
      </c>
      <c r="BX96" s="151" t="s">
        <v>13178</v>
      </c>
      <c r="BY96" s="151"/>
      <c r="BZ96" s="163" t="s">
        <v>108</v>
      </c>
      <c r="CA96" s="282"/>
      <c r="CB96" s="163"/>
      <c r="CC96" s="163"/>
      <c r="CD96" s="163"/>
      <c r="CE96" s="163"/>
      <c r="CF96" s="151"/>
      <c r="CG96" s="163"/>
      <c r="CH96" s="151"/>
      <c r="CI96" s="151"/>
      <c r="CJ96" s="151"/>
      <c r="CK96" s="151"/>
      <c r="CL96" s="151"/>
    </row>
    <row r="97" spans="1:94" s="168" customFormat="1" ht="21" customHeight="1">
      <c r="A97" s="151">
        <v>51</v>
      </c>
      <c r="B97" s="152"/>
      <c r="C97" s="152"/>
      <c r="D97" s="6"/>
      <c r="E97" s="6"/>
      <c r="F97" s="6"/>
      <c r="G97" s="151"/>
      <c r="H97" s="153"/>
      <c r="I97" s="169" t="s">
        <v>2452</v>
      </c>
      <c r="J97" s="169" t="s">
        <v>166</v>
      </c>
      <c r="K97" s="169" t="s">
        <v>11926</v>
      </c>
      <c r="L97" s="151"/>
      <c r="M97" s="151">
        <v>2281</v>
      </c>
      <c r="N97" s="398" t="s">
        <v>13476</v>
      </c>
      <c r="O97" s="398" t="s">
        <v>13475</v>
      </c>
      <c r="P97" s="170" t="s">
        <v>11927</v>
      </c>
      <c r="Q97" s="174" t="s">
        <v>11928</v>
      </c>
      <c r="R97" s="151" t="s">
        <v>11342</v>
      </c>
      <c r="S97" s="151" t="s">
        <v>3166</v>
      </c>
      <c r="T97" s="151" t="s">
        <v>11929</v>
      </c>
      <c r="U97" s="151" t="s">
        <v>172</v>
      </c>
      <c r="V97" s="157" t="s">
        <v>94</v>
      </c>
      <c r="W97" s="171">
        <v>43793</v>
      </c>
      <c r="X97" s="159"/>
      <c r="Y97" s="172" t="s">
        <v>95</v>
      </c>
      <c r="Z97" s="169">
        <v>0</v>
      </c>
      <c r="AA97" s="159" t="s">
        <v>96</v>
      </c>
      <c r="AB97" s="151" t="s">
        <v>97</v>
      </c>
      <c r="AC97" s="162" t="s">
        <v>11930</v>
      </c>
      <c r="AD97" s="151" t="s">
        <v>265</v>
      </c>
      <c r="AE97" s="151" t="s">
        <v>1281</v>
      </c>
      <c r="AF97" s="151" t="s">
        <v>615</v>
      </c>
      <c r="AG97" s="151" t="s">
        <v>178</v>
      </c>
      <c r="AH97" s="151" t="s">
        <v>178</v>
      </c>
      <c r="AI97" s="151">
        <v>65142</v>
      </c>
      <c r="AJ97" s="151" t="s">
        <v>11931</v>
      </c>
      <c r="AK97" s="163"/>
      <c r="AL97" s="163"/>
      <c r="AM97" s="163">
        <v>0</v>
      </c>
      <c r="AN97" s="151" t="s">
        <v>12233</v>
      </c>
      <c r="AO97" s="163">
        <v>2</v>
      </c>
      <c r="AP97" s="163">
        <v>2</v>
      </c>
      <c r="AQ97" s="163"/>
      <c r="AR97" s="163"/>
      <c r="AS97" s="280">
        <v>21</v>
      </c>
      <c r="AT97" s="280">
        <v>116</v>
      </c>
      <c r="AU97" s="163"/>
      <c r="AV97" s="163" t="s">
        <v>112</v>
      </c>
      <c r="AW97" s="163" t="s">
        <v>392</v>
      </c>
      <c r="AX97" s="163" t="s">
        <v>183</v>
      </c>
      <c r="AY97" s="164" t="s">
        <v>12356</v>
      </c>
      <c r="AZ97" s="151" t="s">
        <v>12440</v>
      </c>
      <c r="BA97" s="163" t="s">
        <v>3587</v>
      </c>
      <c r="BB97" s="165">
        <v>31613</v>
      </c>
      <c r="BC97" s="163" t="s">
        <v>96</v>
      </c>
      <c r="BD97" s="163" t="s">
        <v>12509</v>
      </c>
      <c r="BE97" s="163" t="s">
        <v>118</v>
      </c>
      <c r="BF97" s="151" t="s">
        <v>1526</v>
      </c>
      <c r="BG97" s="163" t="s">
        <v>4158</v>
      </c>
      <c r="BH97" s="163" t="s">
        <v>12673</v>
      </c>
      <c r="BI97" s="6">
        <v>0</v>
      </c>
      <c r="BJ97" s="166" t="s">
        <v>12781</v>
      </c>
      <c r="BK97" s="151" t="s">
        <v>12782</v>
      </c>
      <c r="BL97" s="167" t="s">
        <v>12888</v>
      </c>
      <c r="BM97" s="151">
        <v>3573056208840010</v>
      </c>
      <c r="BN97" s="151" t="s">
        <v>94</v>
      </c>
      <c r="BO97" s="165">
        <v>30916</v>
      </c>
      <c r="BP97" s="163" t="s">
        <v>96</v>
      </c>
      <c r="BQ97" s="163" t="s">
        <v>12233</v>
      </c>
      <c r="BR97" s="163" t="s">
        <v>153</v>
      </c>
      <c r="BS97" s="151" t="s">
        <v>154</v>
      </c>
      <c r="BT97" s="163" t="s">
        <v>7316</v>
      </c>
      <c r="BU97" s="163" t="s">
        <v>13100</v>
      </c>
      <c r="BV97" s="163">
        <v>0</v>
      </c>
      <c r="BW97" s="163" t="s">
        <v>1296</v>
      </c>
      <c r="BX97" s="151" t="s">
        <v>13181</v>
      </c>
      <c r="BY97" s="151">
        <v>0</v>
      </c>
      <c r="BZ97" s="163" t="s">
        <v>147</v>
      </c>
      <c r="CA97" s="282"/>
      <c r="CB97" s="163"/>
      <c r="CC97" s="163">
        <v>0</v>
      </c>
      <c r="CD97" s="163"/>
      <c r="CE97" s="163">
        <v>0</v>
      </c>
      <c r="CF97" s="151"/>
      <c r="CG97" s="163"/>
      <c r="CH97" s="151"/>
      <c r="CI97" s="151"/>
      <c r="CJ97" s="151"/>
      <c r="CK97" s="151"/>
      <c r="CL97" s="151"/>
    </row>
    <row r="98" spans="1:94" s="168" customFormat="1" ht="21" customHeight="1">
      <c r="A98" s="151">
        <v>71</v>
      </c>
      <c r="B98" s="152"/>
      <c r="C98" s="152"/>
      <c r="D98" s="6"/>
      <c r="E98" s="6"/>
      <c r="F98" s="6"/>
      <c r="G98" s="151"/>
      <c r="H98" s="153"/>
      <c r="I98" s="154" t="s">
        <v>2452</v>
      </c>
      <c r="J98" s="154" t="s">
        <v>2501</v>
      </c>
      <c r="K98" s="154" t="s">
        <v>11974</v>
      </c>
      <c r="L98" s="151"/>
      <c r="M98" s="151">
        <v>2290</v>
      </c>
      <c r="N98" s="398" t="s">
        <v>13493</v>
      </c>
      <c r="O98" s="398" t="s">
        <v>13492</v>
      </c>
      <c r="P98" s="156" t="s">
        <v>11975</v>
      </c>
      <c r="Q98" s="174" t="s">
        <v>11976</v>
      </c>
      <c r="R98" s="151" t="s">
        <v>11342</v>
      </c>
      <c r="S98" s="151" t="s">
        <v>3166</v>
      </c>
      <c r="T98" s="151" t="s">
        <v>4376</v>
      </c>
      <c r="U98" s="151" t="s">
        <v>172</v>
      </c>
      <c r="V98" s="157" t="s">
        <v>94</v>
      </c>
      <c r="W98" s="158">
        <v>43920</v>
      </c>
      <c r="X98" s="159"/>
      <c r="Y98" s="160" t="s">
        <v>95</v>
      </c>
      <c r="Z98" s="161"/>
      <c r="AA98" s="159" t="s">
        <v>96</v>
      </c>
      <c r="AB98" s="151" t="s">
        <v>97</v>
      </c>
      <c r="AC98" s="162" t="s">
        <v>11977</v>
      </c>
      <c r="AD98" s="151" t="s">
        <v>966</v>
      </c>
      <c r="AE98" s="151" t="s">
        <v>1281</v>
      </c>
      <c r="AF98" s="151" t="s">
        <v>177</v>
      </c>
      <c r="AG98" s="151" t="s">
        <v>178</v>
      </c>
      <c r="AH98" s="151" t="s">
        <v>178</v>
      </c>
      <c r="AI98" s="151">
        <v>65143</v>
      </c>
      <c r="AJ98" s="151" t="s">
        <v>94</v>
      </c>
      <c r="AK98" s="163"/>
      <c r="AL98" s="163"/>
      <c r="AM98" s="163" t="s">
        <v>12186</v>
      </c>
      <c r="AN98" s="151" t="s">
        <v>12238</v>
      </c>
      <c r="AO98" s="163">
        <v>1</v>
      </c>
      <c r="AP98" s="163">
        <v>2</v>
      </c>
      <c r="AQ98" s="163"/>
      <c r="AR98" s="163"/>
      <c r="AS98" s="279">
        <v>18</v>
      </c>
      <c r="AT98" s="279">
        <v>105</v>
      </c>
      <c r="AU98" s="163"/>
      <c r="AV98" s="163" t="s">
        <v>112</v>
      </c>
      <c r="AW98" s="163" t="s">
        <v>344</v>
      </c>
      <c r="AX98" s="163" t="s">
        <v>183</v>
      </c>
      <c r="AY98" s="164" t="s">
        <v>12365</v>
      </c>
      <c r="AZ98" s="151" t="s">
        <v>12447</v>
      </c>
      <c r="BA98" s="163" t="s">
        <v>519</v>
      </c>
      <c r="BB98" s="165">
        <v>31927</v>
      </c>
      <c r="BC98" s="163" t="s">
        <v>96</v>
      </c>
      <c r="BD98" s="163" t="s">
        <v>12186</v>
      </c>
      <c r="BE98" s="163" t="s">
        <v>118</v>
      </c>
      <c r="BF98" s="151" t="s">
        <v>247</v>
      </c>
      <c r="BG98" s="163" t="s">
        <v>12587</v>
      </c>
      <c r="BH98" s="163" t="s">
        <v>12683</v>
      </c>
      <c r="BI98" s="6"/>
      <c r="BJ98" s="166" t="s">
        <v>12791</v>
      </c>
      <c r="BK98" s="151" t="s">
        <v>12792</v>
      </c>
      <c r="BL98" s="167" t="s">
        <v>12897</v>
      </c>
      <c r="BM98" s="151" t="s">
        <v>12978</v>
      </c>
      <c r="BN98" s="151" t="s">
        <v>444</v>
      </c>
      <c r="BO98" s="165">
        <v>32347</v>
      </c>
      <c r="BP98" s="163" t="s">
        <v>96</v>
      </c>
      <c r="BQ98" s="163" t="s">
        <v>12238</v>
      </c>
      <c r="BR98" s="163" t="s">
        <v>153</v>
      </c>
      <c r="BS98" s="151" t="s">
        <v>154</v>
      </c>
      <c r="BT98" s="163" t="s">
        <v>3475</v>
      </c>
      <c r="BU98" s="163" t="s">
        <v>13111</v>
      </c>
      <c r="BV98" s="163"/>
      <c r="BW98" s="163" t="s">
        <v>13191</v>
      </c>
      <c r="BX98" s="151" t="s">
        <v>13192</v>
      </c>
      <c r="BY98" s="151"/>
      <c r="BZ98" s="163" t="s">
        <v>108</v>
      </c>
      <c r="CA98" s="281"/>
      <c r="CB98" s="163"/>
      <c r="CC98" s="163"/>
      <c r="CD98" s="163"/>
      <c r="CE98" s="163"/>
      <c r="CF98" s="151"/>
      <c r="CG98" s="163"/>
      <c r="CH98" s="151"/>
      <c r="CI98" s="151"/>
      <c r="CJ98" s="151"/>
      <c r="CK98" s="151"/>
      <c r="CL98" s="151"/>
    </row>
    <row r="99" spans="1:94" s="168" customFormat="1" ht="21" customHeight="1">
      <c r="A99" s="151">
        <v>93</v>
      </c>
      <c r="B99" s="152"/>
      <c r="C99" s="152"/>
      <c r="D99" s="6"/>
      <c r="E99" s="6"/>
      <c r="F99" s="6"/>
      <c r="G99" s="151"/>
      <c r="H99" s="153"/>
      <c r="I99" s="154" t="s">
        <v>2452</v>
      </c>
      <c r="J99" s="154" t="s">
        <v>513</v>
      </c>
      <c r="K99" s="154" t="s">
        <v>12021</v>
      </c>
      <c r="L99" s="151"/>
      <c r="M99" s="151">
        <v>2300</v>
      </c>
      <c r="N99" s="398" t="s">
        <v>13508</v>
      </c>
      <c r="O99" s="398" t="s">
        <v>13509</v>
      </c>
      <c r="P99" s="156" t="s">
        <v>12022</v>
      </c>
      <c r="Q99" s="388" t="s">
        <v>12023</v>
      </c>
      <c r="R99" s="151" t="s">
        <v>11342</v>
      </c>
      <c r="S99" s="151" t="s">
        <v>3166</v>
      </c>
      <c r="T99" s="151" t="s">
        <v>12024</v>
      </c>
      <c r="U99" s="151" t="s">
        <v>172</v>
      </c>
      <c r="V99" s="157" t="s">
        <v>94</v>
      </c>
      <c r="W99" s="158">
        <v>43721</v>
      </c>
      <c r="X99" s="159"/>
      <c r="Y99" s="160" t="s">
        <v>95</v>
      </c>
      <c r="Z99" s="161"/>
      <c r="AA99" s="159" t="s">
        <v>96</v>
      </c>
      <c r="AB99" s="151" t="s">
        <v>97</v>
      </c>
      <c r="AC99" s="162" t="s">
        <v>12025</v>
      </c>
      <c r="AD99" s="151" t="s">
        <v>966</v>
      </c>
      <c r="AE99" s="151" t="s">
        <v>265</v>
      </c>
      <c r="AF99" s="151" t="s">
        <v>567</v>
      </c>
      <c r="AG99" s="151" t="s">
        <v>178</v>
      </c>
      <c r="AH99" s="151" t="s">
        <v>178</v>
      </c>
      <c r="AI99" s="151">
        <v>65143</v>
      </c>
      <c r="AJ99" s="151" t="s">
        <v>103</v>
      </c>
      <c r="AK99" s="163"/>
      <c r="AL99" s="163"/>
      <c r="AM99" s="163" t="s">
        <v>12189</v>
      </c>
      <c r="AN99" s="151" t="s">
        <v>12242</v>
      </c>
      <c r="AO99" s="163">
        <v>2</v>
      </c>
      <c r="AP99" s="163">
        <v>4</v>
      </c>
      <c r="AQ99" s="163"/>
      <c r="AR99" s="163"/>
      <c r="AS99" s="279">
        <v>19</v>
      </c>
      <c r="AT99" s="279">
        <v>119</v>
      </c>
      <c r="AU99" s="163"/>
      <c r="AV99" s="163" t="s">
        <v>112</v>
      </c>
      <c r="AW99" s="163" t="s">
        <v>150</v>
      </c>
      <c r="AX99" s="163" t="s">
        <v>12266</v>
      </c>
      <c r="AY99" s="164" t="s">
        <v>12375</v>
      </c>
      <c r="AZ99" s="151" t="s">
        <v>12453</v>
      </c>
      <c r="BA99" s="163" t="s">
        <v>94</v>
      </c>
      <c r="BB99" s="165">
        <v>29681</v>
      </c>
      <c r="BC99" s="163" t="s">
        <v>96</v>
      </c>
      <c r="BD99" s="163" t="s">
        <v>12189</v>
      </c>
      <c r="BE99" s="163" t="s">
        <v>216</v>
      </c>
      <c r="BF99" s="151" t="s">
        <v>247</v>
      </c>
      <c r="BG99" s="163" t="s">
        <v>12595</v>
      </c>
      <c r="BH99" s="163" t="s">
        <v>12690</v>
      </c>
      <c r="BI99" s="6" t="s">
        <v>12691</v>
      </c>
      <c r="BJ99" s="166" t="s">
        <v>12801</v>
      </c>
      <c r="BK99" s="151" t="s">
        <v>12802</v>
      </c>
      <c r="BL99" s="167" t="s">
        <v>12907</v>
      </c>
      <c r="BM99" s="151" t="s">
        <v>12984</v>
      </c>
      <c r="BN99" s="151" t="s">
        <v>603</v>
      </c>
      <c r="BO99" s="165">
        <v>32817</v>
      </c>
      <c r="BP99" s="163" t="s">
        <v>96</v>
      </c>
      <c r="BQ99" s="163" t="s">
        <v>12242</v>
      </c>
      <c r="BR99" s="163" t="s">
        <v>118</v>
      </c>
      <c r="BS99" s="151" t="s">
        <v>195</v>
      </c>
      <c r="BT99" s="163" t="s">
        <v>13062</v>
      </c>
      <c r="BU99" s="163" t="s">
        <v>13117</v>
      </c>
      <c r="BV99" s="163" t="s">
        <v>12242</v>
      </c>
      <c r="BW99" s="163" t="s">
        <v>13201</v>
      </c>
      <c r="BX99" s="151" t="s">
        <v>13202</v>
      </c>
      <c r="BY99" s="151"/>
      <c r="BZ99" s="163" t="s">
        <v>108</v>
      </c>
      <c r="CA99" s="281"/>
      <c r="CB99" s="163"/>
      <c r="CC99" s="163"/>
      <c r="CD99" s="163"/>
      <c r="CE99" s="163"/>
      <c r="CF99" s="151"/>
      <c r="CG99" s="163"/>
      <c r="CH99" s="151"/>
      <c r="CI99" s="151"/>
      <c r="CJ99" s="151"/>
      <c r="CK99" s="151"/>
      <c r="CL99" s="151"/>
    </row>
    <row r="100" spans="1:94" s="168" customFormat="1" ht="21" customHeight="1">
      <c r="A100" s="151">
        <v>79</v>
      </c>
      <c r="B100" s="152"/>
      <c r="C100" s="152"/>
      <c r="D100" s="6"/>
      <c r="E100" s="6"/>
      <c r="F100" s="6"/>
      <c r="G100" s="151"/>
      <c r="H100" s="153"/>
      <c r="I100" s="169" t="s">
        <v>2684</v>
      </c>
      <c r="J100" s="169" t="s">
        <v>12026</v>
      </c>
      <c r="K100" s="169" t="s">
        <v>12027</v>
      </c>
      <c r="L100" s="151"/>
      <c r="M100" s="151">
        <v>2301</v>
      </c>
      <c r="N100" s="398" t="s">
        <v>13511</v>
      </c>
      <c r="O100" s="398" t="s">
        <v>13510</v>
      </c>
      <c r="P100" s="170" t="s">
        <v>12028</v>
      </c>
      <c r="Q100" s="174" t="s">
        <v>12029</v>
      </c>
      <c r="R100" s="151" t="s">
        <v>11342</v>
      </c>
      <c r="S100" s="151" t="s">
        <v>3166</v>
      </c>
      <c r="T100" s="151" t="s">
        <v>4489</v>
      </c>
      <c r="U100" s="151" t="s">
        <v>93</v>
      </c>
      <c r="V100" s="157" t="s">
        <v>12030</v>
      </c>
      <c r="W100" s="171">
        <v>43620</v>
      </c>
      <c r="X100" s="159"/>
      <c r="Y100" s="172" t="s">
        <v>95</v>
      </c>
      <c r="Z100" s="173"/>
      <c r="AA100" s="159" t="s">
        <v>96</v>
      </c>
      <c r="AB100" s="151" t="s">
        <v>97</v>
      </c>
      <c r="AC100" s="162" t="s">
        <v>12031</v>
      </c>
      <c r="AD100" s="151" t="s">
        <v>1281</v>
      </c>
      <c r="AE100" s="151" t="s">
        <v>239</v>
      </c>
      <c r="AF100" s="151" t="s">
        <v>7375</v>
      </c>
      <c r="AG100" s="151" t="s">
        <v>4829</v>
      </c>
      <c r="AH100" s="163" t="s">
        <v>141</v>
      </c>
      <c r="AI100" s="151">
        <v>65216</v>
      </c>
      <c r="AJ100" s="151" t="s">
        <v>142</v>
      </c>
      <c r="AK100" s="163"/>
      <c r="AL100" s="163"/>
      <c r="AM100" s="163" t="s">
        <v>12190</v>
      </c>
      <c r="AN100" s="151" t="s">
        <v>12190</v>
      </c>
      <c r="AO100" s="163">
        <v>1</v>
      </c>
      <c r="AP100" s="163">
        <v>0</v>
      </c>
      <c r="AQ100" s="163"/>
      <c r="AR100" s="163"/>
      <c r="AS100" s="280">
        <v>19</v>
      </c>
      <c r="AT100" s="280">
        <v>116</v>
      </c>
      <c r="AU100" s="163"/>
      <c r="AV100" s="163" t="s">
        <v>212</v>
      </c>
      <c r="AW100" s="163" t="s">
        <v>12294</v>
      </c>
      <c r="AX100" s="163" t="s">
        <v>114</v>
      </c>
      <c r="AY100" s="164" t="s">
        <v>12376</v>
      </c>
      <c r="AZ100" s="151" t="s">
        <v>12454</v>
      </c>
      <c r="BA100" s="163" t="s">
        <v>2524</v>
      </c>
      <c r="BB100" s="165">
        <v>34112</v>
      </c>
      <c r="BC100" s="163" t="s">
        <v>96</v>
      </c>
      <c r="BD100" s="163" t="s">
        <v>12190</v>
      </c>
      <c r="BE100" s="163" t="s">
        <v>153</v>
      </c>
      <c r="BF100" s="151" t="s">
        <v>276</v>
      </c>
      <c r="BG100" s="163" t="s">
        <v>12596</v>
      </c>
      <c r="BH100" s="163" t="s">
        <v>12692</v>
      </c>
      <c r="BI100" s="6"/>
      <c r="BJ100" s="166" t="s">
        <v>976</v>
      </c>
      <c r="BK100" s="151" t="s">
        <v>12803</v>
      </c>
      <c r="BL100" s="167" t="s">
        <v>12908</v>
      </c>
      <c r="BM100" s="151" t="s">
        <v>12985</v>
      </c>
      <c r="BN100" s="151" t="s">
        <v>2554</v>
      </c>
      <c r="BO100" s="165">
        <v>33917</v>
      </c>
      <c r="BP100" s="163" t="s">
        <v>96</v>
      </c>
      <c r="BQ100" s="163" t="s">
        <v>13018</v>
      </c>
      <c r="BR100" s="163" t="s">
        <v>153</v>
      </c>
      <c r="BS100" s="151" t="s">
        <v>247</v>
      </c>
      <c r="BT100" s="163" t="s">
        <v>13063</v>
      </c>
      <c r="BU100" s="163" t="s">
        <v>13118</v>
      </c>
      <c r="BV100" s="163"/>
      <c r="BW100" s="163" t="s">
        <v>818</v>
      </c>
      <c r="BX100" s="151" t="s">
        <v>13203</v>
      </c>
      <c r="BY100" s="151"/>
      <c r="BZ100" s="163" t="s">
        <v>108</v>
      </c>
      <c r="CA100" s="282"/>
      <c r="CB100" s="163"/>
      <c r="CC100" s="163"/>
      <c r="CD100" s="163"/>
      <c r="CE100" s="163"/>
      <c r="CF100" s="151"/>
      <c r="CG100" s="163"/>
      <c r="CH100" s="151"/>
      <c r="CI100" s="151"/>
      <c r="CJ100" s="151"/>
      <c r="CK100" s="151"/>
      <c r="CL100" s="151"/>
    </row>
    <row r="101" spans="1:94" s="329" customFormat="1" ht="21" customHeight="1">
      <c r="A101" s="312">
        <v>73</v>
      </c>
      <c r="B101" s="313"/>
      <c r="C101" s="313"/>
      <c r="D101" s="28"/>
      <c r="E101" s="28"/>
      <c r="F101" s="28"/>
      <c r="G101" s="312"/>
      <c r="H101" s="314"/>
      <c r="I101" s="315" t="s">
        <v>2452</v>
      </c>
      <c r="J101" s="315" t="s">
        <v>166</v>
      </c>
      <c r="K101" s="315" t="s">
        <v>11721</v>
      </c>
      <c r="L101" s="312"/>
      <c r="M101" s="312">
        <v>2305</v>
      </c>
      <c r="N101" s="399" t="s">
        <v>13516</v>
      </c>
      <c r="O101" s="399" t="s">
        <v>13515</v>
      </c>
      <c r="P101" s="316" t="s">
        <v>12046</v>
      </c>
      <c r="Q101" s="386" t="s">
        <v>12047</v>
      </c>
      <c r="R101" s="312" t="s">
        <v>11342</v>
      </c>
      <c r="S101" s="312" t="s">
        <v>3166</v>
      </c>
      <c r="T101" s="312" t="s">
        <v>12048</v>
      </c>
      <c r="U101" s="312" t="s">
        <v>172</v>
      </c>
      <c r="V101" s="317" t="s">
        <v>94</v>
      </c>
      <c r="W101" s="318">
        <v>43497</v>
      </c>
      <c r="X101" s="319"/>
      <c r="Y101" s="320" t="s">
        <v>425</v>
      </c>
      <c r="Z101" s="315" t="s">
        <v>2022</v>
      </c>
      <c r="AA101" s="319" t="s">
        <v>96</v>
      </c>
      <c r="AB101" s="312" t="s">
        <v>97</v>
      </c>
      <c r="AC101" s="321" t="s">
        <v>12049</v>
      </c>
      <c r="AD101" s="312" t="s">
        <v>137</v>
      </c>
      <c r="AE101" s="312">
        <v>20</v>
      </c>
      <c r="AF101" s="312" t="s">
        <v>177</v>
      </c>
      <c r="AG101" s="312" t="s">
        <v>178</v>
      </c>
      <c r="AH101" s="151" t="s">
        <v>178</v>
      </c>
      <c r="AI101" s="312">
        <v>65141</v>
      </c>
      <c r="AJ101" s="312" t="s">
        <v>94</v>
      </c>
      <c r="AK101" s="322"/>
      <c r="AL101" s="322"/>
      <c r="AM101" s="322" t="s">
        <v>12193</v>
      </c>
      <c r="AN101" s="312" t="s">
        <v>12193</v>
      </c>
      <c r="AO101" s="322">
        <v>1</v>
      </c>
      <c r="AP101" s="322">
        <v>1</v>
      </c>
      <c r="AQ101" s="322"/>
      <c r="AR101" s="322"/>
      <c r="AS101" s="323" t="s">
        <v>873</v>
      </c>
      <c r="AT101" s="323">
        <v>135</v>
      </c>
      <c r="AU101" s="322"/>
      <c r="AV101" s="322" t="s">
        <v>112</v>
      </c>
      <c r="AW101" s="322" t="s">
        <v>12296</v>
      </c>
      <c r="AX101" s="322" t="s">
        <v>114</v>
      </c>
      <c r="AY101" s="324" t="s">
        <v>12380</v>
      </c>
      <c r="AZ101" s="312" t="s">
        <v>12457</v>
      </c>
      <c r="BA101" s="322" t="s">
        <v>469</v>
      </c>
      <c r="BB101" s="325">
        <v>32391</v>
      </c>
      <c r="BC101" s="322" t="s">
        <v>96</v>
      </c>
      <c r="BD101" s="322" t="s">
        <v>12518</v>
      </c>
      <c r="BE101" s="322" t="s">
        <v>118</v>
      </c>
      <c r="BF101" s="312" t="s">
        <v>2049</v>
      </c>
      <c r="BG101" s="322" t="s">
        <v>12598</v>
      </c>
      <c r="BH101" s="322" t="s">
        <v>12697</v>
      </c>
      <c r="BI101" s="28"/>
      <c r="BJ101" s="326" t="s">
        <v>190</v>
      </c>
      <c r="BK101" s="312" t="s">
        <v>12809</v>
      </c>
      <c r="BL101" s="327" t="s">
        <v>12912</v>
      </c>
      <c r="BM101" s="312" t="s">
        <v>12988</v>
      </c>
      <c r="BN101" s="312" t="s">
        <v>13003</v>
      </c>
      <c r="BO101" s="325">
        <v>34432</v>
      </c>
      <c r="BP101" s="322" t="s">
        <v>96</v>
      </c>
      <c r="BQ101" s="322" t="s">
        <v>12193</v>
      </c>
      <c r="BR101" s="322" t="s">
        <v>118</v>
      </c>
      <c r="BS101" s="312" t="s">
        <v>126</v>
      </c>
      <c r="BT101" s="322" t="s">
        <v>147</v>
      </c>
      <c r="BU101" s="322" t="s">
        <v>147</v>
      </c>
      <c r="BV101" s="322"/>
      <c r="BW101" s="322">
        <v>0</v>
      </c>
      <c r="BX101" s="312" t="s">
        <v>13207</v>
      </c>
      <c r="BY101" s="312"/>
      <c r="BZ101" s="322" t="s">
        <v>108</v>
      </c>
      <c r="CA101" s="328"/>
      <c r="CB101" s="322"/>
      <c r="CC101" s="322"/>
      <c r="CD101" s="322"/>
      <c r="CE101" s="322"/>
      <c r="CF101" s="312"/>
      <c r="CG101" s="322"/>
      <c r="CH101" s="312"/>
      <c r="CI101" s="312"/>
      <c r="CJ101" s="312"/>
      <c r="CK101" s="312"/>
      <c r="CL101" s="312"/>
    </row>
    <row r="102" spans="1:94" s="168" customFormat="1" ht="21" customHeight="1">
      <c r="A102" s="151">
        <v>74</v>
      </c>
      <c r="B102" s="152"/>
      <c r="C102" s="152"/>
      <c r="D102" s="6"/>
      <c r="E102" s="6"/>
      <c r="F102" s="6"/>
      <c r="G102" s="151"/>
      <c r="H102" s="153"/>
      <c r="I102" s="154" t="s">
        <v>2452</v>
      </c>
      <c r="J102" s="154" t="s">
        <v>166</v>
      </c>
      <c r="K102" s="154" t="s">
        <v>8547</v>
      </c>
      <c r="L102" s="151"/>
      <c r="M102" s="151">
        <v>2306</v>
      </c>
      <c r="N102" s="398" t="s">
        <v>13518</v>
      </c>
      <c r="O102" s="398" t="s">
        <v>13517</v>
      </c>
      <c r="P102" s="156" t="s">
        <v>12050</v>
      </c>
      <c r="Q102" s="174" t="s">
        <v>12051</v>
      </c>
      <c r="R102" s="151" t="s">
        <v>11342</v>
      </c>
      <c r="S102" s="151" t="s">
        <v>3166</v>
      </c>
      <c r="T102" s="151" t="s">
        <v>12052</v>
      </c>
      <c r="U102" s="151" t="s">
        <v>172</v>
      </c>
      <c r="V102" s="157" t="s">
        <v>94</v>
      </c>
      <c r="W102" s="158">
        <v>43907</v>
      </c>
      <c r="X102" s="159"/>
      <c r="Y102" s="160" t="s">
        <v>95</v>
      </c>
      <c r="Z102" s="161"/>
      <c r="AA102" s="159" t="s">
        <v>96</v>
      </c>
      <c r="AB102" s="151" t="s">
        <v>97</v>
      </c>
      <c r="AC102" s="162" t="s">
        <v>12053</v>
      </c>
      <c r="AD102" s="151" t="s">
        <v>176</v>
      </c>
      <c r="AE102" s="151" t="s">
        <v>175</v>
      </c>
      <c r="AF102" s="151" t="s">
        <v>521</v>
      </c>
      <c r="AG102" s="151" t="s">
        <v>178</v>
      </c>
      <c r="AH102" s="151" t="s">
        <v>178</v>
      </c>
      <c r="AI102" s="151">
        <v>65141</v>
      </c>
      <c r="AJ102" s="151" t="s">
        <v>103</v>
      </c>
      <c r="AK102" s="163"/>
      <c r="AL102" s="163"/>
      <c r="AM102" s="163" t="s">
        <v>12194</v>
      </c>
      <c r="AN102" s="151" t="s">
        <v>12244</v>
      </c>
      <c r="AO102" s="163">
        <v>1</v>
      </c>
      <c r="AP102" s="163">
        <v>0</v>
      </c>
      <c r="AQ102" s="163"/>
      <c r="AR102" s="163"/>
      <c r="AS102" s="279">
        <v>19</v>
      </c>
      <c r="AT102" s="279">
        <v>114</v>
      </c>
      <c r="AU102" s="163"/>
      <c r="AV102" s="163" t="s">
        <v>112</v>
      </c>
      <c r="AW102" s="163" t="s">
        <v>150</v>
      </c>
      <c r="AX102" s="163" t="s">
        <v>114</v>
      </c>
      <c r="AY102" s="164" t="s">
        <v>12381</v>
      </c>
      <c r="AZ102" s="151" t="s">
        <v>12458</v>
      </c>
      <c r="BA102" s="163" t="s">
        <v>502</v>
      </c>
      <c r="BB102" s="165">
        <v>33522</v>
      </c>
      <c r="BC102" s="163" t="s">
        <v>96</v>
      </c>
      <c r="BD102" s="163" t="s">
        <v>12519</v>
      </c>
      <c r="BE102" s="163" t="s">
        <v>153</v>
      </c>
      <c r="BF102" s="151" t="s">
        <v>188</v>
      </c>
      <c r="BG102" s="163" t="s">
        <v>120</v>
      </c>
      <c r="BH102" s="163" t="s">
        <v>12698</v>
      </c>
      <c r="BI102" s="6"/>
      <c r="BJ102" s="166" t="s">
        <v>2700</v>
      </c>
      <c r="BK102" s="151" t="s">
        <v>12810</v>
      </c>
      <c r="BL102" s="167" t="s">
        <v>12913</v>
      </c>
      <c r="BM102" s="151" t="s">
        <v>12989</v>
      </c>
      <c r="BN102" s="151" t="s">
        <v>4399</v>
      </c>
      <c r="BO102" s="165">
        <v>33884</v>
      </c>
      <c r="BP102" s="163" t="s">
        <v>96</v>
      </c>
      <c r="BQ102" s="163" t="s">
        <v>12244</v>
      </c>
      <c r="BR102" s="163" t="s">
        <v>118</v>
      </c>
      <c r="BS102" s="151" t="s">
        <v>980</v>
      </c>
      <c r="BT102" s="163" t="s">
        <v>13065</v>
      </c>
      <c r="BU102" s="163" t="s">
        <v>13122</v>
      </c>
      <c r="BV102" s="163"/>
      <c r="BW102" s="163">
        <v>0</v>
      </c>
      <c r="BX102" s="151" t="s">
        <v>13208</v>
      </c>
      <c r="BY102" s="151" t="s">
        <v>13232</v>
      </c>
      <c r="BZ102" s="163" t="s">
        <v>5098</v>
      </c>
      <c r="CA102" s="284">
        <v>21299</v>
      </c>
      <c r="CB102" s="163"/>
      <c r="CC102" s="163" t="s">
        <v>13243</v>
      </c>
      <c r="CD102" s="163" t="s">
        <v>118</v>
      </c>
      <c r="CE102" s="163"/>
      <c r="CF102" s="151"/>
      <c r="CG102" s="163"/>
      <c r="CH102" s="151"/>
      <c r="CI102" s="151"/>
      <c r="CJ102" s="151"/>
      <c r="CK102" s="151"/>
      <c r="CL102" s="151"/>
    </row>
    <row r="103" spans="1:94" s="168" customFormat="1" ht="21" customHeight="1">
      <c r="A103" s="151">
        <v>36</v>
      </c>
      <c r="B103" s="152"/>
      <c r="C103" s="152"/>
      <c r="D103" s="6"/>
      <c r="E103" s="6"/>
      <c r="F103" s="6"/>
      <c r="G103" s="151"/>
      <c r="H103" s="153"/>
      <c r="I103" s="169" t="s">
        <v>2452</v>
      </c>
      <c r="J103" s="169" t="s">
        <v>287</v>
      </c>
      <c r="K103" s="169" t="s">
        <v>915</v>
      </c>
      <c r="L103" s="151"/>
      <c r="M103" s="151">
        <v>2307</v>
      </c>
      <c r="N103" s="151"/>
      <c r="O103" s="398" t="s">
        <v>13519</v>
      </c>
      <c r="P103" s="170" t="s">
        <v>12054</v>
      </c>
      <c r="Q103" s="174" t="s">
        <v>12055</v>
      </c>
      <c r="R103" s="151" t="s">
        <v>11342</v>
      </c>
      <c r="S103" s="151" t="s">
        <v>3166</v>
      </c>
      <c r="T103" s="151" t="s">
        <v>12056</v>
      </c>
      <c r="U103" s="151" t="s">
        <v>172</v>
      </c>
      <c r="V103" s="157" t="s">
        <v>94</v>
      </c>
      <c r="W103" s="171">
        <v>43665</v>
      </c>
      <c r="X103" s="159"/>
      <c r="Y103" s="172" t="s">
        <v>95</v>
      </c>
      <c r="Z103" s="173"/>
      <c r="AA103" s="159" t="s">
        <v>96</v>
      </c>
      <c r="AB103" s="151" t="s">
        <v>97</v>
      </c>
      <c r="AC103" s="162" t="s">
        <v>12057</v>
      </c>
      <c r="AD103" s="151">
        <v>3</v>
      </c>
      <c r="AE103" s="151">
        <v>8</v>
      </c>
      <c r="AF103" s="151" t="s">
        <v>295</v>
      </c>
      <c r="AG103" s="151" t="s">
        <v>178</v>
      </c>
      <c r="AH103" s="151" t="s">
        <v>178</v>
      </c>
      <c r="AI103" s="151">
        <v>65144</v>
      </c>
      <c r="AJ103" s="151" t="s">
        <v>103</v>
      </c>
      <c r="AK103" s="163"/>
      <c r="AL103" s="163"/>
      <c r="AM103" s="163" t="s">
        <v>12195</v>
      </c>
      <c r="AN103" s="151" t="s">
        <v>12195</v>
      </c>
      <c r="AO103" s="163">
        <v>1</v>
      </c>
      <c r="AP103" s="163">
        <v>0</v>
      </c>
      <c r="AQ103" s="163"/>
      <c r="AR103" s="163"/>
      <c r="AS103" s="280">
        <v>28</v>
      </c>
      <c r="AT103" s="280">
        <v>120</v>
      </c>
      <c r="AU103" s="163"/>
      <c r="AV103" s="163" t="s">
        <v>112</v>
      </c>
      <c r="AW103" s="163" t="s">
        <v>150</v>
      </c>
      <c r="AX103" s="163" t="s">
        <v>183</v>
      </c>
      <c r="AY103" s="164" t="s">
        <v>12382</v>
      </c>
      <c r="AZ103" s="151" t="s">
        <v>12459</v>
      </c>
      <c r="BA103" s="163" t="s">
        <v>94</v>
      </c>
      <c r="BB103" s="165">
        <v>33519</v>
      </c>
      <c r="BC103" s="163" t="s">
        <v>96</v>
      </c>
      <c r="BD103" s="163" t="s">
        <v>12520</v>
      </c>
      <c r="BE103" s="163" t="s">
        <v>153</v>
      </c>
      <c r="BF103" s="151" t="s">
        <v>925</v>
      </c>
      <c r="BG103" s="163" t="s">
        <v>12599</v>
      </c>
      <c r="BH103" s="163" t="s">
        <v>12699</v>
      </c>
      <c r="BI103" s="6"/>
      <c r="BJ103" s="166">
        <v>15000000</v>
      </c>
      <c r="BK103" s="151" t="s">
        <v>12811</v>
      </c>
      <c r="BL103" s="167" t="s">
        <v>12914</v>
      </c>
      <c r="BM103" s="151" t="s">
        <v>12990</v>
      </c>
      <c r="BN103" s="151" t="s">
        <v>395</v>
      </c>
      <c r="BO103" s="165">
        <v>34818</v>
      </c>
      <c r="BP103" s="163" t="s">
        <v>96</v>
      </c>
      <c r="BQ103" s="163" t="s">
        <v>12195</v>
      </c>
      <c r="BR103" s="163" t="s">
        <v>118</v>
      </c>
      <c r="BS103" s="151" t="s">
        <v>126</v>
      </c>
      <c r="BT103" s="163" t="s">
        <v>452</v>
      </c>
      <c r="BU103" s="163" t="s">
        <v>13123</v>
      </c>
      <c r="BV103" s="163"/>
      <c r="BW103" s="163">
        <v>0</v>
      </c>
      <c r="BX103" s="151" t="s">
        <v>13209</v>
      </c>
      <c r="BY103" s="151"/>
      <c r="BZ103" s="163" t="s">
        <v>108</v>
      </c>
      <c r="CA103" s="282"/>
      <c r="CB103" s="163"/>
      <c r="CC103" s="163"/>
      <c r="CD103" s="163"/>
      <c r="CE103" s="163"/>
      <c r="CF103" s="151"/>
      <c r="CG103" s="163"/>
      <c r="CH103" s="151"/>
      <c r="CI103" s="151"/>
      <c r="CJ103" s="151"/>
      <c r="CK103" s="151"/>
      <c r="CL103" s="151"/>
    </row>
    <row r="104" spans="1:94" s="168" customFormat="1" ht="21" customHeight="1">
      <c r="A104" s="151">
        <v>98</v>
      </c>
      <c r="B104" s="152"/>
      <c r="C104" s="152"/>
      <c r="D104" s="6"/>
      <c r="E104" s="6"/>
      <c r="F104" s="6"/>
      <c r="G104" s="151"/>
      <c r="H104" s="153"/>
      <c r="I104" s="154" t="s">
        <v>2452</v>
      </c>
      <c r="J104" s="154" t="s">
        <v>12078</v>
      </c>
      <c r="K104" s="154" t="s">
        <v>12079</v>
      </c>
      <c r="L104" s="151"/>
      <c r="M104" s="151">
        <v>2312</v>
      </c>
      <c r="N104" s="151"/>
      <c r="O104" s="398" t="s">
        <v>13527</v>
      </c>
      <c r="P104" s="156" t="s">
        <v>12080</v>
      </c>
      <c r="Q104" s="174" t="s">
        <v>12081</v>
      </c>
      <c r="R104" s="151" t="s">
        <v>11342</v>
      </c>
      <c r="S104" s="151" t="s">
        <v>3166</v>
      </c>
      <c r="T104" s="151" t="s">
        <v>12082</v>
      </c>
      <c r="U104" s="151" t="s">
        <v>93</v>
      </c>
      <c r="V104" s="157" t="s">
        <v>94</v>
      </c>
      <c r="W104" s="158">
        <v>43975</v>
      </c>
      <c r="X104" s="159"/>
      <c r="Y104" s="160" t="s">
        <v>11682</v>
      </c>
      <c r="Z104" s="154">
        <v>0</v>
      </c>
      <c r="AA104" s="159" t="s">
        <v>96</v>
      </c>
      <c r="AB104" s="151" t="s">
        <v>97</v>
      </c>
      <c r="AC104" s="162" t="s">
        <v>12083</v>
      </c>
      <c r="AD104" s="151" t="s">
        <v>293</v>
      </c>
      <c r="AE104" s="151" t="s">
        <v>137</v>
      </c>
      <c r="AF104" s="151" t="s">
        <v>12084</v>
      </c>
      <c r="AG104" s="151" t="s">
        <v>547</v>
      </c>
      <c r="AH104" s="151" t="s">
        <v>178</v>
      </c>
      <c r="AI104" s="151">
        <v>65142</v>
      </c>
      <c r="AJ104" s="151" t="s">
        <v>103</v>
      </c>
      <c r="AK104" s="163"/>
      <c r="AL104" s="163"/>
      <c r="AM104" s="163">
        <v>0</v>
      </c>
      <c r="AN104" s="151" t="s">
        <v>12249</v>
      </c>
      <c r="AO104" s="163">
        <v>1</v>
      </c>
      <c r="AP104" s="163">
        <v>0</v>
      </c>
      <c r="AQ104" s="163"/>
      <c r="AR104" s="163"/>
      <c r="AS104" s="279">
        <v>20</v>
      </c>
      <c r="AT104" s="279">
        <v>110</v>
      </c>
      <c r="AU104" s="163"/>
      <c r="AV104" s="163" t="s">
        <v>112</v>
      </c>
      <c r="AW104" s="163" t="s">
        <v>150</v>
      </c>
      <c r="AX104" s="163" t="s">
        <v>427</v>
      </c>
      <c r="AY104" s="164" t="s">
        <v>12387</v>
      </c>
      <c r="AZ104" s="151" t="s">
        <v>12464</v>
      </c>
      <c r="BA104" s="163" t="s">
        <v>94</v>
      </c>
      <c r="BB104" s="165">
        <v>31836</v>
      </c>
      <c r="BC104" s="163" t="s">
        <v>96</v>
      </c>
      <c r="BD104" s="163" t="s">
        <v>12522</v>
      </c>
      <c r="BE104" s="163" t="s">
        <v>118</v>
      </c>
      <c r="BF104" s="151" t="s">
        <v>574</v>
      </c>
      <c r="BG104" s="163" t="s">
        <v>12603</v>
      </c>
      <c r="BH104" s="163" t="s">
        <v>12705</v>
      </c>
      <c r="BI104" s="6" t="s">
        <v>12706</v>
      </c>
      <c r="BJ104" s="166" t="s">
        <v>12767</v>
      </c>
      <c r="BK104" s="151" t="s">
        <v>12818</v>
      </c>
      <c r="BL104" s="167" t="s">
        <v>12919</v>
      </c>
      <c r="BM104" s="151" t="s">
        <v>12995</v>
      </c>
      <c r="BN104" s="151" t="s">
        <v>544</v>
      </c>
      <c r="BO104" s="165">
        <v>34201</v>
      </c>
      <c r="BP104" s="163" t="s">
        <v>96</v>
      </c>
      <c r="BQ104" s="163" t="s">
        <v>12249</v>
      </c>
      <c r="BR104" s="163" t="s">
        <v>118</v>
      </c>
      <c r="BS104" s="151" t="s">
        <v>126</v>
      </c>
      <c r="BT104" s="163" t="s">
        <v>582</v>
      </c>
      <c r="BU104" s="163" t="s">
        <v>13125</v>
      </c>
      <c r="BV104" s="163" t="s">
        <v>12249</v>
      </c>
      <c r="BW104" s="163">
        <v>0</v>
      </c>
      <c r="BX104" s="151" t="s">
        <v>13214</v>
      </c>
      <c r="BY104" s="151"/>
      <c r="BZ104" s="163" t="s">
        <v>108</v>
      </c>
      <c r="CA104" s="281"/>
      <c r="CB104" s="163"/>
      <c r="CC104" s="163"/>
      <c r="CD104" s="163"/>
      <c r="CE104" s="163"/>
      <c r="CF104" s="151"/>
      <c r="CG104" s="163"/>
      <c r="CH104" s="151"/>
      <c r="CI104" s="151"/>
      <c r="CJ104" s="151"/>
      <c r="CK104" s="151"/>
      <c r="CL104" s="151"/>
    </row>
    <row r="105" spans="1:94" s="27" customFormat="1" ht="23.25" customHeight="1">
      <c r="A105" s="4">
        <v>1</v>
      </c>
      <c r="B105" s="6"/>
      <c r="C105" s="6"/>
      <c r="D105" s="6"/>
      <c r="E105" s="6"/>
      <c r="F105" s="6"/>
      <c r="G105" s="6"/>
      <c r="H105" s="5"/>
      <c r="I105" s="7" t="s">
        <v>2452</v>
      </c>
      <c r="J105" s="7" t="s">
        <v>287</v>
      </c>
      <c r="K105" s="7" t="s">
        <v>2453</v>
      </c>
      <c r="L105" s="5"/>
      <c r="M105" s="5">
        <v>2083</v>
      </c>
      <c r="N105" s="9">
        <v>3185178772</v>
      </c>
      <c r="O105" s="9" t="s">
        <v>11533</v>
      </c>
      <c r="P105" s="10" t="s">
        <v>2454</v>
      </c>
      <c r="Q105" s="389" t="s">
        <v>2455</v>
      </c>
      <c r="R105" s="8" t="s">
        <v>2445</v>
      </c>
      <c r="S105" s="212" t="s">
        <v>12138</v>
      </c>
      <c r="T105" s="8" t="s">
        <v>2456</v>
      </c>
      <c r="U105" s="11" t="s">
        <v>172</v>
      </c>
      <c r="V105" s="12" t="s">
        <v>2457</v>
      </c>
      <c r="W105" s="13">
        <v>43429</v>
      </c>
      <c r="X105" s="13" t="str">
        <f t="shared" ref="X105:X135" ca="1" si="0">""&amp;DATEDIF(W105,TODAY(),"y")&amp;" Th, "&amp;DATEDIF(W105,TODAY(),"ym")&amp;" Bln"</f>
        <v>7 Th, 9 Bln</v>
      </c>
      <c r="Y105" s="5" t="s">
        <v>95</v>
      </c>
      <c r="Z105" s="14" t="s">
        <v>108</v>
      </c>
      <c r="AA105" s="5" t="s">
        <v>96</v>
      </c>
      <c r="AB105" s="5" t="s">
        <v>97</v>
      </c>
      <c r="AC105" s="7" t="s">
        <v>2458</v>
      </c>
      <c r="AD105" s="131" t="s">
        <v>2459</v>
      </c>
      <c r="AE105" s="131" t="s">
        <v>2459</v>
      </c>
      <c r="AF105" s="7" t="s">
        <v>177</v>
      </c>
      <c r="AG105" s="7" t="s">
        <v>178</v>
      </c>
      <c r="AH105" s="7" t="s">
        <v>178</v>
      </c>
      <c r="AI105" s="7">
        <v>65143</v>
      </c>
      <c r="AJ105" s="7" t="s">
        <v>94</v>
      </c>
      <c r="AK105" s="7" t="s">
        <v>386</v>
      </c>
      <c r="AL105" s="7" t="s">
        <v>1282</v>
      </c>
      <c r="AM105" s="15">
        <v>0</v>
      </c>
      <c r="AN105" s="15" t="s">
        <v>2460</v>
      </c>
      <c r="AO105" s="8">
        <v>1</v>
      </c>
      <c r="AP105" s="8" t="s">
        <v>146</v>
      </c>
      <c r="AQ105" s="8" t="s">
        <v>147</v>
      </c>
      <c r="AR105" s="8" t="s">
        <v>147</v>
      </c>
      <c r="AS105" s="132" t="s">
        <v>2461</v>
      </c>
      <c r="AT105" s="131" t="s">
        <v>2462</v>
      </c>
      <c r="AU105" s="132" t="s">
        <v>149</v>
      </c>
      <c r="AV105" s="16" t="s">
        <v>112</v>
      </c>
      <c r="AW105" s="56"/>
      <c r="AX105" s="56" t="s">
        <v>2463</v>
      </c>
      <c r="AY105" s="56" t="s">
        <v>2464</v>
      </c>
      <c r="AZ105" s="7" t="s">
        <v>2465</v>
      </c>
      <c r="BA105" s="10" t="s">
        <v>1984</v>
      </c>
      <c r="BB105" s="52">
        <v>32511</v>
      </c>
      <c r="BC105" s="17" t="s">
        <v>96</v>
      </c>
      <c r="BD105" s="17" t="s">
        <v>2466</v>
      </c>
      <c r="BE105" s="18" t="s">
        <v>118</v>
      </c>
      <c r="BF105" s="7" t="s">
        <v>1525</v>
      </c>
      <c r="BG105" s="7" t="s">
        <v>2467</v>
      </c>
      <c r="BH105" s="7" t="s">
        <v>2468</v>
      </c>
      <c r="BI105" s="7"/>
      <c r="BJ105" s="19">
        <v>15000000</v>
      </c>
      <c r="BK105" s="20" t="s">
        <v>2469</v>
      </c>
      <c r="BL105" s="58" t="s">
        <v>2470</v>
      </c>
      <c r="BM105" s="7" t="s">
        <v>2471</v>
      </c>
      <c r="BN105" s="22" t="s">
        <v>2457</v>
      </c>
      <c r="BO105" s="49">
        <v>33094</v>
      </c>
      <c r="BP105" s="17" t="s">
        <v>96</v>
      </c>
      <c r="BQ105" s="17" t="s">
        <v>2460</v>
      </c>
      <c r="BR105" s="18" t="s">
        <v>153</v>
      </c>
      <c r="BS105" s="7" t="s">
        <v>2472</v>
      </c>
      <c r="BT105" s="7" t="s">
        <v>2473</v>
      </c>
      <c r="BU105" s="7" t="s">
        <v>479</v>
      </c>
      <c r="BV105" s="8" t="s">
        <v>108</v>
      </c>
      <c r="BW105" s="23" t="s">
        <v>250</v>
      </c>
      <c r="BX105" s="24" t="s">
        <v>2474</v>
      </c>
      <c r="BY105" s="21" t="s">
        <v>108</v>
      </c>
      <c r="BZ105" s="21" t="s">
        <v>108</v>
      </c>
      <c r="CA105" s="21"/>
      <c r="CB105" s="21"/>
      <c r="CC105" s="21"/>
      <c r="CD105" s="21"/>
      <c r="CE105" s="21" t="s">
        <v>108</v>
      </c>
      <c r="CF105" s="21"/>
      <c r="CG105" s="21" t="s">
        <v>108</v>
      </c>
      <c r="CH105" s="21"/>
      <c r="CI105" s="21"/>
      <c r="CJ105" s="21" t="s">
        <v>108</v>
      </c>
      <c r="CK105" s="21" t="s">
        <v>108</v>
      </c>
      <c r="CL105" s="21" t="s">
        <v>108</v>
      </c>
      <c r="CM105" s="25"/>
      <c r="CN105" s="25"/>
      <c r="CO105" s="25"/>
      <c r="CP105" s="26"/>
    </row>
    <row r="106" spans="1:94" s="27" customFormat="1" ht="23.25" customHeight="1">
      <c r="A106" s="4">
        <v>2</v>
      </c>
      <c r="B106" s="6"/>
      <c r="C106" s="6"/>
      <c r="D106" s="6"/>
      <c r="E106" s="6"/>
      <c r="F106" s="6"/>
      <c r="G106" s="6"/>
      <c r="H106" s="5"/>
      <c r="I106" s="7" t="s">
        <v>2452</v>
      </c>
      <c r="J106" s="7" t="s">
        <v>2501</v>
      </c>
      <c r="K106" s="7" t="s">
        <v>2502</v>
      </c>
      <c r="L106" s="5"/>
      <c r="M106" s="5">
        <v>2085</v>
      </c>
      <c r="N106" s="9">
        <v>3190236635</v>
      </c>
      <c r="O106" s="150" t="s">
        <v>11534</v>
      </c>
      <c r="P106" s="10" t="s">
        <v>2503</v>
      </c>
      <c r="Q106" s="389" t="s">
        <v>2504</v>
      </c>
      <c r="R106" s="8" t="s">
        <v>2445</v>
      </c>
      <c r="S106" s="212" t="s">
        <v>12138</v>
      </c>
      <c r="T106" s="8" t="s">
        <v>2505</v>
      </c>
      <c r="U106" s="11" t="s">
        <v>172</v>
      </c>
      <c r="V106" s="12" t="s">
        <v>94</v>
      </c>
      <c r="W106" s="13">
        <v>43554</v>
      </c>
      <c r="X106" s="13" t="str">
        <f t="shared" ca="1" si="0"/>
        <v>7 Th, 5 Bln</v>
      </c>
      <c r="Y106" s="5" t="s">
        <v>95</v>
      </c>
      <c r="Z106" s="14" t="s">
        <v>127</v>
      </c>
      <c r="AA106" s="5" t="s">
        <v>96</v>
      </c>
      <c r="AB106" s="5" t="s">
        <v>97</v>
      </c>
      <c r="AC106" s="7" t="s">
        <v>2506</v>
      </c>
      <c r="AD106" s="131" t="s">
        <v>966</v>
      </c>
      <c r="AE106" s="131" t="s">
        <v>1281</v>
      </c>
      <c r="AF106" s="7" t="s">
        <v>177</v>
      </c>
      <c r="AG106" s="7" t="s">
        <v>178</v>
      </c>
      <c r="AH106" s="7" t="s">
        <v>178</v>
      </c>
      <c r="AI106" s="7">
        <v>65143</v>
      </c>
      <c r="AJ106" s="7" t="s">
        <v>103</v>
      </c>
      <c r="AK106" s="7" t="s">
        <v>179</v>
      </c>
      <c r="AL106" s="7" t="s">
        <v>146</v>
      </c>
      <c r="AM106" s="15" t="s">
        <v>2507</v>
      </c>
      <c r="AN106" s="15" t="s">
        <v>2507</v>
      </c>
      <c r="AO106" s="8">
        <v>1</v>
      </c>
      <c r="AP106" s="8" t="s">
        <v>147</v>
      </c>
      <c r="AQ106" s="8" t="s">
        <v>147</v>
      </c>
      <c r="AR106" s="8" t="s">
        <v>147</v>
      </c>
      <c r="AS106" s="132" t="s">
        <v>2508</v>
      </c>
      <c r="AT106" s="131" t="s">
        <v>2509</v>
      </c>
      <c r="AU106" s="132" t="s">
        <v>498</v>
      </c>
      <c r="AV106" s="16" t="s">
        <v>112</v>
      </c>
      <c r="AW106" s="56"/>
      <c r="AX106" s="56" t="s">
        <v>183</v>
      </c>
      <c r="AY106" s="56" t="s">
        <v>2510</v>
      </c>
      <c r="AZ106" s="7" t="s">
        <v>2511</v>
      </c>
      <c r="BA106" s="10" t="s">
        <v>713</v>
      </c>
      <c r="BB106" s="52">
        <v>30724</v>
      </c>
      <c r="BC106" s="17" t="s">
        <v>96</v>
      </c>
      <c r="BD106" s="17" t="s">
        <v>2507</v>
      </c>
      <c r="BE106" s="18" t="s">
        <v>118</v>
      </c>
      <c r="BF106" s="7" t="s">
        <v>247</v>
      </c>
      <c r="BG106" s="7" t="s">
        <v>127</v>
      </c>
      <c r="BH106" s="7" t="s">
        <v>127</v>
      </c>
      <c r="BI106" s="7" t="s">
        <v>127</v>
      </c>
      <c r="BJ106" s="19">
        <v>8000000</v>
      </c>
      <c r="BK106" s="20" t="s">
        <v>2512</v>
      </c>
      <c r="BL106" s="58" t="s">
        <v>2513</v>
      </c>
      <c r="BM106" s="7" t="s">
        <v>2514</v>
      </c>
      <c r="BN106" s="22" t="s">
        <v>94</v>
      </c>
      <c r="BO106" s="49">
        <v>33642</v>
      </c>
      <c r="BP106" s="17" t="s">
        <v>96</v>
      </c>
      <c r="BQ106" s="17" t="s">
        <v>2515</v>
      </c>
      <c r="BR106" s="18" t="s">
        <v>118</v>
      </c>
      <c r="BS106" s="7" t="s">
        <v>276</v>
      </c>
      <c r="BT106" s="7" t="s">
        <v>2516</v>
      </c>
      <c r="BU106" s="7" t="s">
        <v>2517</v>
      </c>
      <c r="BV106" s="8" t="s">
        <v>2518</v>
      </c>
      <c r="BW106" s="23">
        <v>6000000</v>
      </c>
      <c r="BX106" s="24" t="s">
        <v>2519</v>
      </c>
      <c r="BY106" s="21" t="s">
        <v>127</v>
      </c>
      <c r="BZ106" s="21" t="s">
        <v>108</v>
      </c>
      <c r="CA106" s="21"/>
      <c r="CB106" s="21"/>
      <c r="CC106" s="21"/>
      <c r="CD106" s="21"/>
      <c r="CE106" s="21" t="s">
        <v>108</v>
      </c>
      <c r="CF106" s="21"/>
      <c r="CG106" s="21" t="s">
        <v>108</v>
      </c>
      <c r="CH106" s="21"/>
      <c r="CI106" s="21"/>
      <c r="CJ106" s="21" t="s">
        <v>108</v>
      </c>
      <c r="CK106" s="21" t="s">
        <v>108</v>
      </c>
      <c r="CL106" s="21" t="s">
        <v>108</v>
      </c>
      <c r="CM106" s="25"/>
      <c r="CN106" s="25"/>
      <c r="CO106" s="25"/>
      <c r="CP106" s="26"/>
    </row>
    <row r="107" spans="1:94" s="122" customFormat="1" ht="23.25" customHeight="1">
      <c r="A107" s="4">
        <v>3</v>
      </c>
      <c r="B107" s="6"/>
      <c r="C107" s="6"/>
      <c r="D107" s="6"/>
      <c r="E107" s="6"/>
      <c r="F107" s="6"/>
      <c r="G107" s="6"/>
      <c r="H107" s="5"/>
      <c r="I107" s="7" t="s">
        <v>86</v>
      </c>
      <c r="J107" s="7" t="s">
        <v>166</v>
      </c>
      <c r="K107" s="7" t="s">
        <v>2567</v>
      </c>
      <c r="L107" s="5"/>
      <c r="M107" s="5">
        <v>2088</v>
      </c>
      <c r="N107" s="9">
        <v>3186077328</v>
      </c>
      <c r="O107" s="150" t="s">
        <v>11574</v>
      </c>
      <c r="P107" s="10" t="s">
        <v>2568</v>
      </c>
      <c r="Q107" s="389" t="s">
        <v>2569</v>
      </c>
      <c r="R107" s="8" t="s">
        <v>2445</v>
      </c>
      <c r="S107" s="212" t="s">
        <v>12138</v>
      </c>
      <c r="T107" s="8" t="s">
        <v>2570</v>
      </c>
      <c r="U107" s="11" t="s">
        <v>172</v>
      </c>
      <c r="V107" s="12" t="s">
        <v>2016</v>
      </c>
      <c r="W107" s="13">
        <v>43290</v>
      </c>
      <c r="X107" s="13" t="str">
        <f t="shared" ca="1" si="0"/>
        <v>8 Th, 2 Bln</v>
      </c>
      <c r="Y107" s="5" t="s">
        <v>95</v>
      </c>
      <c r="Z107" s="14" t="s">
        <v>108</v>
      </c>
      <c r="AA107" s="5" t="s">
        <v>96</v>
      </c>
      <c r="AB107" s="5" t="s">
        <v>97</v>
      </c>
      <c r="AC107" s="7" t="s">
        <v>2571</v>
      </c>
      <c r="AD107" s="131">
        <v>15</v>
      </c>
      <c r="AE107" s="131" t="s">
        <v>293</v>
      </c>
      <c r="AF107" s="7" t="s">
        <v>177</v>
      </c>
      <c r="AG107" s="7" t="s">
        <v>178</v>
      </c>
      <c r="AH107" s="7" t="s">
        <v>178</v>
      </c>
      <c r="AI107" s="7"/>
      <c r="AJ107" s="7" t="s">
        <v>94</v>
      </c>
      <c r="AK107" s="7" t="s">
        <v>386</v>
      </c>
      <c r="AL107" s="7" t="s">
        <v>146</v>
      </c>
      <c r="AM107" s="15" t="s">
        <v>127</v>
      </c>
      <c r="AN107" s="15" t="s">
        <v>2572</v>
      </c>
      <c r="AO107" s="8">
        <v>1</v>
      </c>
      <c r="AP107" s="8" t="s">
        <v>146</v>
      </c>
      <c r="AQ107" s="8" t="s">
        <v>108</v>
      </c>
      <c r="AR107" s="8" t="s">
        <v>108</v>
      </c>
      <c r="AS107" s="132" t="s">
        <v>2573</v>
      </c>
      <c r="AT107" s="131" t="s">
        <v>2574</v>
      </c>
      <c r="AU107" s="132" t="s">
        <v>182</v>
      </c>
      <c r="AV107" s="16" t="s">
        <v>112</v>
      </c>
      <c r="AW107" s="56"/>
      <c r="AX107" s="56" t="s">
        <v>114</v>
      </c>
      <c r="AY107" s="56" t="s">
        <v>2575</v>
      </c>
      <c r="AZ107" s="7" t="s">
        <v>2576</v>
      </c>
      <c r="BA107" s="10" t="s">
        <v>2016</v>
      </c>
      <c r="BB107" s="52">
        <v>32898</v>
      </c>
      <c r="BC107" s="17" t="s">
        <v>96</v>
      </c>
      <c r="BD107" s="17" t="s">
        <v>2572</v>
      </c>
      <c r="BE107" s="18" t="s">
        <v>118</v>
      </c>
      <c r="BF107" s="7" t="s">
        <v>276</v>
      </c>
      <c r="BG107" s="7" t="s">
        <v>2577</v>
      </c>
      <c r="BH107" s="7" t="s">
        <v>2578</v>
      </c>
      <c r="BI107" s="7" t="s">
        <v>2579</v>
      </c>
      <c r="BJ107" s="19">
        <v>20000000</v>
      </c>
      <c r="BK107" s="20" t="s">
        <v>2580</v>
      </c>
      <c r="BL107" s="58" t="s">
        <v>2581</v>
      </c>
      <c r="BM107" s="7" t="s">
        <v>2582</v>
      </c>
      <c r="BN107" s="22" t="s">
        <v>2016</v>
      </c>
      <c r="BO107" s="49">
        <v>33166</v>
      </c>
      <c r="BP107" s="17" t="s">
        <v>96</v>
      </c>
      <c r="BQ107" s="17" t="s">
        <v>2583</v>
      </c>
      <c r="BR107" s="18" t="s">
        <v>118</v>
      </c>
      <c r="BS107" s="7" t="s">
        <v>126</v>
      </c>
      <c r="BT107" s="7" t="s">
        <v>127</v>
      </c>
      <c r="BU107" s="7" t="s">
        <v>127</v>
      </c>
      <c r="BV107" s="8" t="s">
        <v>108</v>
      </c>
      <c r="BW107" s="23" t="s">
        <v>127</v>
      </c>
      <c r="BX107" s="24" t="s">
        <v>2584</v>
      </c>
      <c r="BY107" s="21" t="s">
        <v>108</v>
      </c>
      <c r="BZ107" s="21" t="s">
        <v>108</v>
      </c>
      <c r="CA107" s="21"/>
      <c r="CB107" s="21"/>
      <c r="CC107" s="21"/>
      <c r="CD107" s="21"/>
      <c r="CE107" s="21" t="s">
        <v>108</v>
      </c>
      <c r="CF107" s="21"/>
      <c r="CG107" s="21" t="s">
        <v>108</v>
      </c>
      <c r="CH107" s="21"/>
      <c r="CI107" s="21"/>
      <c r="CJ107" s="21" t="s">
        <v>108</v>
      </c>
      <c r="CK107" s="21" t="s">
        <v>108</v>
      </c>
      <c r="CL107" s="21" t="s">
        <v>108</v>
      </c>
      <c r="CM107" s="120"/>
      <c r="CN107" s="120"/>
      <c r="CO107" s="120"/>
      <c r="CP107" s="121"/>
    </row>
    <row r="108" spans="1:94" s="27" customFormat="1" ht="22.5" customHeight="1">
      <c r="A108" s="4">
        <v>4</v>
      </c>
      <c r="B108" s="6"/>
      <c r="C108" s="6"/>
      <c r="D108" s="6"/>
      <c r="E108" s="6"/>
      <c r="F108" s="6"/>
      <c r="G108" s="6"/>
      <c r="H108" s="5"/>
      <c r="I108" s="7" t="s">
        <v>2452</v>
      </c>
      <c r="J108" s="7" t="s">
        <v>2607</v>
      </c>
      <c r="K108" s="7" t="s">
        <v>2608</v>
      </c>
      <c r="L108" s="5"/>
      <c r="M108" s="5">
        <v>2090</v>
      </c>
      <c r="N108" s="9">
        <v>3195846237</v>
      </c>
      <c r="O108" s="150" t="s">
        <v>11535</v>
      </c>
      <c r="P108" s="10" t="s">
        <v>2609</v>
      </c>
      <c r="Q108" s="389" t="s">
        <v>2610</v>
      </c>
      <c r="R108" s="8" t="s">
        <v>2445</v>
      </c>
      <c r="S108" s="212" t="s">
        <v>12138</v>
      </c>
      <c r="T108" s="8" t="s">
        <v>2611</v>
      </c>
      <c r="U108" s="11" t="s">
        <v>93</v>
      </c>
      <c r="V108" s="12" t="s">
        <v>94</v>
      </c>
      <c r="W108" s="13">
        <v>43514</v>
      </c>
      <c r="X108" s="13" t="str">
        <f t="shared" ca="1" si="0"/>
        <v>7 Th, 6 Bln</v>
      </c>
      <c r="Y108" s="5" t="s">
        <v>95</v>
      </c>
      <c r="Z108" s="14" t="s">
        <v>108</v>
      </c>
      <c r="AA108" s="5" t="s">
        <v>96</v>
      </c>
      <c r="AB108" s="5" t="s">
        <v>97</v>
      </c>
      <c r="AC108" s="7" t="s">
        <v>2612</v>
      </c>
      <c r="AD108" s="131">
        <v>3</v>
      </c>
      <c r="AE108" s="131">
        <v>3</v>
      </c>
      <c r="AF108" s="7" t="s">
        <v>921</v>
      </c>
      <c r="AG108" s="7" t="s">
        <v>687</v>
      </c>
      <c r="AH108" s="7" t="s">
        <v>141</v>
      </c>
      <c r="AI108" s="7">
        <v>65151</v>
      </c>
      <c r="AJ108" s="7" t="s">
        <v>94</v>
      </c>
      <c r="AK108" s="7" t="s">
        <v>179</v>
      </c>
      <c r="AL108" s="7" t="s">
        <v>1325</v>
      </c>
      <c r="AM108" s="15" t="s">
        <v>2613</v>
      </c>
      <c r="AN108" s="15" t="s">
        <v>2613</v>
      </c>
      <c r="AO108" s="8">
        <v>1</v>
      </c>
      <c r="AP108" s="8" t="s">
        <v>146</v>
      </c>
      <c r="AQ108" s="8" t="s">
        <v>147</v>
      </c>
      <c r="AR108" s="8" t="s">
        <v>147</v>
      </c>
      <c r="AS108" s="132" t="s">
        <v>2614</v>
      </c>
      <c r="AT108" s="131" t="s">
        <v>2593</v>
      </c>
      <c r="AU108" s="132" t="s">
        <v>182</v>
      </c>
      <c r="AV108" s="16" t="s">
        <v>112</v>
      </c>
      <c r="AW108" s="56"/>
      <c r="AX108" s="56" t="s">
        <v>114</v>
      </c>
      <c r="AY108" s="56" t="s">
        <v>2615</v>
      </c>
      <c r="AZ108" s="7" t="s">
        <v>2616</v>
      </c>
      <c r="BA108" s="10" t="s">
        <v>395</v>
      </c>
      <c r="BB108" s="52">
        <v>32647</v>
      </c>
      <c r="BC108" s="17" t="s">
        <v>96</v>
      </c>
      <c r="BD108" s="17" t="s">
        <v>2617</v>
      </c>
      <c r="BE108" s="18" t="s">
        <v>118</v>
      </c>
      <c r="BF108" s="7" t="s">
        <v>327</v>
      </c>
      <c r="BG108" s="7" t="s">
        <v>327</v>
      </c>
      <c r="BH108" s="7" t="s">
        <v>2618</v>
      </c>
      <c r="BI108" s="7" t="s">
        <v>2617</v>
      </c>
      <c r="BJ108" s="19">
        <v>15000000</v>
      </c>
      <c r="BK108" s="20" t="s">
        <v>2619</v>
      </c>
      <c r="BL108" s="58" t="s">
        <v>2620</v>
      </c>
      <c r="BM108" s="7" t="s">
        <v>2621</v>
      </c>
      <c r="BN108" s="22" t="s">
        <v>2622</v>
      </c>
      <c r="BO108" s="49">
        <v>34485</v>
      </c>
      <c r="BP108" s="17" t="s">
        <v>96</v>
      </c>
      <c r="BQ108" s="17" t="s">
        <v>2613</v>
      </c>
      <c r="BR108" s="18" t="s">
        <v>118</v>
      </c>
      <c r="BS108" s="7" t="s">
        <v>126</v>
      </c>
      <c r="BT108" s="7" t="s">
        <v>126</v>
      </c>
      <c r="BU108" s="7" t="s">
        <v>2612</v>
      </c>
      <c r="BV108" s="8" t="s">
        <v>2613</v>
      </c>
      <c r="BW108" s="23">
        <v>0</v>
      </c>
      <c r="BX108" s="24" t="s">
        <v>2623</v>
      </c>
      <c r="BY108" s="21" t="s">
        <v>108</v>
      </c>
      <c r="BZ108" s="21" t="s">
        <v>108</v>
      </c>
      <c r="CA108" s="21"/>
      <c r="CB108" s="21"/>
      <c r="CC108" s="21"/>
      <c r="CD108" s="21"/>
      <c r="CE108" s="21" t="s">
        <v>108</v>
      </c>
      <c r="CF108" s="21"/>
      <c r="CG108" s="21" t="s">
        <v>108</v>
      </c>
      <c r="CH108" s="21"/>
      <c r="CI108" s="21"/>
      <c r="CJ108" s="21" t="s">
        <v>108</v>
      </c>
      <c r="CK108" s="21" t="s">
        <v>108</v>
      </c>
      <c r="CL108" s="21" t="s">
        <v>108</v>
      </c>
      <c r="CM108" s="25"/>
      <c r="CN108" s="25"/>
      <c r="CO108" s="25"/>
      <c r="CP108" s="26"/>
    </row>
    <row r="109" spans="1:94" s="27" customFormat="1" ht="23.25" customHeight="1">
      <c r="A109" s="4">
        <v>5</v>
      </c>
      <c r="B109" s="6"/>
      <c r="C109" s="6"/>
      <c r="D109" s="6"/>
      <c r="E109" s="6"/>
      <c r="F109" s="6"/>
      <c r="G109" s="6"/>
      <c r="H109" s="5"/>
      <c r="I109" s="7" t="s">
        <v>2452</v>
      </c>
      <c r="J109" s="7" t="s">
        <v>166</v>
      </c>
      <c r="K109" s="7" t="s">
        <v>609</v>
      </c>
      <c r="L109" s="5"/>
      <c r="M109" s="5">
        <v>2093</v>
      </c>
      <c r="N109" s="9">
        <v>3192073392</v>
      </c>
      <c r="O109" s="9" t="s">
        <v>11536</v>
      </c>
      <c r="P109" s="10" t="s">
        <v>11466</v>
      </c>
      <c r="Q109" s="389" t="s">
        <v>2667</v>
      </c>
      <c r="R109" s="8" t="s">
        <v>2445</v>
      </c>
      <c r="S109" s="212" t="s">
        <v>12138</v>
      </c>
      <c r="T109" s="8" t="s">
        <v>2668</v>
      </c>
      <c r="U109" s="11" t="s">
        <v>93</v>
      </c>
      <c r="V109" s="12" t="s">
        <v>2669</v>
      </c>
      <c r="W109" s="13">
        <v>43596</v>
      </c>
      <c r="X109" s="13" t="str">
        <f t="shared" ca="1" si="0"/>
        <v>7 Th, 4 Bln</v>
      </c>
      <c r="Y109" s="5" t="s">
        <v>95</v>
      </c>
      <c r="Z109" s="14" t="s">
        <v>108</v>
      </c>
      <c r="AA109" s="5" t="s">
        <v>96</v>
      </c>
      <c r="AB109" s="5" t="s">
        <v>97</v>
      </c>
      <c r="AC109" s="7" t="s">
        <v>2670</v>
      </c>
      <c r="AD109" s="131" t="s">
        <v>1281</v>
      </c>
      <c r="AE109" s="131" t="s">
        <v>358</v>
      </c>
      <c r="AF109" s="7" t="s">
        <v>2671</v>
      </c>
      <c r="AG109" s="7" t="s">
        <v>2672</v>
      </c>
      <c r="AH109" s="7" t="s">
        <v>141</v>
      </c>
      <c r="AI109" s="7">
        <v>61112</v>
      </c>
      <c r="AJ109" s="7" t="s">
        <v>670</v>
      </c>
      <c r="AK109" s="7" t="s">
        <v>179</v>
      </c>
      <c r="AL109" s="7" t="s">
        <v>269</v>
      </c>
      <c r="AM109" s="15" t="s">
        <v>2673</v>
      </c>
      <c r="AN109" s="15" t="s">
        <v>2673</v>
      </c>
      <c r="AO109" s="8">
        <v>1</v>
      </c>
      <c r="AP109" s="8" t="s">
        <v>147</v>
      </c>
      <c r="AQ109" s="8" t="s">
        <v>147</v>
      </c>
      <c r="AR109" s="8" t="s">
        <v>147</v>
      </c>
      <c r="AS109" s="132" t="s">
        <v>1487</v>
      </c>
      <c r="AT109" s="131" t="s">
        <v>2674</v>
      </c>
      <c r="AU109" s="132" t="s">
        <v>498</v>
      </c>
      <c r="AV109" s="16" t="s">
        <v>112</v>
      </c>
      <c r="AW109" s="56"/>
      <c r="AX109" s="56" t="s">
        <v>114</v>
      </c>
      <c r="AY109" s="56" t="s">
        <v>2675</v>
      </c>
      <c r="AZ109" s="7" t="s">
        <v>2676</v>
      </c>
      <c r="BA109" s="10" t="s">
        <v>670</v>
      </c>
      <c r="BB109" s="52">
        <v>34927</v>
      </c>
      <c r="BC109" s="17" t="s">
        <v>96</v>
      </c>
      <c r="BD109" s="17" t="s">
        <v>2673</v>
      </c>
      <c r="BE109" s="18" t="s">
        <v>118</v>
      </c>
      <c r="BF109" s="7" t="s">
        <v>276</v>
      </c>
      <c r="BG109" s="7" t="s">
        <v>2677</v>
      </c>
      <c r="BH109" s="7" t="s">
        <v>2678</v>
      </c>
      <c r="BI109" s="7" t="s">
        <v>2679</v>
      </c>
      <c r="BJ109" s="19">
        <v>15000000</v>
      </c>
      <c r="BK109" s="20" t="s">
        <v>2680</v>
      </c>
      <c r="BL109" s="58" t="s">
        <v>2681</v>
      </c>
      <c r="BM109" s="7" t="s">
        <v>2682</v>
      </c>
      <c r="BN109" s="22" t="s">
        <v>2683</v>
      </c>
      <c r="BO109" s="49">
        <v>36291</v>
      </c>
      <c r="BP109" s="17" t="s">
        <v>96</v>
      </c>
      <c r="BQ109" s="17" t="s">
        <v>2673</v>
      </c>
      <c r="BR109" s="18" t="s">
        <v>118</v>
      </c>
      <c r="BS109" s="7" t="s">
        <v>254</v>
      </c>
      <c r="BT109" s="7" t="s">
        <v>127</v>
      </c>
      <c r="BU109" s="7" t="s">
        <v>127</v>
      </c>
      <c r="BV109" s="8" t="s">
        <v>127</v>
      </c>
      <c r="BW109" s="23" t="s">
        <v>127</v>
      </c>
      <c r="BX109" s="24" t="s">
        <v>127</v>
      </c>
      <c r="BY109" s="21" t="s">
        <v>108</v>
      </c>
      <c r="BZ109" s="21" t="s">
        <v>108</v>
      </c>
      <c r="CA109" s="21"/>
      <c r="CB109" s="21"/>
      <c r="CC109" s="21"/>
      <c r="CD109" s="21"/>
      <c r="CE109" s="21" t="s">
        <v>108</v>
      </c>
      <c r="CF109" s="21"/>
      <c r="CG109" s="21" t="s">
        <v>108</v>
      </c>
      <c r="CH109" s="21"/>
      <c r="CI109" s="21"/>
      <c r="CJ109" s="21" t="s">
        <v>108</v>
      </c>
      <c r="CK109" s="21" t="s">
        <v>108</v>
      </c>
      <c r="CL109" s="21" t="s">
        <v>108</v>
      </c>
      <c r="CM109" s="25"/>
      <c r="CN109" s="25"/>
      <c r="CO109" s="25"/>
      <c r="CP109" s="26"/>
    </row>
    <row r="110" spans="1:94" s="27" customFormat="1" ht="23.25" customHeight="1">
      <c r="A110" s="4">
        <v>6</v>
      </c>
      <c r="B110" s="6"/>
      <c r="C110" s="6"/>
      <c r="D110" s="6"/>
      <c r="E110" s="6"/>
      <c r="F110" s="6"/>
      <c r="G110" s="6"/>
      <c r="H110" s="5"/>
      <c r="I110" s="7" t="s">
        <v>2452</v>
      </c>
      <c r="J110" s="7" t="s">
        <v>166</v>
      </c>
      <c r="K110" s="7" t="s">
        <v>2061</v>
      </c>
      <c r="L110" s="5"/>
      <c r="M110" s="5">
        <v>2095</v>
      </c>
      <c r="N110" s="9">
        <v>3187308671</v>
      </c>
      <c r="O110" s="9" t="s">
        <v>11537</v>
      </c>
      <c r="P110" s="10" t="s">
        <v>2713</v>
      </c>
      <c r="Q110" s="389" t="s">
        <v>2714</v>
      </c>
      <c r="R110" s="8" t="s">
        <v>2445</v>
      </c>
      <c r="S110" s="212" t="s">
        <v>12138</v>
      </c>
      <c r="T110" s="8" t="s">
        <v>2715</v>
      </c>
      <c r="U110" s="11" t="s">
        <v>172</v>
      </c>
      <c r="V110" s="12" t="s">
        <v>94</v>
      </c>
      <c r="W110" s="13">
        <v>43365</v>
      </c>
      <c r="X110" s="13" t="str">
        <f t="shared" ca="1" si="0"/>
        <v>7 Th, 11 Bln</v>
      </c>
      <c r="Y110" s="5" t="s">
        <v>95</v>
      </c>
      <c r="Z110" s="14" t="s">
        <v>127</v>
      </c>
      <c r="AA110" s="5" t="s">
        <v>96</v>
      </c>
      <c r="AB110" s="5" t="s">
        <v>97</v>
      </c>
      <c r="AC110" s="7" t="s">
        <v>2716</v>
      </c>
      <c r="AD110" s="131" t="s">
        <v>239</v>
      </c>
      <c r="AE110" s="131" t="s">
        <v>358</v>
      </c>
      <c r="AF110" s="7" t="s">
        <v>2717</v>
      </c>
      <c r="AG110" s="7" t="s">
        <v>178</v>
      </c>
      <c r="AH110" s="7" t="s">
        <v>178</v>
      </c>
      <c r="AI110" s="7">
        <v>65141</v>
      </c>
      <c r="AJ110" s="7" t="s">
        <v>103</v>
      </c>
      <c r="AK110" s="7" t="s">
        <v>104</v>
      </c>
      <c r="AL110" s="7" t="s">
        <v>2718</v>
      </c>
      <c r="AM110" s="15" t="s">
        <v>127</v>
      </c>
      <c r="AN110" s="15" t="s">
        <v>2719</v>
      </c>
      <c r="AO110" s="8">
        <v>5</v>
      </c>
      <c r="AP110" s="8" t="s">
        <v>1204</v>
      </c>
      <c r="AQ110" s="8" t="s">
        <v>127</v>
      </c>
      <c r="AR110" s="8" t="s">
        <v>127</v>
      </c>
      <c r="AS110" s="132" t="s">
        <v>2720</v>
      </c>
      <c r="AT110" s="131" t="s">
        <v>2593</v>
      </c>
      <c r="AU110" s="132" t="s">
        <v>182</v>
      </c>
      <c r="AV110" s="16" t="s">
        <v>112</v>
      </c>
      <c r="AW110" s="56"/>
      <c r="AX110" s="56" t="s">
        <v>441</v>
      </c>
      <c r="AY110" s="56" t="s">
        <v>2721</v>
      </c>
      <c r="AZ110" s="7" t="s">
        <v>2722</v>
      </c>
      <c r="BA110" s="10" t="s">
        <v>713</v>
      </c>
      <c r="BB110" s="52">
        <v>27918</v>
      </c>
      <c r="BC110" s="17" t="s">
        <v>96</v>
      </c>
      <c r="BD110" s="17" t="s">
        <v>2723</v>
      </c>
      <c r="BE110" s="18" t="s">
        <v>118</v>
      </c>
      <c r="BF110" s="7" t="s">
        <v>247</v>
      </c>
      <c r="BG110" s="7" t="s">
        <v>2724</v>
      </c>
      <c r="BH110" s="7" t="s">
        <v>2725</v>
      </c>
      <c r="BI110" s="7" t="s">
        <v>127</v>
      </c>
      <c r="BJ110" s="19" t="s">
        <v>2726</v>
      </c>
      <c r="BK110" s="20" t="s">
        <v>2727</v>
      </c>
      <c r="BL110" s="58" t="s">
        <v>2728</v>
      </c>
      <c r="BM110" s="7" t="s">
        <v>2729</v>
      </c>
      <c r="BN110" s="22" t="s">
        <v>511</v>
      </c>
      <c r="BO110" s="49">
        <v>29580</v>
      </c>
      <c r="BP110" s="17" t="s">
        <v>96</v>
      </c>
      <c r="BQ110" s="17" t="s">
        <v>2719</v>
      </c>
      <c r="BR110" s="18" t="s">
        <v>216</v>
      </c>
      <c r="BS110" s="7" t="s">
        <v>126</v>
      </c>
      <c r="BT110" s="7" t="s">
        <v>127</v>
      </c>
      <c r="BU110" s="7" t="s">
        <v>127</v>
      </c>
      <c r="BV110" s="8" t="s">
        <v>127</v>
      </c>
      <c r="BW110" s="23" t="s">
        <v>127</v>
      </c>
      <c r="BX110" s="24" t="s">
        <v>2730</v>
      </c>
      <c r="BY110" s="21" t="s">
        <v>127</v>
      </c>
      <c r="BZ110" s="21" t="s">
        <v>127</v>
      </c>
      <c r="CA110" s="21"/>
      <c r="CB110" s="21"/>
      <c r="CC110" s="21" t="s">
        <v>127</v>
      </c>
      <c r="CD110" s="21"/>
      <c r="CE110" s="21" t="s">
        <v>127</v>
      </c>
      <c r="CF110" s="21"/>
      <c r="CG110" s="21" t="s">
        <v>127</v>
      </c>
      <c r="CH110" s="21" t="s">
        <v>127</v>
      </c>
      <c r="CI110" s="21" t="s">
        <v>127</v>
      </c>
      <c r="CJ110" s="21" t="s">
        <v>127</v>
      </c>
      <c r="CK110" s="21" t="s">
        <v>127</v>
      </c>
      <c r="CL110" s="21" t="s">
        <v>127</v>
      </c>
      <c r="CM110" s="25"/>
      <c r="CN110" s="25"/>
      <c r="CO110" s="25"/>
      <c r="CP110" s="26"/>
    </row>
    <row r="111" spans="1:94" s="27" customFormat="1" ht="23.25" customHeight="1">
      <c r="A111" s="4">
        <v>7</v>
      </c>
      <c r="B111" s="6"/>
      <c r="C111" s="6"/>
      <c r="D111" s="6"/>
      <c r="E111" s="6"/>
      <c r="F111" s="6"/>
      <c r="G111" s="6"/>
      <c r="H111" s="5"/>
      <c r="I111" s="7" t="s">
        <v>2684</v>
      </c>
      <c r="J111" s="7" t="s">
        <v>2794</v>
      </c>
      <c r="K111" s="7" t="s">
        <v>2795</v>
      </c>
      <c r="L111" s="5"/>
      <c r="M111" s="5">
        <v>2099</v>
      </c>
      <c r="N111" s="9">
        <v>3180105380</v>
      </c>
      <c r="O111" s="9" t="s">
        <v>11538</v>
      </c>
      <c r="P111" s="10" t="s">
        <v>2796</v>
      </c>
      <c r="Q111" s="389" t="s">
        <v>11456</v>
      </c>
      <c r="R111" s="8" t="s">
        <v>2445</v>
      </c>
      <c r="S111" s="212" t="s">
        <v>12138</v>
      </c>
      <c r="T111" s="8" t="s">
        <v>2797</v>
      </c>
      <c r="U111" s="11" t="s">
        <v>172</v>
      </c>
      <c r="V111" s="12" t="s">
        <v>94</v>
      </c>
      <c r="W111" s="13">
        <v>43328</v>
      </c>
      <c r="X111" s="13" t="str">
        <f t="shared" ca="1" si="0"/>
        <v>8 Th, 1 Bln</v>
      </c>
      <c r="Y111" s="5" t="s">
        <v>95</v>
      </c>
      <c r="Z111" s="14" t="s">
        <v>108</v>
      </c>
      <c r="AA111" s="5" t="s">
        <v>96</v>
      </c>
      <c r="AB111" s="5" t="s">
        <v>97</v>
      </c>
      <c r="AC111" s="7" t="s">
        <v>2798</v>
      </c>
      <c r="AD111" s="131" t="s">
        <v>966</v>
      </c>
      <c r="AE111" s="131" t="s">
        <v>1281</v>
      </c>
      <c r="AF111" s="7" t="s">
        <v>2799</v>
      </c>
      <c r="AG111" s="7" t="s">
        <v>547</v>
      </c>
      <c r="AH111" s="7" t="s">
        <v>178</v>
      </c>
      <c r="AI111" s="7">
        <v>65142</v>
      </c>
      <c r="AJ111" s="7" t="s">
        <v>103</v>
      </c>
      <c r="AK111" s="7" t="s">
        <v>179</v>
      </c>
      <c r="AL111" s="7" t="s">
        <v>2800</v>
      </c>
      <c r="AM111" s="15" t="s">
        <v>2801</v>
      </c>
      <c r="AN111" s="15" t="s">
        <v>2802</v>
      </c>
      <c r="AO111" s="8">
        <v>3</v>
      </c>
      <c r="AP111" s="8" t="s">
        <v>107</v>
      </c>
      <c r="AQ111" s="8" t="s">
        <v>147</v>
      </c>
      <c r="AR111" s="8" t="s">
        <v>147</v>
      </c>
      <c r="AS111" s="132" t="s">
        <v>2508</v>
      </c>
      <c r="AT111" s="131" t="s">
        <v>2803</v>
      </c>
      <c r="AU111" s="132" t="s">
        <v>182</v>
      </c>
      <c r="AV111" s="16" t="s">
        <v>112</v>
      </c>
      <c r="AW111" s="56"/>
      <c r="AX111" s="56" t="s">
        <v>2208</v>
      </c>
      <c r="AY111" s="56" t="s">
        <v>2804</v>
      </c>
      <c r="AZ111" s="7" t="s">
        <v>2805</v>
      </c>
      <c r="BA111" s="10" t="s">
        <v>2806</v>
      </c>
      <c r="BB111" s="52">
        <v>29751</v>
      </c>
      <c r="BC111" s="17" t="s">
        <v>96</v>
      </c>
      <c r="BD111" s="17" t="s">
        <v>2807</v>
      </c>
      <c r="BE111" s="18" t="s">
        <v>118</v>
      </c>
      <c r="BF111" s="7" t="s">
        <v>2049</v>
      </c>
      <c r="BG111" s="7" t="s">
        <v>2808</v>
      </c>
      <c r="BH111" s="7" t="s">
        <v>2809</v>
      </c>
      <c r="BI111" s="7" t="s">
        <v>127</v>
      </c>
      <c r="BJ111" s="19">
        <v>4000000</v>
      </c>
      <c r="BK111" s="20" t="s">
        <v>2810</v>
      </c>
      <c r="BL111" s="58" t="s">
        <v>2811</v>
      </c>
      <c r="BM111" s="7" t="s">
        <v>2812</v>
      </c>
      <c r="BN111" s="22" t="s">
        <v>94</v>
      </c>
      <c r="BO111" s="49">
        <v>31648</v>
      </c>
      <c r="BP111" s="17" t="s">
        <v>96</v>
      </c>
      <c r="BQ111" s="17" t="s">
        <v>2813</v>
      </c>
      <c r="BR111" s="18" t="s">
        <v>118</v>
      </c>
      <c r="BS111" s="7" t="s">
        <v>327</v>
      </c>
      <c r="BT111" s="7" t="s">
        <v>2814</v>
      </c>
      <c r="BU111" s="7" t="s">
        <v>127</v>
      </c>
      <c r="BV111" s="8" t="s">
        <v>127</v>
      </c>
      <c r="BW111" s="23">
        <v>4000000</v>
      </c>
      <c r="BX111" s="24" t="s">
        <v>2815</v>
      </c>
      <c r="BY111" s="21" t="s">
        <v>2816</v>
      </c>
      <c r="BZ111" s="21" t="s">
        <v>94</v>
      </c>
      <c r="CA111" s="21">
        <v>20300</v>
      </c>
      <c r="CB111" s="21"/>
      <c r="CC111" s="21" t="s">
        <v>2817</v>
      </c>
      <c r="CD111" s="21" t="s">
        <v>2818</v>
      </c>
      <c r="CE111" s="21" t="s">
        <v>127</v>
      </c>
      <c r="CF111" s="21" t="s">
        <v>96</v>
      </c>
      <c r="CG111" s="21" t="s">
        <v>2819</v>
      </c>
      <c r="CH111" s="21" t="s">
        <v>176</v>
      </c>
      <c r="CI111" s="21" t="s">
        <v>358</v>
      </c>
      <c r="CJ111" s="21" t="s">
        <v>921</v>
      </c>
      <c r="CK111" s="21" t="s">
        <v>687</v>
      </c>
      <c r="CL111" s="21" t="s">
        <v>94</v>
      </c>
      <c r="CM111" s="25"/>
      <c r="CN111" s="25"/>
      <c r="CO111" s="25"/>
      <c r="CP111" s="26"/>
    </row>
    <row r="112" spans="1:94" s="27" customFormat="1" ht="23.25" customHeight="1">
      <c r="A112" s="4">
        <v>8</v>
      </c>
      <c r="B112" s="6"/>
      <c r="C112" s="6"/>
      <c r="D112" s="6"/>
      <c r="E112" s="6"/>
      <c r="F112" s="6"/>
      <c r="G112" s="6"/>
      <c r="H112" s="5"/>
      <c r="I112" s="7" t="s">
        <v>2452</v>
      </c>
      <c r="J112" s="7" t="s">
        <v>2820</v>
      </c>
      <c r="K112" s="7" t="s">
        <v>2821</v>
      </c>
      <c r="L112" s="5"/>
      <c r="M112" s="5">
        <v>2100</v>
      </c>
      <c r="N112" s="9">
        <v>3184435312</v>
      </c>
      <c r="O112" s="9" t="s">
        <v>11539</v>
      </c>
      <c r="P112" s="10" t="s">
        <v>2822</v>
      </c>
      <c r="Q112" s="389" t="s">
        <v>2823</v>
      </c>
      <c r="R112" s="8" t="s">
        <v>2445</v>
      </c>
      <c r="S112" s="212" t="s">
        <v>12138</v>
      </c>
      <c r="T112" s="8" t="s">
        <v>2824</v>
      </c>
      <c r="U112" s="11" t="s">
        <v>172</v>
      </c>
      <c r="V112" s="12" t="s">
        <v>94</v>
      </c>
      <c r="W112" s="13">
        <v>43253</v>
      </c>
      <c r="X112" s="13" t="str">
        <f t="shared" ca="1" si="0"/>
        <v>8 Th, 3 Bln</v>
      </c>
      <c r="Y112" s="5" t="s">
        <v>95</v>
      </c>
      <c r="Z112" s="14" t="s">
        <v>108</v>
      </c>
      <c r="AA112" s="5" t="s">
        <v>96</v>
      </c>
      <c r="AB112" s="5" t="s">
        <v>97</v>
      </c>
      <c r="AC112" s="7" t="s">
        <v>2825</v>
      </c>
      <c r="AD112" s="131">
        <v>2</v>
      </c>
      <c r="AE112" s="131">
        <v>15</v>
      </c>
      <c r="AF112" s="7" t="s">
        <v>2826</v>
      </c>
      <c r="AG112" s="7" t="s">
        <v>410</v>
      </c>
      <c r="AH112" s="7" t="s">
        <v>141</v>
      </c>
      <c r="AI112" s="7">
        <v>65153</v>
      </c>
      <c r="AJ112" s="7" t="s">
        <v>142</v>
      </c>
      <c r="AK112" s="7" t="s">
        <v>104</v>
      </c>
      <c r="AL112" s="7" t="s">
        <v>2827</v>
      </c>
      <c r="AM112" s="15" t="s">
        <v>2828</v>
      </c>
      <c r="AN112" s="15" t="s">
        <v>2828</v>
      </c>
      <c r="AO112" s="8">
        <v>1</v>
      </c>
      <c r="AP112" s="8" t="s">
        <v>147</v>
      </c>
      <c r="AQ112" s="8" t="s">
        <v>107</v>
      </c>
      <c r="AR112" s="8" t="s">
        <v>147</v>
      </c>
      <c r="AS112" s="132" t="s">
        <v>2829</v>
      </c>
      <c r="AT112" s="131" t="s">
        <v>2483</v>
      </c>
      <c r="AU112" s="132" t="s">
        <v>149</v>
      </c>
      <c r="AV112" s="16" t="s">
        <v>212</v>
      </c>
      <c r="AW112" s="56"/>
      <c r="AX112" s="56" t="s">
        <v>441</v>
      </c>
      <c r="AY112" s="56" t="s">
        <v>2830</v>
      </c>
      <c r="AZ112" s="7" t="s">
        <v>2831</v>
      </c>
      <c r="BA112" s="10" t="s">
        <v>444</v>
      </c>
      <c r="BB112" s="52">
        <v>33258</v>
      </c>
      <c r="BC112" s="17" t="s">
        <v>96</v>
      </c>
      <c r="BD112" s="17">
        <v>0</v>
      </c>
      <c r="BE112" s="18" t="s">
        <v>118</v>
      </c>
      <c r="BF112" s="7" t="s">
        <v>471</v>
      </c>
      <c r="BG112" s="7" t="s">
        <v>2832</v>
      </c>
      <c r="BH112" s="7" t="s">
        <v>147</v>
      </c>
      <c r="BI112" s="7">
        <v>0</v>
      </c>
      <c r="BJ112" s="19">
        <v>0</v>
      </c>
      <c r="BK112" s="20">
        <v>0</v>
      </c>
      <c r="BL112" s="58" t="s">
        <v>2833</v>
      </c>
      <c r="BM112" s="7" t="s">
        <v>2834</v>
      </c>
      <c r="BN112" s="22" t="s">
        <v>511</v>
      </c>
      <c r="BO112" s="49">
        <v>33788</v>
      </c>
      <c r="BP112" s="17" t="s">
        <v>96</v>
      </c>
      <c r="BQ112" s="17" t="s">
        <v>2828</v>
      </c>
      <c r="BR112" s="18" t="s">
        <v>118</v>
      </c>
      <c r="BS112" s="7" t="s">
        <v>471</v>
      </c>
      <c r="BT112" s="7" t="s">
        <v>2835</v>
      </c>
      <c r="BU112" s="7" t="s">
        <v>2836</v>
      </c>
      <c r="BV112" s="8" t="s">
        <v>147</v>
      </c>
      <c r="BW112" s="23" t="s">
        <v>2060</v>
      </c>
      <c r="BX112" s="24" t="s">
        <v>2837</v>
      </c>
      <c r="BY112" s="21" t="s">
        <v>2838</v>
      </c>
      <c r="BZ112" s="21" t="s">
        <v>1666</v>
      </c>
      <c r="CA112" s="21">
        <v>29587</v>
      </c>
      <c r="CB112" s="21"/>
      <c r="CC112" s="21" t="s">
        <v>2839</v>
      </c>
      <c r="CD112" s="21" t="s">
        <v>118</v>
      </c>
      <c r="CE112" s="21" t="s">
        <v>503</v>
      </c>
      <c r="CF112" s="21" t="s">
        <v>96</v>
      </c>
      <c r="CG112" s="21" t="s">
        <v>2825</v>
      </c>
      <c r="CH112" s="21">
        <v>2</v>
      </c>
      <c r="CI112" s="21">
        <v>15</v>
      </c>
      <c r="CJ112" s="21" t="s">
        <v>2826</v>
      </c>
      <c r="CK112" s="21" t="s">
        <v>410</v>
      </c>
      <c r="CL112" s="21" t="s">
        <v>142</v>
      </c>
      <c r="CM112" s="25"/>
      <c r="CN112" s="25"/>
      <c r="CO112" s="25"/>
      <c r="CP112" s="26"/>
    </row>
    <row r="113" spans="1:94" s="27" customFormat="1" ht="23.25" customHeight="1">
      <c r="A113" s="4">
        <v>9</v>
      </c>
      <c r="B113" s="28"/>
      <c r="C113" s="28"/>
      <c r="D113" s="28"/>
      <c r="E113" s="28"/>
      <c r="F113" s="28"/>
      <c r="G113" s="28"/>
      <c r="H113" s="29"/>
      <c r="I113" s="30" t="s">
        <v>2452</v>
      </c>
      <c r="J113" s="30" t="s">
        <v>166</v>
      </c>
      <c r="K113" s="30" t="s">
        <v>1993</v>
      </c>
      <c r="L113" s="29"/>
      <c r="M113" s="29">
        <v>2106</v>
      </c>
      <c r="N113" s="92">
        <v>3196288753</v>
      </c>
      <c r="O113" s="92" t="s">
        <v>9445</v>
      </c>
      <c r="P113" s="32" t="s">
        <v>2928</v>
      </c>
      <c r="Q113" s="390" t="s">
        <v>2929</v>
      </c>
      <c r="R113" s="8" t="s">
        <v>2445</v>
      </c>
      <c r="S113" s="212" t="s">
        <v>12138</v>
      </c>
      <c r="T113" s="31" t="s">
        <v>2930</v>
      </c>
      <c r="U113" s="33" t="s">
        <v>93</v>
      </c>
      <c r="V113" s="34" t="s">
        <v>2931</v>
      </c>
      <c r="W113" s="35">
        <v>43477</v>
      </c>
      <c r="X113" s="35" t="str">
        <f t="shared" ca="1" si="0"/>
        <v>7 Th, 8 Bln</v>
      </c>
      <c r="Y113" s="29" t="s">
        <v>425</v>
      </c>
      <c r="Z113" s="36" t="s">
        <v>2932</v>
      </c>
      <c r="AA113" s="29" t="s">
        <v>96</v>
      </c>
      <c r="AB113" s="29" t="s">
        <v>97</v>
      </c>
      <c r="AC113" s="30" t="s">
        <v>2933</v>
      </c>
      <c r="AD113" s="129">
        <v>10</v>
      </c>
      <c r="AE113" s="129" t="s">
        <v>137</v>
      </c>
      <c r="AF113" s="30" t="s">
        <v>177</v>
      </c>
      <c r="AG113" s="30" t="s">
        <v>178</v>
      </c>
      <c r="AH113" s="30" t="s">
        <v>178</v>
      </c>
      <c r="AI113" s="30">
        <v>65141</v>
      </c>
      <c r="AJ113" s="30" t="s">
        <v>103</v>
      </c>
      <c r="AK113" s="30" t="s">
        <v>179</v>
      </c>
      <c r="AL113" s="30" t="s">
        <v>2934</v>
      </c>
      <c r="AM113" s="37" t="s">
        <v>2935</v>
      </c>
      <c r="AN113" s="37" t="s">
        <v>2935</v>
      </c>
      <c r="AO113" s="31">
        <v>3</v>
      </c>
      <c r="AP113" s="31" t="s">
        <v>107</v>
      </c>
      <c r="AQ113" s="31" t="s">
        <v>147</v>
      </c>
      <c r="AR113" s="31" t="s">
        <v>147</v>
      </c>
      <c r="AS113" s="130" t="s">
        <v>2936</v>
      </c>
      <c r="AT113" s="129" t="s">
        <v>2937</v>
      </c>
      <c r="AU113" s="130" t="s">
        <v>182</v>
      </c>
      <c r="AV113" s="38" t="s">
        <v>112</v>
      </c>
      <c r="AW113" s="123"/>
      <c r="AX113" s="123" t="s">
        <v>114</v>
      </c>
      <c r="AY113" s="123" t="s">
        <v>2938</v>
      </c>
      <c r="AZ113" s="30" t="s">
        <v>2939</v>
      </c>
      <c r="BA113" s="32" t="s">
        <v>469</v>
      </c>
      <c r="BB113" s="53">
        <v>30995</v>
      </c>
      <c r="BC113" s="39" t="s">
        <v>96</v>
      </c>
      <c r="BD113" s="39" t="s">
        <v>2940</v>
      </c>
      <c r="BE113" s="40" t="s">
        <v>118</v>
      </c>
      <c r="BF113" s="30" t="s">
        <v>119</v>
      </c>
      <c r="BG113" s="30" t="s">
        <v>2941</v>
      </c>
      <c r="BH113" s="30" t="s">
        <v>2942</v>
      </c>
      <c r="BI113" s="30" t="s">
        <v>2943</v>
      </c>
      <c r="BJ113" s="41" t="s">
        <v>2944</v>
      </c>
      <c r="BK113" s="111" t="s">
        <v>2945</v>
      </c>
      <c r="BL113" s="124" t="s">
        <v>2946</v>
      </c>
      <c r="BM113" s="30" t="s">
        <v>2947</v>
      </c>
      <c r="BN113" s="125" t="s">
        <v>469</v>
      </c>
      <c r="BO113" s="50">
        <v>31567</v>
      </c>
      <c r="BP113" s="39" t="s">
        <v>96</v>
      </c>
      <c r="BQ113" s="39" t="s">
        <v>2935</v>
      </c>
      <c r="BR113" s="40" t="s">
        <v>118</v>
      </c>
      <c r="BS113" s="30" t="s">
        <v>126</v>
      </c>
      <c r="BT113" s="30" t="s">
        <v>127</v>
      </c>
      <c r="BU113" s="30" t="s">
        <v>127</v>
      </c>
      <c r="BV113" s="31" t="s">
        <v>127</v>
      </c>
      <c r="BW113" s="126" t="s">
        <v>127</v>
      </c>
      <c r="BX113" s="127" t="s">
        <v>2948</v>
      </c>
      <c r="BY113" s="47" t="s">
        <v>2949</v>
      </c>
      <c r="BZ113" s="47" t="s">
        <v>469</v>
      </c>
      <c r="CA113" s="47">
        <v>30995</v>
      </c>
      <c r="CB113" s="47"/>
      <c r="CC113" s="47" t="s">
        <v>2940</v>
      </c>
      <c r="CD113" s="47" t="s">
        <v>118</v>
      </c>
      <c r="CE113" s="47" t="s">
        <v>119</v>
      </c>
      <c r="CF113" s="47" t="s">
        <v>96</v>
      </c>
      <c r="CG113" s="47" t="s">
        <v>2933</v>
      </c>
      <c r="CH113" s="47">
        <v>10</v>
      </c>
      <c r="CI113" s="47" t="s">
        <v>137</v>
      </c>
      <c r="CJ113" s="47" t="s">
        <v>177</v>
      </c>
      <c r="CK113" s="47" t="s">
        <v>178</v>
      </c>
      <c r="CL113" s="47" t="s">
        <v>103</v>
      </c>
      <c r="CM113" s="25"/>
      <c r="CN113" s="25"/>
      <c r="CO113" s="25"/>
      <c r="CP113" s="26"/>
    </row>
    <row r="114" spans="1:94" s="27" customFormat="1" ht="23.25" customHeight="1">
      <c r="A114" s="4">
        <v>10</v>
      </c>
      <c r="B114" s="6"/>
      <c r="C114" s="6"/>
      <c r="D114" s="6"/>
      <c r="E114" s="6"/>
      <c r="F114" s="6"/>
      <c r="G114" s="6"/>
      <c r="H114" s="5"/>
      <c r="I114" s="7" t="s">
        <v>2452</v>
      </c>
      <c r="J114" s="7" t="s">
        <v>3033</v>
      </c>
      <c r="K114" s="7" t="s">
        <v>3034</v>
      </c>
      <c r="L114" s="5"/>
      <c r="M114" s="5">
        <v>2111</v>
      </c>
      <c r="N114" s="9">
        <v>3185462934</v>
      </c>
      <c r="O114" s="9" t="s">
        <v>11540</v>
      </c>
      <c r="P114" s="10" t="s">
        <v>3035</v>
      </c>
      <c r="Q114" s="389" t="s">
        <v>3036</v>
      </c>
      <c r="R114" s="8" t="s">
        <v>2445</v>
      </c>
      <c r="S114" s="212" t="s">
        <v>12138</v>
      </c>
      <c r="T114" s="8" t="s">
        <v>3037</v>
      </c>
      <c r="U114" s="11" t="s">
        <v>172</v>
      </c>
      <c r="V114" s="12" t="s">
        <v>94</v>
      </c>
      <c r="W114" s="13">
        <v>43448</v>
      </c>
      <c r="X114" s="13" t="str">
        <f t="shared" ca="1" si="0"/>
        <v>7 Th, 9 Bln</v>
      </c>
      <c r="Y114" s="5" t="s">
        <v>95</v>
      </c>
      <c r="Z114" s="14" t="s">
        <v>108</v>
      </c>
      <c r="AA114" s="5" t="s">
        <v>96</v>
      </c>
      <c r="AB114" s="5" t="s">
        <v>97</v>
      </c>
      <c r="AC114" s="7" t="s">
        <v>3038</v>
      </c>
      <c r="AD114" s="131" t="s">
        <v>207</v>
      </c>
      <c r="AE114" s="131" t="s">
        <v>294</v>
      </c>
      <c r="AF114" s="7" t="s">
        <v>1244</v>
      </c>
      <c r="AG114" s="7" t="s">
        <v>3039</v>
      </c>
      <c r="AH114" s="7" t="s">
        <v>102</v>
      </c>
      <c r="AI114" s="7">
        <v>65146</v>
      </c>
      <c r="AJ114" s="7" t="s">
        <v>544</v>
      </c>
      <c r="AK114" s="7" t="s">
        <v>179</v>
      </c>
      <c r="AL114" s="7" t="s">
        <v>1436</v>
      </c>
      <c r="AM114" s="15" t="s">
        <v>3040</v>
      </c>
      <c r="AN114" s="15" t="s">
        <v>3040</v>
      </c>
      <c r="AO114" s="8">
        <v>1</v>
      </c>
      <c r="AP114" s="8" t="s">
        <v>147</v>
      </c>
      <c r="AQ114" s="8" t="s">
        <v>147</v>
      </c>
      <c r="AR114" s="8" t="s">
        <v>147</v>
      </c>
      <c r="AS114" s="132" t="s">
        <v>2694</v>
      </c>
      <c r="AT114" s="131" t="s">
        <v>2593</v>
      </c>
      <c r="AU114" s="132" t="s">
        <v>182</v>
      </c>
      <c r="AV114" s="16" t="s">
        <v>112</v>
      </c>
      <c r="AW114" s="56"/>
      <c r="AX114" s="56" t="s">
        <v>114</v>
      </c>
      <c r="AY114" s="56" t="s">
        <v>3041</v>
      </c>
      <c r="AZ114" s="7" t="s">
        <v>3042</v>
      </c>
      <c r="BA114" s="10" t="s">
        <v>94</v>
      </c>
      <c r="BB114" s="52">
        <v>31543</v>
      </c>
      <c r="BC114" s="17" t="s">
        <v>96</v>
      </c>
      <c r="BD114" s="17" t="s">
        <v>3043</v>
      </c>
      <c r="BE114" s="18" t="s">
        <v>118</v>
      </c>
      <c r="BF114" s="7" t="s">
        <v>596</v>
      </c>
      <c r="BG114" s="7" t="s">
        <v>3044</v>
      </c>
      <c r="BH114" s="7" t="s">
        <v>3045</v>
      </c>
      <c r="BI114" s="7"/>
      <c r="BJ114" s="19">
        <v>15</v>
      </c>
      <c r="BK114" s="20" t="s">
        <v>3046</v>
      </c>
      <c r="BL114" s="58" t="s">
        <v>3047</v>
      </c>
      <c r="BM114" s="7" t="s">
        <v>3048</v>
      </c>
      <c r="BN114" s="22" t="s">
        <v>519</v>
      </c>
      <c r="BO114" s="49">
        <v>32591</v>
      </c>
      <c r="BP114" s="17" t="s">
        <v>96</v>
      </c>
      <c r="BQ114" s="17" t="s">
        <v>3040</v>
      </c>
      <c r="BR114" s="18" t="s">
        <v>153</v>
      </c>
      <c r="BS114" s="7" t="s">
        <v>3049</v>
      </c>
      <c r="BT114" s="7" t="s">
        <v>2903</v>
      </c>
      <c r="BU114" s="7" t="s">
        <v>3038</v>
      </c>
      <c r="BV114" s="8" t="s">
        <v>108</v>
      </c>
      <c r="BW114" s="23" t="s">
        <v>1774</v>
      </c>
      <c r="BX114" s="24" t="s">
        <v>3050</v>
      </c>
      <c r="BY114" s="21" t="s">
        <v>108</v>
      </c>
      <c r="BZ114" s="21" t="s">
        <v>108</v>
      </c>
      <c r="CA114" s="21"/>
      <c r="CB114" s="21"/>
      <c r="CC114" s="21"/>
      <c r="CD114" s="21"/>
      <c r="CE114" s="21" t="s">
        <v>108</v>
      </c>
      <c r="CF114" s="21"/>
      <c r="CG114" s="21" t="s">
        <v>108</v>
      </c>
      <c r="CH114" s="21"/>
      <c r="CI114" s="21"/>
      <c r="CJ114" s="21" t="s">
        <v>108</v>
      </c>
      <c r="CK114" s="21" t="s">
        <v>108</v>
      </c>
      <c r="CL114" s="21" t="s">
        <v>108</v>
      </c>
      <c r="CM114" s="25"/>
      <c r="CN114" s="25"/>
      <c r="CO114" s="25"/>
      <c r="CP114" s="26"/>
    </row>
    <row r="115" spans="1:94" s="27" customFormat="1" ht="23.25" customHeight="1">
      <c r="A115" s="4">
        <v>11</v>
      </c>
      <c r="B115" s="6"/>
      <c r="C115" s="6"/>
      <c r="D115" s="6"/>
      <c r="E115" s="6"/>
      <c r="F115" s="6"/>
      <c r="G115" s="6"/>
      <c r="H115" s="5"/>
      <c r="I115" s="7" t="s">
        <v>2452</v>
      </c>
      <c r="J115" s="7" t="s">
        <v>3162</v>
      </c>
      <c r="K115" s="7" t="s">
        <v>3163</v>
      </c>
      <c r="L115" s="5"/>
      <c r="M115" s="5">
        <v>2118</v>
      </c>
      <c r="N115" s="9">
        <v>3189636439</v>
      </c>
      <c r="O115" s="9" t="s">
        <v>11541</v>
      </c>
      <c r="P115" s="10" t="s">
        <v>3164</v>
      </c>
      <c r="Q115" s="389" t="s">
        <v>3165</v>
      </c>
      <c r="R115" s="8" t="s">
        <v>2445</v>
      </c>
      <c r="S115" s="212" t="s">
        <v>12138</v>
      </c>
      <c r="T115" s="8" t="s">
        <v>3166</v>
      </c>
      <c r="U115" s="11" t="s">
        <v>93</v>
      </c>
      <c r="V115" s="12" t="s">
        <v>94</v>
      </c>
      <c r="W115" s="13">
        <v>43315</v>
      </c>
      <c r="X115" s="13" t="str">
        <f t="shared" ca="1" si="0"/>
        <v>8 Th, 1 Bln</v>
      </c>
      <c r="Y115" s="5" t="s">
        <v>95</v>
      </c>
      <c r="Z115" s="14" t="s">
        <v>1326</v>
      </c>
      <c r="AA115" s="5" t="s">
        <v>96</v>
      </c>
      <c r="AB115" s="5" t="s">
        <v>97</v>
      </c>
      <c r="AC115" s="7" t="s">
        <v>3167</v>
      </c>
      <c r="AD115" s="131" t="s">
        <v>3168</v>
      </c>
      <c r="AE115" s="131" t="s">
        <v>966</v>
      </c>
      <c r="AF115" s="7" t="s">
        <v>1070</v>
      </c>
      <c r="AG115" s="7" t="s">
        <v>994</v>
      </c>
      <c r="AH115" s="7" t="s">
        <v>141</v>
      </c>
      <c r="AI115" s="7">
        <v>65324</v>
      </c>
      <c r="AJ115" s="7" t="s">
        <v>2024</v>
      </c>
      <c r="AK115" s="7" t="s">
        <v>104</v>
      </c>
      <c r="AL115" s="7" t="s">
        <v>3169</v>
      </c>
      <c r="AM115" s="15" t="s">
        <v>1326</v>
      </c>
      <c r="AN115" s="15" t="s">
        <v>3170</v>
      </c>
      <c r="AO115" s="8">
        <v>2</v>
      </c>
      <c r="AP115" s="8" t="s">
        <v>146</v>
      </c>
      <c r="AQ115" s="8" t="s">
        <v>1326</v>
      </c>
      <c r="AR115" s="8" t="s">
        <v>1326</v>
      </c>
      <c r="AS115" s="132" t="s">
        <v>3171</v>
      </c>
      <c r="AT115" s="131" t="s">
        <v>2593</v>
      </c>
      <c r="AU115" s="132" t="s">
        <v>149</v>
      </c>
      <c r="AV115" s="16" t="s">
        <v>112</v>
      </c>
      <c r="AW115" s="56"/>
      <c r="AX115" s="56" t="s">
        <v>183</v>
      </c>
      <c r="AY115" s="56" t="s">
        <v>3172</v>
      </c>
      <c r="AZ115" s="7" t="s">
        <v>3173</v>
      </c>
      <c r="BA115" s="10" t="s">
        <v>719</v>
      </c>
      <c r="BB115" s="52">
        <v>32176</v>
      </c>
      <c r="BC115" s="17" t="s">
        <v>96</v>
      </c>
      <c r="BD115" s="17" t="s">
        <v>3174</v>
      </c>
      <c r="BE115" s="18" t="s">
        <v>216</v>
      </c>
      <c r="BF115" s="7" t="s">
        <v>596</v>
      </c>
      <c r="BG115" s="7" t="s">
        <v>3175</v>
      </c>
      <c r="BH115" s="7" t="s">
        <v>3175</v>
      </c>
      <c r="BI115" s="7" t="s">
        <v>3176</v>
      </c>
      <c r="BJ115" s="19" t="s">
        <v>2707</v>
      </c>
      <c r="BK115" s="20" t="s">
        <v>3177</v>
      </c>
      <c r="BL115" s="58" t="s">
        <v>3178</v>
      </c>
      <c r="BM115" s="7" t="s">
        <v>3179</v>
      </c>
      <c r="BN115" s="22" t="s">
        <v>3180</v>
      </c>
      <c r="BO115" s="49">
        <v>32234</v>
      </c>
      <c r="BP115" s="17" t="s">
        <v>96</v>
      </c>
      <c r="BQ115" s="17" t="s">
        <v>3170</v>
      </c>
      <c r="BR115" s="18" t="s">
        <v>118</v>
      </c>
      <c r="BS115" s="7" t="s">
        <v>126</v>
      </c>
      <c r="BT115" s="7" t="s">
        <v>127</v>
      </c>
      <c r="BU115" s="7" t="s">
        <v>127</v>
      </c>
      <c r="BV115" s="8" t="s">
        <v>127</v>
      </c>
      <c r="BW115" s="23" t="s">
        <v>127</v>
      </c>
      <c r="BX115" s="24" t="s">
        <v>3181</v>
      </c>
      <c r="BY115" s="21" t="s">
        <v>3182</v>
      </c>
      <c r="BZ115" s="21" t="s">
        <v>3183</v>
      </c>
      <c r="CA115" s="21">
        <v>23977</v>
      </c>
      <c r="CB115" s="21"/>
      <c r="CC115" s="21" t="s">
        <v>3184</v>
      </c>
      <c r="CD115" s="21" t="s">
        <v>118</v>
      </c>
      <c r="CE115" s="21" t="s">
        <v>126</v>
      </c>
      <c r="CF115" s="21" t="s">
        <v>96</v>
      </c>
      <c r="CG115" s="21" t="s">
        <v>3185</v>
      </c>
      <c r="CH115" s="21" t="s">
        <v>239</v>
      </c>
      <c r="CI115" s="21" t="s">
        <v>294</v>
      </c>
      <c r="CJ115" s="21" t="s">
        <v>3186</v>
      </c>
      <c r="CK115" s="21" t="s">
        <v>3187</v>
      </c>
      <c r="CL115" s="21" t="s">
        <v>3188</v>
      </c>
      <c r="CM115" s="25"/>
      <c r="CN115" s="25"/>
      <c r="CO115" s="25"/>
      <c r="CP115" s="26"/>
    </row>
    <row r="116" spans="1:94" s="27" customFormat="1" ht="23.25" customHeight="1">
      <c r="A116" s="4">
        <v>12</v>
      </c>
      <c r="B116" s="6"/>
      <c r="C116" s="6"/>
      <c r="D116" s="6"/>
      <c r="E116" s="6"/>
      <c r="F116" s="6"/>
      <c r="G116" s="6"/>
      <c r="H116" s="5"/>
      <c r="I116" s="7" t="s">
        <v>86</v>
      </c>
      <c r="J116" s="7" t="s">
        <v>1917</v>
      </c>
      <c r="K116" s="7" t="s">
        <v>3624</v>
      </c>
      <c r="L116" s="5"/>
      <c r="M116" s="5">
        <v>2141</v>
      </c>
      <c r="N116" s="9">
        <v>3182553803</v>
      </c>
      <c r="O116" s="9" t="s">
        <v>11542</v>
      </c>
      <c r="P116" s="10" t="s">
        <v>3625</v>
      </c>
      <c r="Q116" s="389" t="s">
        <v>3626</v>
      </c>
      <c r="R116" s="8" t="s">
        <v>2445</v>
      </c>
      <c r="S116" s="212" t="s">
        <v>12138</v>
      </c>
      <c r="T116" s="8" t="s">
        <v>1279</v>
      </c>
      <c r="U116" s="11" t="s">
        <v>93</v>
      </c>
      <c r="V116" s="12" t="s">
        <v>94</v>
      </c>
      <c r="W116" s="13">
        <v>43243</v>
      </c>
      <c r="X116" s="13" t="str">
        <f t="shared" ca="1" si="0"/>
        <v>8 Th, 3 Bln</v>
      </c>
      <c r="Y116" s="5" t="s">
        <v>95</v>
      </c>
      <c r="Z116" s="14" t="s">
        <v>108</v>
      </c>
      <c r="AA116" s="5" t="s">
        <v>96</v>
      </c>
      <c r="AB116" s="5" t="s">
        <v>97</v>
      </c>
      <c r="AC116" s="7" t="s">
        <v>3627</v>
      </c>
      <c r="AD116" s="131" t="s">
        <v>137</v>
      </c>
      <c r="AE116" s="131" t="s">
        <v>99</v>
      </c>
      <c r="AF116" s="7" t="s">
        <v>521</v>
      </c>
      <c r="AG116" s="7" t="s">
        <v>178</v>
      </c>
      <c r="AH116" s="7" t="s">
        <v>178</v>
      </c>
      <c r="AI116" s="7"/>
      <c r="AJ116" s="7" t="s">
        <v>103</v>
      </c>
      <c r="AK116" s="7" t="s">
        <v>104</v>
      </c>
      <c r="AL116" s="7" t="s">
        <v>461</v>
      </c>
      <c r="AM116" s="15" t="s">
        <v>127</v>
      </c>
      <c r="AN116" s="15" t="s">
        <v>3628</v>
      </c>
      <c r="AO116" s="8">
        <v>2</v>
      </c>
      <c r="AP116" s="8" t="s">
        <v>146</v>
      </c>
      <c r="AQ116" s="8" t="s">
        <v>108</v>
      </c>
      <c r="AR116" s="8" t="s">
        <v>108</v>
      </c>
      <c r="AS116" s="132" t="s">
        <v>3629</v>
      </c>
      <c r="AT116" s="131" t="s">
        <v>3630</v>
      </c>
      <c r="AU116" s="132" t="s">
        <v>149</v>
      </c>
      <c r="AV116" s="16" t="s">
        <v>112</v>
      </c>
      <c r="AW116" s="56"/>
      <c r="AX116" s="56" t="s">
        <v>183</v>
      </c>
      <c r="AY116" s="56" t="s">
        <v>3631</v>
      </c>
      <c r="AZ116" s="7" t="s">
        <v>3632</v>
      </c>
      <c r="BA116" s="10" t="s">
        <v>94</v>
      </c>
      <c r="BB116" s="52">
        <v>30703</v>
      </c>
      <c r="BC116" s="17" t="s">
        <v>96</v>
      </c>
      <c r="BD116" s="17" t="s">
        <v>3633</v>
      </c>
      <c r="BE116" s="18" t="s">
        <v>118</v>
      </c>
      <c r="BF116" s="7" t="s">
        <v>1571</v>
      </c>
      <c r="BG116" s="7" t="s">
        <v>3634</v>
      </c>
      <c r="BH116" s="7" t="s">
        <v>3635</v>
      </c>
      <c r="BI116" s="7" t="s">
        <v>3636</v>
      </c>
      <c r="BJ116" s="19" t="s">
        <v>3637</v>
      </c>
      <c r="BK116" s="20" t="s">
        <v>3638</v>
      </c>
      <c r="BL116" s="58" t="s">
        <v>3639</v>
      </c>
      <c r="BM116" s="7" t="s">
        <v>3640</v>
      </c>
      <c r="BN116" s="22" t="s">
        <v>94</v>
      </c>
      <c r="BO116" s="49">
        <v>31361</v>
      </c>
      <c r="BP116" s="17" t="s">
        <v>96</v>
      </c>
      <c r="BQ116" s="17" t="s">
        <v>3628</v>
      </c>
      <c r="BR116" s="18" t="s">
        <v>118</v>
      </c>
      <c r="BS116" s="7" t="s">
        <v>126</v>
      </c>
      <c r="BT116" s="7" t="s">
        <v>162</v>
      </c>
      <c r="BU116" s="7" t="s">
        <v>162</v>
      </c>
      <c r="BV116" s="8" t="s">
        <v>162</v>
      </c>
      <c r="BW116" s="23" t="s">
        <v>163</v>
      </c>
      <c r="BX116" s="24" t="s">
        <v>3641</v>
      </c>
      <c r="BY116" s="21" t="s">
        <v>108</v>
      </c>
      <c r="BZ116" s="21" t="s">
        <v>108</v>
      </c>
      <c r="CA116" s="21"/>
      <c r="CB116" s="21"/>
      <c r="CC116" s="21"/>
      <c r="CD116" s="21"/>
      <c r="CE116" s="21" t="s">
        <v>108</v>
      </c>
      <c r="CF116" s="21"/>
      <c r="CG116" s="21" t="s">
        <v>108</v>
      </c>
      <c r="CH116" s="21"/>
      <c r="CI116" s="21"/>
      <c r="CJ116" s="21" t="s">
        <v>108</v>
      </c>
      <c r="CK116" s="21" t="s">
        <v>108</v>
      </c>
      <c r="CL116" s="21" t="s">
        <v>108</v>
      </c>
      <c r="CM116" s="25"/>
      <c r="CN116" s="25"/>
      <c r="CO116" s="25"/>
      <c r="CP116" s="26"/>
    </row>
    <row r="117" spans="1:94" s="27" customFormat="1" ht="23.25" customHeight="1">
      <c r="A117" s="4">
        <v>13</v>
      </c>
      <c r="B117" s="6"/>
      <c r="C117" s="6"/>
      <c r="D117" s="6"/>
      <c r="E117" s="6"/>
      <c r="F117" s="6"/>
      <c r="G117" s="6"/>
      <c r="H117" s="5"/>
      <c r="I117" s="7" t="s">
        <v>2452</v>
      </c>
      <c r="J117" s="7" t="s">
        <v>3682</v>
      </c>
      <c r="K117" s="7" t="s">
        <v>3683</v>
      </c>
      <c r="L117" s="5"/>
      <c r="M117" s="5">
        <v>2144</v>
      </c>
      <c r="N117" s="9">
        <v>3193964119</v>
      </c>
      <c r="O117" s="9" t="s">
        <v>5076</v>
      </c>
      <c r="P117" s="10" t="s">
        <v>3684</v>
      </c>
      <c r="Q117" s="389" t="s">
        <v>3685</v>
      </c>
      <c r="R117" s="8" t="s">
        <v>2445</v>
      </c>
      <c r="S117" s="212" t="s">
        <v>12138</v>
      </c>
      <c r="T117" s="8" t="s">
        <v>3686</v>
      </c>
      <c r="U117" s="11" t="s">
        <v>93</v>
      </c>
      <c r="V117" s="12" t="s">
        <v>94</v>
      </c>
      <c r="W117" s="13">
        <v>43513</v>
      </c>
      <c r="X117" s="13" t="str">
        <f t="shared" ca="1" si="0"/>
        <v>7 Th, 6 Bln</v>
      </c>
      <c r="Y117" s="5" t="s">
        <v>95</v>
      </c>
      <c r="Z117" s="14" t="s">
        <v>127</v>
      </c>
      <c r="AA117" s="5" t="s">
        <v>96</v>
      </c>
      <c r="AB117" s="5" t="s">
        <v>97</v>
      </c>
      <c r="AC117" s="7" t="s">
        <v>3687</v>
      </c>
      <c r="AD117" s="131" t="s">
        <v>265</v>
      </c>
      <c r="AE117" s="131" t="s">
        <v>890</v>
      </c>
      <c r="AF117" s="7" t="s">
        <v>139</v>
      </c>
      <c r="AG117" s="7" t="s">
        <v>140</v>
      </c>
      <c r="AH117" s="7" t="s">
        <v>141</v>
      </c>
      <c r="AI117" s="7">
        <v>65152</v>
      </c>
      <c r="AJ117" s="7" t="s">
        <v>94</v>
      </c>
      <c r="AK117" s="7" t="s">
        <v>104</v>
      </c>
      <c r="AL117" s="7" t="s">
        <v>3688</v>
      </c>
      <c r="AM117" s="15" t="s">
        <v>127</v>
      </c>
      <c r="AN117" s="15" t="s">
        <v>3689</v>
      </c>
      <c r="AO117" s="8">
        <v>3</v>
      </c>
      <c r="AP117" s="8" t="s">
        <v>107</v>
      </c>
      <c r="AQ117" s="8" t="s">
        <v>147</v>
      </c>
      <c r="AR117" s="8" t="s">
        <v>147</v>
      </c>
      <c r="AS117" s="132" t="s">
        <v>2779</v>
      </c>
      <c r="AT117" s="131" t="s">
        <v>3022</v>
      </c>
      <c r="AU117" s="132" t="s">
        <v>182</v>
      </c>
      <c r="AV117" s="16" t="s">
        <v>112</v>
      </c>
      <c r="AW117" s="56"/>
      <c r="AX117" s="56" t="s">
        <v>183</v>
      </c>
      <c r="AY117" s="56" t="s">
        <v>3690</v>
      </c>
      <c r="AZ117" s="7">
        <v>6471051012860010</v>
      </c>
      <c r="BA117" s="10" t="s">
        <v>424</v>
      </c>
      <c r="BB117" s="52">
        <v>31756</v>
      </c>
      <c r="BC117" s="17" t="s">
        <v>96</v>
      </c>
      <c r="BD117" s="17" t="s">
        <v>3691</v>
      </c>
      <c r="BE117" s="18" t="s">
        <v>118</v>
      </c>
      <c r="BF117" s="7" t="s">
        <v>247</v>
      </c>
      <c r="BG117" s="7" t="s">
        <v>127</v>
      </c>
      <c r="BH117" s="7" t="s">
        <v>127</v>
      </c>
      <c r="BI117" s="7" t="s">
        <v>127</v>
      </c>
      <c r="BJ117" s="19">
        <v>5000000</v>
      </c>
      <c r="BK117" s="20" t="s">
        <v>127</v>
      </c>
      <c r="BL117" s="58" t="s">
        <v>3692</v>
      </c>
      <c r="BM117" s="7" t="s">
        <v>3693</v>
      </c>
      <c r="BN117" s="22" t="s">
        <v>94</v>
      </c>
      <c r="BO117" s="49">
        <v>31719</v>
      </c>
      <c r="BP117" s="17" t="s">
        <v>96</v>
      </c>
      <c r="BQ117" s="17" t="s">
        <v>3689</v>
      </c>
      <c r="BR117" s="18" t="s">
        <v>216</v>
      </c>
      <c r="BS117" s="7" t="s">
        <v>126</v>
      </c>
      <c r="BT117" s="7" t="s">
        <v>127</v>
      </c>
      <c r="BU117" s="7" t="s">
        <v>127</v>
      </c>
      <c r="BV117" s="8" t="s">
        <v>127</v>
      </c>
      <c r="BW117" s="23">
        <v>0</v>
      </c>
      <c r="BX117" s="24" t="s">
        <v>3694</v>
      </c>
      <c r="BY117" s="21" t="s">
        <v>108</v>
      </c>
      <c r="BZ117" s="21" t="s">
        <v>108</v>
      </c>
      <c r="CA117" s="21"/>
      <c r="CB117" s="21"/>
      <c r="CC117" s="21"/>
      <c r="CD117" s="21"/>
      <c r="CE117" s="21" t="s">
        <v>108</v>
      </c>
      <c r="CF117" s="21"/>
      <c r="CG117" s="21" t="s">
        <v>108</v>
      </c>
      <c r="CH117" s="21"/>
      <c r="CI117" s="21"/>
      <c r="CJ117" s="21" t="s">
        <v>108</v>
      </c>
      <c r="CK117" s="21" t="s">
        <v>108</v>
      </c>
      <c r="CL117" s="21" t="s">
        <v>108</v>
      </c>
      <c r="CM117" s="25"/>
      <c r="CN117" s="25"/>
      <c r="CO117" s="25"/>
      <c r="CP117" s="26"/>
    </row>
    <row r="118" spans="1:94" s="116" customFormat="1" ht="23.25" customHeight="1">
      <c r="A118" s="4">
        <v>14</v>
      </c>
      <c r="B118" s="6"/>
      <c r="C118" s="6"/>
      <c r="D118" s="6"/>
      <c r="E118" s="6"/>
      <c r="F118" s="6"/>
      <c r="G118" s="6"/>
      <c r="H118" s="5"/>
      <c r="I118" s="7" t="s">
        <v>2452</v>
      </c>
      <c r="J118" s="7" t="s">
        <v>3712</v>
      </c>
      <c r="K118" s="7" t="s">
        <v>3713</v>
      </c>
      <c r="L118" s="5"/>
      <c r="M118" s="5">
        <v>2146</v>
      </c>
      <c r="N118" s="9">
        <v>3180955674</v>
      </c>
      <c r="O118" s="9" t="s">
        <v>11543</v>
      </c>
      <c r="P118" s="10" t="s">
        <v>3714</v>
      </c>
      <c r="Q118" s="389" t="s">
        <v>3715</v>
      </c>
      <c r="R118" s="8" t="s">
        <v>2445</v>
      </c>
      <c r="S118" s="212" t="s">
        <v>12138</v>
      </c>
      <c r="T118" s="8" t="s">
        <v>3716</v>
      </c>
      <c r="U118" s="11" t="s">
        <v>172</v>
      </c>
      <c r="V118" s="12" t="s">
        <v>94</v>
      </c>
      <c r="W118" s="13">
        <v>43226</v>
      </c>
      <c r="X118" s="13" t="str">
        <f t="shared" ca="1" si="0"/>
        <v>8 Th, 4 Bln</v>
      </c>
      <c r="Y118" s="5" t="s">
        <v>95</v>
      </c>
      <c r="Z118" s="14" t="s">
        <v>127</v>
      </c>
      <c r="AA118" s="5" t="s">
        <v>96</v>
      </c>
      <c r="AB118" s="5" t="s">
        <v>97</v>
      </c>
      <c r="AC118" s="7" t="s">
        <v>3717</v>
      </c>
      <c r="AD118" s="131">
        <v>43</v>
      </c>
      <c r="AE118" s="131">
        <v>10</v>
      </c>
      <c r="AF118" s="7" t="s">
        <v>319</v>
      </c>
      <c r="AG118" s="7" t="s">
        <v>140</v>
      </c>
      <c r="AH118" s="7" t="s">
        <v>141</v>
      </c>
      <c r="AI118" s="7">
        <v>65152</v>
      </c>
      <c r="AJ118" s="7" t="s">
        <v>94</v>
      </c>
      <c r="AK118" s="7" t="s">
        <v>104</v>
      </c>
      <c r="AL118" s="7" t="s">
        <v>342</v>
      </c>
      <c r="AM118" s="15" t="s">
        <v>127</v>
      </c>
      <c r="AN118" s="15" t="s">
        <v>3718</v>
      </c>
      <c r="AO118" s="8">
        <v>1</v>
      </c>
      <c r="AP118" s="8" t="s">
        <v>107</v>
      </c>
      <c r="AQ118" s="8" t="s">
        <v>127</v>
      </c>
      <c r="AR118" s="8" t="s">
        <v>127</v>
      </c>
      <c r="AS118" s="132" t="s">
        <v>2779</v>
      </c>
      <c r="AT118" s="131" t="s">
        <v>2780</v>
      </c>
      <c r="AU118" s="132" t="s">
        <v>182</v>
      </c>
      <c r="AV118" s="16" t="s">
        <v>112</v>
      </c>
      <c r="AW118" s="56"/>
      <c r="AX118" s="56" t="s">
        <v>183</v>
      </c>
      <c r="AY118" s="56" t="s">
        <v>3719</v>
      </c>
      <c r="AZ118" s="7" t="s">
        <v>3720</v>
      </c>
      <c r="BA118" s="10" t="s">
        <v>424</v>
      </c>
      <c r="BB118" s="52">
        <v>34042</v>
      </c>
      <c r="BC118" s="17" t="s">
        <v>96</v>
      </c>
      <c r="BD118" s="17" t="s">
        <v>3718</v>
      </c>
      <c r="BE118" s="18" t="s">
        <v>216</v>
      </c>
      <c r="BF118" s="7" t="s">
        <v>276</v>
      </c>
      <c r="BG118" s="7" t="s">
        <v>424</v>
      </c>
      <c r="BH118" s="7" t="s">
        <v>3721</v>
      </c>
      <c r="BI118" s="7" t="s">
        <v>3722</v>
      </c>
      <c r="BJ118" s="19">
        <v>20000000</v>
      </c>
      <c r="BK118" s="20" t="s">
        <v>3723</v>
      </c>
      <c r="BL118" s="58" t="s">
        <v>3724</v>
      </c>
      <c r="BM118" s="7" t="s">
        <v>3725</v>
      </c>
      <c r="BN118" s="22" t="s">
        <v>3726</v>
      </c>
      <c r="BO118" s="49">
        <v>35190</v>
      </c>
      <c r="BP118" s="17" t="s">
        <v>96</v>
      </c>
      <c r="BQ118" s="17" t="s">
        <v>3727</v>
      </c>
      <c r="BR118" s="18" t="s">
        <v>216</v>
      </c>
      <c r="BS118" s="7" t="s">
        <v>254</v>
      </c>
      <c r="BT118" s="7" t="s">
        <v>127</v>
      </c>
      <c r="BU118" s="7" t="s">
        <v>127</v>
      </c>
      <c r="BV118" s="8" t="s">
        <v>127</v>
      </c>
      <c r="BW118" s="23" t="s">
        <v>127</v>
      </c>
      <c r="BX118" s="24" t="s">
        <v>3728</v>
      </c>
      <c r="BY118" s="21" t="s">
        <v>3729</v>
      </c>
      <c r="BZ118" s="21" t="s">
        <v>94</v>
      </c>
      <c r="CA118" s="21">
        <v>24895</v>
      </c>
      <c r="CB118" s="21"/>
      <c r="CC118" s="21" t="s">
        <v>3730</v>
      </c>
      <c r="CD118" s="21" t="s">
        <v>216</v>
      </c>
      <c r="CE118" s="21" t="s">
        <v>254</v>
      </c>
      <c r="CF118" s="21" t="s">
        <v>96</v>
      </c>
      <c r="CG118" s="21" t="s">
        <v>3731</v>
      </c>
      <c r="CH118" s="21" t="s">
        <v>384</v>
      </c>
      <c r="CI118" s="21" t="s">
        <v>137</v>
      </c>
      <c r="CJ118" s="21" t="s">
        <v>3732</v>
      </c>
      <c r="CK118" s="21" t="s">
        <v>3733</v>
      </c>
      <c r="CL118" s="21" t="s">
        <v>94</v>
      </c>
      <c r="CM118" s="114"/>
      <c r="CN118" s="114"/>
      <c r="CO118" s="114"/>
      <c r="CP118" s="115"/>
    </row>
    <row r="119" spans="1:94" s="27" customFormat="1" ht="23.25" customHeight="1">
      <c r="A119" s="4">
        <v>15</v>
      </c>
      <c r="B119" s="6"/>
      <c r="C119" s="6"/>
      <c r="D119" s="6"/>
      <c r="E119" s="6"/>
      <c r="F119" s="6"/>
      <c r="G119" s="6"/>
      <c r="H119" s="5"/>
      <c r="I119" s="7" t="s">
        <v>2452</v>
      </c>
      <c r="J119" s="7" t="s">
        <v>2971</v>
      </c>
      <c r="K119" s="7" t="s">
        <v>3778</v>
      </c>
      <c r="L119" s="5"/>
      <c r="M119" s="5">
        <v>2149</v>
      </c>
      <c r="N119" s="9">
        <v>3190479722</v>
      </c>
      <c r="O119" s="9" t="s">
        <v>11544</v>
      </c>
      <c r="P119" s="10" t="s">
        <v>3779</v>
      </c>
      <c r="Q119" s="389" t="s">
        <v>3780</v>
      </c>
      <c r="R119" s="8" t="s">
        <v>2445</v>
      </c>
      <c r="S119" s="212" t="s">
        <v>12138</v>
      </c>
      <c r="T119" s="8" t="s">
        <v>3781</v>
      </c>
      <c r="U119" s="11" t="s">
        <v>93</v>
      </c>
      <c r="V119" s="12" t="s">
        <v>222</v>
      </c>
      <c r="W119" s="13">
        <v>43567</v>
      </c>
      <c r="X119" s="13" t="str">
        <f t="shared" ca="1" si="0"/>
        <v>7 Th, 5 Bln</v>
      </c>
      <c r="Y119" s="5" t="s">
        <v>95</v>
      </c>
      <c r="Z119" s="14" t="s">
        <v>108</v>
      </c>
      <c r="AA119" s="5" t="s">
        <v>96</v>
      </c>
      <c r="AB119" s="5" t="s">
        <v>97</v>
      </c>
      <c r="AC119" s="7" t="s">
        <v>3782</v>
      </c>
      <c r="AD119" s="131">
        <v>4</v>
      </c>
      <c r="AE119" s="131">
        <v>12</v>
      </c>
      <c r="AF119" s="7" t="s">
        <v>139</v>
      </c>
      <c r="AG119" s="7" t="s">
        <v>140</v>
      </c>
      <c r="AH119" s="7" t="s">
        <v>141</v>
      </c>
      <c r="AI119" s="7">
        <v>65152</v>
      </c>
      <c r="AJ119" s="7" t="s">
        <v>142</v>
      </c>
      <c r="AK119" s="7" t="s">
        <v>104</v>
      </c>
      <c r="AL119" s="7" t="s">
        <v>1325</v>
      </c>
      <c r="AM119" s="15" t="s">
        <v>127</v>
      </c>
      <c r="AN119" s="15" t="s">
        <v>3783</v>
      </c>
      <c r="AO119" s="8">
        <v>1</v>
      </c>
      <c r="AP119" s="8" t="s">
        <v>146</v>
      </c>
      <c r="AQ119" s="8" t="s">
        <v>127</v>
      </c>
      <c r="AR119" s="8" t="s">
        <v>127</v>
      </c>
      <c r="AS119" s="132" t="s">
        <v>3784</v>
      </c>
      <c r="AT119" s="131" t="s">
        <v>2593</v>
      </c>
      <c r="AU119" s="132" t="s">
        <v>111</v>
      </c>
      <c r="AV119" s="16" t="s">
        <v>112</v>
      </c>
      <c r="AW119" s="56"/>
      <c r="AX119" s="56" t="s">
        <v>114</v>
      </c>
      <c r="AY119" s="56" t="s">
        <v>3785</v>
      </c>
      <c r="AZ119" s="7" t="s">
        <v>3786</v>
      </c>
      <c r="BA119" s="10" t="s">
        <v>603</v>
      </c>
      <c r="BB119" s="52">
        <v>33284</v>
      </c>
      <c r="BC119" s="17" t="s">
        <v>96</v>
      </c>
      <c r="BD119" s="17" t="s">
        <v>3787</v>
      </c>
      <c r="BE119" s="18" t="s">
        <v>118</v>
      </c>
      <c r="BF119" s="7" t="s">
        <v>276</v>
      </c>
      <c r="BG119" s="7" t="s">
        <v>3788</v>
      </c>
      <c r="BH119" s="7" t="s">
        <v>3789</v>
      </c>
      <c r="BI119" s="7" t="s">
        <v>3790</v>
      </c>
      <c r="BJ119" s="19" t="s">
        <v>3791</v>
      </c>
      <c r="BK119" s="20" t="s">
        <v>3792</v>
      </c>
      <c r="BL119" s="58" t="s">
        <v>3793</v>
      </c>
      <c r="BM119" s="7" t="s">
        <v>3794</v>
      </c>
      <c r="BN119" s="22" t="s">
        <v>1031</v>
      </c>
      <c r="BO119" s="49">
        <v>33898</v>
      </c>
      <c r="BP119" s="17" t="s">
        <v>96</v>
      </c>
      <c r="BQ119" s="17" t="s">
        <v>3783</v>
      </c>
      <c r="BR119" s="18" t="s">
        <v>118</v>
      </c>
      <c r="BS119" s="7" t="s">
        <v>126</v>
      </c>
      <c r="BT119" s="7" t="s">
        <v>127</v>
      </c>
      <c r="BU119" s="7" t="s">
        <v>127</v>
      </c>
      <c r="BV119" s="8" t="s">
        <v>127</v>
      </c>
      <c r="BW119" s="23" t="s">
        <v>127</v>
      </c>
      <c r="BX119" s="24" t="s">
        <v>3795</v>
      </c>
      <c r="BY119" s="21" t="s">
        <v>108</v>
      </c>
      <c r="BZ119" s="21" t="s">
        <v>108</v>
      </c>
      <c r="CA119" s="21"/>
      <c r="CB119" s="21"/>
      <c r="CC119" s="21"/>
      <c r="CD119" s="21"/>
      <c r="CE119" s="21" t="s">
        <v>108</v>
      </c>
      <c r="CF119" s="21"/>
      <c r="CG119" s="21" t="s">
        <v>108</v>
      </c>
      <c r="CH119" s="21"/>
      <c r="CI119" s="21"/>
      <c r="CJ119" s="21" t="s">
        <v>108</v>
      </c>
      <c r="CK119" s="21" t="s">
        <v>108</v>
      </c>
      <c r="CL119" s="21" t="s">
        <v>108</v>
      </c>
      <c r="CM119" s="25"/>
      <c r="CN119" s="25"/>
      <c r="CO119" s="25"/>
      <c r="CP119" s="26"/>
    </row>
    <row r="120" spans="1:94" s="27" customFormat="1" ht="23.25" customHeight="1">
      <c r="A120" s="4">
        <v>16</v>
      </c>
      <c r="B120" s="6"/>
      <c r="C120" s="6"/>
      <c r="D120" s="6"/>
      <c r="E120" s="6"/>
      <c r="F120" s="6"/>
      <c r="G120" s="6"/>
      <c r="H120" s="5"/>
      <c r="I120" s="7" t="s">
        <v>2452</v>
      </c>
      <c r="J120" s="7" t="s">
        <v>3835</v>
      </c>
      <c r="K120" s="7" t="s">
        <v>3836</v>
      </c>
      <c r="L120" s="5"/>
      <c r="M120" s="5">
        <v>2153</v>
      </c>
      <c r="N120" s="9">
        <v>3195920469</v>
      </c>
      <c r="O120" s="9" t="s">
        <v>11545</v>
      </c>
      <c r="P120" s="10" t="s">
        <v>3837</v>
      </c>
      <c r="Q120" s="389" t="s">
        <v>3838</v>
      </c>
      <c r="R120" s="8" t="s">
        <v>2445</v>
      </c>
      <c r="S120" s="212" t="s">
        <v>12138</v>
      </c>
      <c r="T120" s="8" t="s">
        <v>3839</v>
      </c>
      <c r="U120" s="11" t="s">
        <v>172</v>
      </c>
      <c r="V120" s="12" t="s">
        <v>94</v>
      </c>
      <c r="W120" s="13">
        <v>43577</v>
      </c>
      <c r="X120" s="13" t="str">
        <f t="shared" ca="1" si="0"/>
        <v>7 Th, 4 Bln</v>
      </c>
      <c r="Y120" s="5" t="s">
        <v>95</v>
      </c>
      <c r="Z120" s="14" t="s">
        <v>108</v>
      </c>
      <c r="AA120" s="5" t="s">
        <v>96</v>
      </c>
      <c r="AB120" s="5" t="s">
        <v>97</v>
      </c>
      <c r="AC120" s="7" t="s">
        <v>3840</v>
      </c>
      <c r="AD120" s="131">
        <v>3</v>
      </c>
      <c r="AE120" s="131">
        <v>16</v>
      </c>
      <c r="AF120" s="7" t="s">
        <v>1395</v>
      </c>
      <c r="AG120" s="7" t="s">
        <v>140</v>
      </c>
      <c r="AH120" s="7" t="s">
        <v>141</v>
      </c>
      <c r="AI120" s="7">
        <v>65152</v>
      </c>
      <c r="AJ120" s="7" t="s">
        <v>544</v>
      </c>
      <c r="AK120" s="7" t="s">
        <v>179</v>
      </c>
      <c r="AL120" s="7" t="s">
        <v>269</v>
      </c>
      <c r="AM120" s="15" t="s">
        <v>3841</v>
      </c>
      <c r="AN120" s="15" t="s">
        <v>3841</v>
      </c>
      <c r="AO120" s="8">
        <v>6</v>
      </c>
      <c r="AP120" s="8" t="s">
        <v>147</v>
      </c>
      <c r="AQ120" s="8" t="s">
        <v>1204</v>
      </c>
      <c r="AR120" s="8" t="s">
        <v>108</v>
      </c>
      <c r="AS120" s="132" t="s">
        <v>3842</v>
      </c>
      <c r="AT120" s="131" t="s">
        <v>2483</v>
      </c>
      <c r="AU120" s="132" t="s">
        <v>182</v>
      </c>
      <c r="AV120" s="16" t="s">
        <v>212</v>
      </c>
      <c r="AW120" s="56"/>
      <c r="AX120" s="56" t="s">
        <v>3843</v>
      </c>
      <c r="AY120" s="56" t="s">
        <v>3844</v>
      </c>
      <c r="AZ120" s="7" t="s">
        <v>3845</v>
      </c>
      <c r="BA120" s="10" t="s">
        <v>3846</v>
      </c>
      <c r="BB120" s="52">
        <v>26580</v>
      </c>
      <c r="BC120" s="17" t="s">
        <v>96</v>
      </c>
      <c r="BD120" s="17" t="s">
        <v>3847</v>
      </c>
      <c r="BE120" s="18" t="s">
        <v>118</v>
      </c>
      <c r="BF120" s="7" t="s">
        <v>3848</v>
      </c>
      <c r="BG120" s="7" t="s">
        <v>2903</v>
      </c>
      <c r="BH120" s="7" t="s">
        <v>3849</v>
      </c>
      <c r="BI120" s="7"/>
      <c r="BJ120" s="19" t="s">
        <v>190</v>
      </c>
      <c r="BK120" s="20" t="s">
        <v>3850</v>
      </c>
      <c r="BL120" s="58" t="s">
        <v>3851</v>
      </c>
      <c r="BM120" s="7" t="s">
        <v>3852</v>
      </c>
      <c r="BN120" s="22" t="s">
        <v>94</v>
      </c>
      <c r="BO120" s="49">
        <v>30165</v>
      </c>
      <c r="BP120" s="17" t="s">
        <v>96</v>
      </c>
      <c r="BQ120" s="17" t="s">
        <v>3841</v>
      </c>
      <c r="BR120" s="18" t="s">
        <v>118</v>
      </c>
      <c r="BS120" s="7" t="s">
        <v>254</v>
      </c>
      <c r="BT120" s="7" t="s">
        <v>3853</v>
      </c>
      <c r="BU120" s="7" t="s">
        <v>3853</v>
      </c>
      <c r="BV120" s="8" t="s">
        <v>3853</v>
      </c>
      <c r="BW120" s="23" t="s">
        <v>3854</v>
      </c>
      <c r="BX120" s="24" t="s">
        <v>3855</v>
      </c>
      <c r="BY120" s="21" t="s">
        <v>108</v>
      </c>
      <c r="BZ120" s="21" t="s">
        <v>108</v>
      </c>
      <c r="CA120" s="21"/>
      <c r="CB120" s="21"/>
      <c r="CC120" s="21"/>
      <c r="CD120" s="21"/>
      <c r="CE120" s="21" t="s">
        <v>108</v>
      </c>
      <c r="CF120" s="21"/>
      <c r="CG120" s="21" t="s">
        <v>108</v>
      </c>
      <c r="CH120" s="21"/>
      <c r="CI120" s="21"/>
      <c r="CJ120" s="21" t="s">
        <v>108</v>
      </c>
      <c r="CK120" s="21" t="s">
        <v>108</v>
      </c>
      <c r="CL120" s="21" t="s">
        <v>108</v>
      </c>
      <c r="CM120" s="25"/>
      <c r="CN120" s="25"/>
      <c r="CO120" s="25"/>
      <c r="CP120" s="26"/>
    </row>
    <row r="121" spans="1:94" s="27" customFormat="1" ht="23.25" customHeight="1">
      <c r="A121" s="4">
        <v>17</v>
      </c>
      <c r="B121" s="6"/>
      <c r="C121" s="6"/>
      <c r="D121" s="6"/>
      <c r="E121" s="6"/>
      <c r="F121" s="6"/>
      <c r="G121" s="6"/>
      <c r="H121" s="5"/>
      <c r="I121" s="7" t="s">
        <v>86</v>
      </c>
      <c r="J121" s="7" t="s">
        <v>3856</v>
      </c>
      <c r="K121" s="7" t="s">
        <v>3857</v>
      </c>
      <c r="L121" s="5"/>
      <c r="M121" s="5">
        <v>2154</v>
      </c>
      <c r="N121" s="9">
        <v>3193256157</v>
      </c>
      <c r="O121" s="9" t="s">
        <v>11546</v>
      </c>
      <c r="P121" s="10" t="s">
        <v>3858</v>
      </c>
      <c r="Q121" s="389" t="s">
        <v>3859</v>
      </c>
      <c r="R121" s="8" t="s">
        <v>2445</v>
      </c>
      <c r="S121" s="212" t="s">
        <v>12138</v>
      </c>
      <c r="T121" s="8" t="s">
        <v>3860</v>
      </c>
      <c r="U121" s="11" t="s">
        <v>93</v>
      </c>
      <c r="V121" s="12" t="s">
        <v>94</v>
      </c>
      <c r="W121" s="13">
        <v>43707</v>
      </c>
      <c r="X121" s="13" t="str">
        <f t="shared" ca="1" si="0"/>
        <v>7 Th, 0 Bln</v>
      </c>
      <c r="Y121" s="5" t="s">
        <v>95</v>
      </c>
      <c r="Z121" s="14" t="s">
        <v>127</v>
      </c>
      <c r="AA121" s="5" t="s">
        <v>96</v>
      </c>
      <c r="AB121" s="5" t="s">
        <v>97</v>
      </c>
      <c r="AC121" s="7" t="s">
        <v>3861</v>
      </c>
      <c r="AD121" s="131">
        <v>3</v>
      </c>
      <c r="AE121" s="131">
        <v>1</v>
      </c>
      <c r="AF121" s="7" t="s">
        <v>1976</v>
      </c>
      <c r="AG121" s="7" t="s">
        <v>140</v>
      </c>
      <c r="AH121" s="7" t="s">
        <v>141</v>
      </c>
      <c r="AI121" s="7"/>
      <c r="AJ121" s="7" t="s">
        <v>94</v>
      </c>
      <c r="AK121" s="7" t="s">
        <v>104</v>
      </c>
      <c r="AL121" s="7" t="s">
        <v>3862</v>
      </c>
      <c r="AM121" s="15" t="s">
        <v>127</v>
      </c>
      <c r="AN121" s="15" t="s">
        <v>3863</v>
      </c>
      <c r="AO121" s="8">
        <v>3</v>
      </c>
      <c r="AP121" s="8" t="s">
        <v>107</v>
      </c>
      <c r="AQ121" s="8" t="s">
        <v>127</v>
      </c>
      <c r="AR121" s="8" t="s">
        <v>127</v>
      </c>
      <c r="AS121" s="132" t="s">
        <v>3864</v>
      </c>
      <c r="AT121" s="131" t="s">
        <v>2593</v>
      </c>
      <c r="AU121" s="132" t="s">
        <v>149</v>
      </c>
      <c r="AV121" s="16" t="s">
        <v>112</v>
      </c>
      <c r="AW121" s="56"/>
      <c r="AX121" s="56" t="s">
        <v>114</v>
      </c>
      <c r="AY121" s="56" t="s">
        <v>3865</v>
      </c>
      <c r="AZ121" s="7" t="s">
        <v>3866</v>
      </c>
      <c r="BA121" s="10" t="s">
        <v>94</v>
      </c>
      <c r="BB121" s="52">
        <v>32192</v>
      </c>
      <c r="BC121" s="17" t="s">
        <v>96</v>
      </c>
      <c r="BD121" s="17" t="s">
        <v>3867</v>
      </c>
      <c r="BE121" s="18" t="s">
        <v>118</v>
      </c>
      <c r="BF121" s="7" t="s">
        <v>247</v>
      </c>
      <c r="BG121" s="7" t="s">
        <v>3868</v>
      </c>
      <c r="BH121" s="7" t="s">
        <v>3869</v>
      </c>
      <c r="BI121" s="7" t="s">
        <v>3867</v>
      </c>
      <c r="BJ121" s="19" t="s">
        <v>190</v>
      </c>
      <c r="BK121" s="20" t="s">
        <v>3870</v>
      </c>
      <c r="BL121" s="58" t="s">
        <v>3871</v>
      </c>
      <c r="BM121" s="7" t="s">
        <v>3872</v>
      </c>
      <c r="BN121" s="22" t="s">
        <v>94</v>
      </c>
      <c r="BO121" s="49">
        <v>33166</v>
      </c>
      <c r="BP121" s="17" t="s">
        <v>96</v>
      </c>
      <c r="BQ121" s="17" t="s">
        <v>3863</v>
      </c>
      <c r="BR121" s="18" t="s">
        <v>118</v>
      </c>
      <c r="BS121" s="7" t="s">
        <v>254</v>
      </c>
      <c r="BT121" s="7" t="s">
        <v>127</v>
      </c>
      <c r="BU121" s="7" t="s">
        <v>127</v>
      </c>
      <c r="BV121" s="8" t="s">
        <v>127</v>
      </c>
      <c r="BW121" s="23" t="s">
        <v>127</v>
      </c>
      <c r="BX121" s="24" t="s">
        <v>3873</v>
      </c>
      <c r="BY121" s="21" t="s">
        <v>108</v>
      </c>
      <c r="BZ121" s="21" t="s">
        <v>108</v>
      </c>
      <c r="CA121" s="21"/>
      <c r="CB121" s="21"/>
      <c r="CC121" s="21"/>
      <c r="CD121" s="21"/>
      <c r="CE121" s="21" t="s">
        <v>108</v>
      </c>
      <c r="CF121" s="21"/>
      <c r="CG121" s="21" t="s">
        <v>108</v>
      </c>
      <c r="CH121" s="21"/>
      <c r="CI121" s="21"/>
      <c r="CJ121" s="21" t="s">
        <v>108</v>
      </c>
      <c r="CK121" s="21" t="s">
        <v>108</v>
      </c>
      <c r="CL121" s="21" t="s">
        <v>108</v>
      </c>
      <c r="CM121" s="25"/>
      <c r="CN121" s="25"/>
      <c r="CO121" s="25"/>
      <c r="CP121" s="26"/>
    </row>
    <row r="122" spans="1:94" s="27" customFormat="1" ht="23.25" customHeight="1">
      <c r="A122" s="4">
        <v>18</v>
      </c>
      <c r="B122" s="6"/>
      <c r="C122" s="6"/>
      <c r="D122" s="6"/>
      <c r="E122" s="6"/>
      <c r="F122" s="6"/>
      <c r="G122" s="6"/>
      <c r="H122" s="5"/>
      <c r="I122" s="7" t="s">
        <v>2452</v>
      </c>
      <c r="J122" s="7" t="s">
        <v>166</v>
      </c>
      <c r="K122" s="7" t="s">
        <v>609</v>
      </c>
      <c r="L122" s="5"/>
      <c r="M122" s="5">
        <v>2157</v>
      </c>
      <c r="N122" s="9">
        <v>3194380045</v>
      </c>
      <c r="O122" s="9" t="s">
        <v>610</v>
      </c>
      <c r="P122" s="10" t="s">
        <v>3904</v>
      </c>
      <c r="Q122" s="389" t="s">
        <v>3905</v>
      </c>
      <c r="R122" s="8" t="s">
        <v>2445</v>
      </c>
      <c r="S122" s="212" t="s">
        <v>12138</v>
      </c>
      <c r="T122" s="8" t="s">
        <v>3906</v>
      </c>
      <c r="U122" s="11" t="s">
        <v>172</v>
      </c>
      <c r="V122" s="12" t="s">
        <v>94</v>
      </c>
      <c r="W122" s="13">
        <v>43467</v>
      </c>
      <c r="X122" s="13" t="str">
        <f t="shared" ca="1" si="0"/>
        <v>7 Th, 8 Bln</v>
      </c>
      <c r="Y122" s="5" t="s">
        <v>95</v>
      </c>
      <c r="Z122" s="14" t="s">
        <v>108</v>
      </c>
      <c r="AA122" s="5" t="s">
        <v>96</v>
      </c>
      <c r="AB122" s="5" t="s">
        <v>97</v>
      </c>
      <c r="AC122" s="7" t="s">
        <v>11491</v>
      </c>
      <c r="AD122" s="131">
        <v>2</v>
      </c>
      <c r="AE122" s="131">
        <v>20</v>
      </c>
      <c r="AF122" s="7" t="s">
        <v>615</v>
      </c>
      <c r="AG122" s="7" t="s">
        <v>178</v>
      </c>
      <c r="AH122" s="7" t="s">
        <v>178</v>
      </c>
      <c r="AI122" s="7">
        <v>65142</v>
      </c>
      <c r="AJ122" s="7" t="s">
        <v>94</v>
      </c>
      <c r="AK122" s="7" t="s">
        <v>104</v>
      </c>
      <c r="AL122" s="7" t="s">
        <v>3907</v>
      </c>
      <c r="AM122" s="15" t="s">
        <v>127</v>
      </c>
      <c r="AN122" s="15" t="s">
        <v>617</v>
      </c>
      <c r="AO122" s="8">
        <v>3</v>
      </c>
      <c r="AP122" s="8" t="s">
        <v>107</v>
      </c>
      <c r="AQ122" s="8" t="s">
        <v>108</v>
      </c>
      <c r="AR122" s="8" t="s">
        <v>108</v>
      </c>
      <c r="AS122" s="132" t="s">
        <v>2720</v>
      </c>
      <c r="AT122" s="131" t="s">
        <v>2574</v>
      </c>
      <c r="AU122" s="132" t="s">
        <v>182</v>
      </c>
      <c r="AV122" s="16" t="s">
        <v>112</v>
      </c>
      <c r="AW122" s="56"/>
      <c r="AX122" s="56" t="s">
        <v>114</v>
      </c>
      <c r="AY122" s="56" t="s">
        <v>3908</v>
      </c>
      <c r="AZ122" s="7" t="s">
        <v>621</v>
      </c>
      <c r="BA122" s="10" t="s">
        <v>444</v>
      </c>
      <c r="BB122" s="52">
        <v>31613</v>
      </c>
      <c r="BC122" s="17" t="s">
        <v>96</v>
      </c>
      <c r="BD122" s="17" t="s">
        <v>617</v>
      </c>
      <c r="BE122" s="18" t="s">
        <v>153</v>
      </c>
      <c r="BF122" s="7" t="s">
        <v>622</v>
      </c>
      <c r="BG122" s="7" t="s">
        <v>1515</v>
      </c>
      <c r="BH122" s="7" t="s">
        <v>3909</v>
      </c>
      <c r="BI122" s="7" t="s">
        <v>127</v>
      </c>
      <c r="BJ122" s="19">
        <v>20000000</v>
      </c>
      <c r="BK122" s="20" t="s">
        <v>3910</v>
      </c>
      <c r="BL122" s="58" t="s">
        <v>3911</v>
      </c>
      <c r="BM122" s="7" t="s">
        <v>627</v>
      </c>
      <c r="BN122" s="22" t="s">
        <v>444</v>
      </c>
      <c r="BO122" s="49">
        <v>31466</v>
      </c>
      <c r="BP122" s="17" t="s">
        <v>96</v>
      </c>
      <c r="BQ122" s="17" t="s">
        <v>628</v>
      </c>
      <c r="BR122" s="18" t="s">
        <v>153</v>
      </c>
      <c r="BS122" s="7" t="s">
        <v>3912</v>
      </c>
      <c r="BT122" s="7" t="s">
        <v>1515</v>
      </c>
      <c r="BU122" s="7" t="s">
        <v>3909</v>
      </c>
      <c r="BV122" s="8" t="s">
        <v>127</v>
      </c>
      <c r="BW122" s="23">
        <v>3000000</v>
      </c>
      <c r="BX122" s="24" t="s">
        <v>3913</v>
      </c>
      <c r="BY122" s="21" t="s">
        <v>108</v>
      </c>
      <c r="BZ122" s="21" t="s">
        <v>108</v>
      </c>
      <c r="CA122" s="21"/>
      <c r="CB122" s="21"/>
      <c r="CC122" s="21"/>
      <c r="CD122" s="21"/>
      <c r="CE122" s="21" t="s">
        <v>108</v>
      </c>
      <c r="CF122" s="21"/>
      <c r="CG122" s="21" t="s">
        <v>108</v>
      </c>
      <c r="CH122" s="21"/>
      <c r="CI122" s="21"/>
      <c r="CJ122" s="21" t="s">
        <v>108</v>
      </c>
      <c r="CK122" s="21" t="s">
        <v>108</v>
      </c>
      <c r="CL122" s="21" t="s">
        <v>108</v>
      </c>
      <c r="CM122" s="25"/>
      <c r="CN122" s="25"/>
      <c r="CO122" s="25"/>
      <c r="CP122" s="26"/>
    </row>
    <row r="123" spans="1:94" s="27" customFormat="1" ht="23.25" customHeight="1">
      <c r="A123" s="4">
        <v>19</v>
      </c>
      <c r="B123" s="6"/>
      <c r="C123" s="6"/>
      <c r="D123" s="6"/>
      <c r="E123" s="6"/>
      <c r="F123" s="6"/>
      <c r="G123" s="6"/>
      <c r="H123" s="5"/>
      <c r="I123" s="7" t="s">
        <v>2452</v>
      </c>
      <c r="J123" s="7" t="s">
        <v>3972</v>
      </c>
      <c r="K123" s="7" t="s">
        <v>3973</v>
      </c>
      <c r="L123" s="5"/>
      <c r="M123" s="5">
        <v>2161</v>
      </c>
      <c r="N123" s="9">
        <v>3194811390</v>
      </c>
      <c r="O123" s="9" t="s">
        <v>11547</v>
      </c>
      <c r="P123" s="10" t="s">
        <v>3974</v>
      </c>
      <c r="Q123" s="389" t="s">
        <v>3975</v>
      </c>
      <c r="R123" s="8" t="s">
        <v>2445</v>
      </c>
      <c r="S123" s="212" t="s">
        <v>12138</v>
      </c>
      <c r="T123" s="8" t="s">
        <v>3976</v>
      </c>
      <c r="U123" s="11" t="s">
        <v>93</v>
      </c>
      <c r="V123" s="12" t="s">
        <v>3977</v>
      </c>
      <c r="W123" s="13">
        <v>43672</v>
      </c>
      <c r="X123" s="13" t="str">
        <f t="shared" ca="1" si="0"/>
        <v>7 Th, 1 Bln</v>
      </c>
      <c r="Y123" s="5" t="s">
        <v>95</v>
      </c>
      <c r="Z123" s="14" t="s">
        <v>108</v>
      </c>
      <c r="AA123" s="5" t="s">
        <v>96</v>
      </c>
      <c r="AB123" s="5" t="s">
        <v>97</v>
      </c>
      <c r="AC123" s="7" t="s">
        <v>3978</v>
      </c>
      <c r="AD123" s="131" t="s">
        <v>137</v>
      </c>
      <c r="AE123" s="131" t="s">
        <v>293</v>
      </c>
      <c r="AF123" s="7" t="s">
        <v>3979</v>
      </c>
      <c r="AG123" s="7" t="s">
        <v>3980</v>
      </c>
      <c r="AH123" s="7" t="s">
        <v>141</v>
      </c>
      <c r="AI123" s="7">
        <v>77482</v>
      </c>
      <c r="AJ123" s="7" t="s">
        <v>3977</v>
      </c>
      <c r="AK123" s="7" t="s">
        <v>104</v>
      </c>
      <c r="AL123" s="7" t="s">
        <v>3981</v>
      </c>
      <c r="AM123" s="15" t="s">
        <v>163</v>
      </c>
      <c r="AN123" s="15" t="s">
        <v>3982</v>
      </c>
      <c r="AO123" s="8">
        <v>1</v>
      </c>
      <c r="AP123" s="8" t="s">
        <v>146</v>
      </c>
      <c r="AQ123" s="8" t="s">
        <v>147</v>
      </c>
      <c r="AR123" s="8" t="s">
        <v>147</v>
      </c>
      <c r="AS123" s="132" t="s">
        <v>2614</v>
      </c>
      <c r="AT123" s="131" t="s">
        <v>2593</v>
      </c>
      <c r="AU123" s="132" t="s">
        <v>149</v>
      </c>
      <c r="AV123" s="16" t="s">
        <v>112</v>
      </c>
      <c r="AW123" s="56"/>
      <c r="AX123" s="56" t="s">
        <v>114</v>
      </c>
      <c r="AY123" s="56" t="s">
        <v>3983</v>
      </c>
      <c r="AZ123" s="7" t="s">
        <v>3984</v>
      </c>
      <c r="BA123" s="10" t="s">
        <v>3977</v>
      </c>
      <c r="BB123" s="52">
        <v>33072</v>
      </c>
      <c r="BC123" s="17" t="s">
        <v>96</v>
      </c>
      <c r="BD123" s="17" t="s">
        <v>3985</v>
      </c>
      <c r="BE123" s="18" t="s">
        <v>118</v>
      </c>
      <c r="BF123" s="7" t="s">
        <v>195</v>
      </c>
      <c r="BG123" s="7" t="s">
        <v>3986</v>
      </c>
      <c r="BH123" s="7" t="s">
        <v>3987</v>
      </c>
      <c r="BI123" s="7">
        <v>0</v>
      </c>
      <c r="BJ123" s="19" t="s">
        <v>3988</v>
      </c>
      <c r="BK123" s="20" t="s">
        <v>3989</v>
      </c>
      <c r="BL123" s="58" t="s">
        <v>3990</v>
      </c>
      <c r="BM123" s="7" t="s">
        <v>3991</v>
      </c>
      <c r="BN123" s="22" t="s">
        <v>3977</v>
      </c>
      <c r="BO123" s="49">
        <v>32743</v>
      </c>
      <c r="BP123" s="17" t="s">
        <v>96</v>
      </c>
      <c r="BQ123" s="17" t="s">
        <v>3982</v>
      </c>
      <c r="BR123" s="18" t="s">
        <v>118</v>
      </c>
      <c r="BS123" s="7" t="s">
        <v>254</v>
      </c>
      <c r="BT123" s="7" t="s">
        <v>162</v>
      </c>
      <c r="BU123" s="7" t="s">
        <v>162</v>
      </c>
      <c r="BV123" s="8" t="s">
        <v>147</v>
      </c>
      <c r="BW123" s="23">
        <v>0</v>
      </c>
      <c r="BX123" s="24" t="s">
        <v>3992</v>
      </c>
      <c r="BY123" s="21" t="s">
        <v>108</v>
      </c>
      <c r="BZ123" s="21" t="s">
        <v>108</v>
      </c>
      <c r="CA123" s="21"/>
      <c r="CB123" s="21"/>
      <c r="CC123" s="21"/>
      <c r="CD123" s="21"/>
      <c r="CE123" s="21" t="s">
        <v>108</v>
      </c>
      <c r="CF123" s="21"/>
      <c r="CG123" s="21" t="s">
        <v>108</v>
      </c>
      <c r="CH123" s="21"/>
      <c r="CI123" s="21"/>
      <c r="CJ123" s="21" t="s">
        <v>108</v>
      </c>
      <c r="CK123" s="21" t="s">
        <v>108</v>
      </c>
      <c r="CL123" s="21" t="s">
        <v>108</v>
      </c>
      <c r="CM123" s="25"/>
      <c r="CN123" s="25"/>
      <c r="CO123" s="25"/>
      <c r="CP123" s="26"/>
    </row>
    <row r="124" spans="1:94" s="27" customFormat="1" ht="23.25" customHeight="1">
      <c r="A124" s="4">
        <v>20</v>
      </c>
      <c r="B124" s="6"/>
      <c r="C124" s="6"/>
      <c r="D124" s="6"/>
      <c r="E124" s="6"/>
      <c r="F124" s="6"/>
      <c r="G124" s="6"/>
      <c r="H124" s="5"/>
      <c r="I124" s="7" t="s">
        <v>2452</v>
      </c>
      <c r="J124" s="7" t="s">
        <v>4032</v>
      </c>
      <c r="K124" s="7" t="s">
        <v>4033</v>
      </c>
      <c r="L124" s="5"/>
      <c r="M124" s="5">
        <v>2164</v>
      </c>
      <c r="N124" s="9">
        <v>3180389624</v>
      </c>
      <c r="O124" s="9" t="s">
        <v>11548</v>
      </c>
      <c r="P124" s="10" t="s">
        <v>4034</v>
      </c>
      <c r="Q124" s="389" t="s">
        <v>4035</v>
      </c>
      <c r="R124" s="8" t="s">
        <v>2445</v>
      </c>
      <c r="S124" s="212" t="s">
        <v>12138</v>
      </c>
      <c r="T124" s="8" t="s">
        <v>4036</v>
      </c>
      <c r="U124" s="11" t="s">
        <v>93</v>
      </c>
      <c r="V124" s="12" t="s">
        <v>395</v>
      </c>
      <c r="W124" s="13">
        <v>43383</v>
      </c>
      <c r="X124" s="13" t="str">
        <f t="shared" ca="1" si="0"/>
        <v>7 Th, 11 Bln</v>
      </c>
      <c r="Y124" s="5" t="s">
        <v>95</v>
      </c>
      <c r="Z124" s="14" t="s">
        <v>108</v>
      </c>
      <c r="AA124" s="5" t="s">
        <v>96</v>
      </c>
      <c r="AB124" s="5" t="s">
        <v>97</v>
      </c>
      <c r="AC124" s="7" t="s">
        <v>4037</v>
      </c>
      <c r="AD124" s="131" t="s">
        <v>175</v>
      </c>
      <c r="AE124" s="131" t="s">
        <v>265</v>
      </c>
      <c r="AF124" s="7" t="s">
        <v>177</v>
      </c>
      <c r="AG124" s="7" t="s">
        <v>178</v>
      </c>
      <c r="AH124" s="7" t="s">
        <v>178</v>
      </c>
      <c r="AI124" s="7">
        <v>65143</v>
      </c>
      <c r="AJ124" s="7" t="s">
        <v>103</v>
      </c>
      <c r="AK124" s="7" t="s">
        <v>104</v>
      </c>
      <c r="AL124" s="7" t="s">
        <v>4038</v>
      </c>
      <c r="AM124" s="15" t="s">
        <v>4039</v>
      </c>
      <c r="AN124" s="15" t="s">
        <v>4040</v>
      </c>
      <c r="AO124" s="8">
        <v>1</v>
      </c>
      <c r="AP124" s="8" t="s">
        <v>146</v>
      </c>
      <c r="AQ124" s="8" t="s">
        <v>108</v>
      </c>
      <c r="AR124" s="8" t="s">
        <v>108</v>
      </c>
      <c r="AS124" s="132" t="s">
        <v>3667</v>
      </c>
      <c r="AT124" s="131" t="s">
        <v>2574</v>
      </c>
      <c r="AU124" s="132" t="s">
        <v>149</v>
      </c>
      <c r="AV124" s="16" t="s">
        <v>212</v>
      </c>
      <c r="AW124" s="56"/>
      <c r="AX124" s="56" t="s">
        <v>183</v>
      </c>
      <c r="AY124" s="56" t="s">
        <v>4041</v>
      </c>
      <c r="AZ124" s="7" t="s">
        <v>4042</v>
      </c>
      <c r="BA124" s="10" t="s">
        <v>4043</v>
      </c>
      <c r="BB124" s="52">
        <v>33676</v>
      </c>
      <c r="BC124" s="17" t="s">
        <v>96</v>
      </c>
      <c r="BD124" s="17" t="s">
        <v>4044</v>
      </c>
      <c r="BE124" s="18" t="s">
        <v>118</v>
      </c>
      <c r="BF124" s="7" t="s">
        <v>4045</v>
      </c>
      <c r="BG124" s="7" t="s">
        <v>4046</v>
      </c>
      <c r="BH124" s="7" t="s">
        <v>4047</v>
      </c>
      <c r="BI124" s="7" t="s">
        <v>4048</v>
      </c>
      <c r="BJ124" s="19" t="s">
        <v>4049</v>
      </c>
      <c r="BK124" s="20" t="s">
        <v>4050</v>
      </c>
      <c r="BL124" s="58" t="s">
        <v>4051</v>
      </c>
      <c r="BM124" s="7" t="s">
        <v>4052</v>
      </c>
      <c r="BN124" s="22" t="s">
        <v>911</v>
      </c>
      <c r="BO124" s="49">
        <v>33636</v>
      </c>
      <c r="BP124" s="17" t="s">
        <v>96</v>
      </c>
      <c r="BQ124" s="17" t="s">
        <v>4040</v>
      </c>
      <c r="BR124" s="18" t="s">
        <v>118</v>
      </c>
      <c r="BS124" s="7" t="s">
        <v>790</v>
      </c>
      <c r="BT124" s="7" t="s">
        <v>452</v>
      </c>
      <c r="BU124" s="7" t="s">
        <v>4037</v>
      </c>
      <c r="BV124" s="8" t="s">
        <v>4040</v>
      </c>
      <c r="BW124" s="23" t="s">
        <v>127</v>
      </c>
      <c r="BX124" s="24" t="s">
        <v>4053</v>
      </c>
      <c r="BY124" s="21" t="s">
        <v>4054</v>
      </c>
      <c r="BZ124" s="21" t="s">
        <v>94</v>
      </c>
      <c r="CA124" s="21">
        <v>23952</v>
      </c>
      <c r="CB124" s="21"/>
      <c r="CC124" s="21" t="s">
        <v>4055</v>
      </c>
      <c r="CD124" s="21" t="s">
        <v>118</v>
      </c>
      <c r="CE124" s="21" t="s">
        <v>503</v>
      </c>
      <c r="CF124" s="21" t="s">
        <v>96</v>
      </c>
      <c r="CG124" s="21" t="s">
        <v>4056</v>
      </c>
      <c r="CH124" s="21" t="s">
        <v>176</v>
      </c>
      <c r="CI124" s="21" t="s">
        <v>1862</v>
      </c>
      <c r="CJ124" s="21" t="s">
        <v>4057</v>
      </c>
      <c r="CK124" s="21" t="s">
        <v>4057</v>
      </c>
      <c r="CL124" s="21" t="s">
        <v>4058</v>
      </c>
      <c r="CM124" s="25"/>
      <c r="CN124" s="25"/>
      <c r="CO124" s="25"/>
      <c r="CP124" s="26"/>
    </row>
    <row r="125" spans="1:94" s="122" customFormat="1" ht="23.25" customHeight="1">
      <c r="A125" s="4">
        <v>21</v>
      </c>
      <c r="B125" s="6"/>
      <c r="C125" s="6"/>
      <c r="D125" s="6"/>
      <c r="E125" s="6"/>
      <c r="F125" s="6"/>
      <c r="G125" s="6"/>
      <c r="H125" s="5"/>
      <c r="I125" s="7" t="s">
        <v>2452</v>
      </c>
      <c r="J125" s="7" t="s">
        <v>402</v>
      </c>
      <c r="K125" s="7" t="s">
        <v>4059</v>
      </c>
      <c r="L125" s="5"/>
      <c r="M125" s="5">
        <v>2165</v>
      </c>
      <c r="N125" s="9">
        <v>3182837776</v>
      </c>
      <c r="O125" s="9" t="s">
        <v>11549</v>
      </c>
      <c r="P125" s="10" t="s">
        <v>4060</v>
      </c>
      <c r="Q125" s="389" t="s">
        <v>4061</v>
      </c>
      <c r="R125" s="8" t="s">
        <v>2445</v>
      </c>
      <c r="S125" s="212" t="s">
        <v>12138</v>
      </c>
      <c r="T125" s="8" t="s">
        <v>4062</v>
      </c>
      <c r="U125" s="11" t="s">
        <v>172</v>
      </c>
      <c r="V125" s="12" t="s">
        <v>2016</v>
      </c>
      <c r="W125" s="13">
        <v>43384</v>
      </c>
      <c r="X125" s="13" t="str">
        <f t="shared" ca="1" si="0"/>
        <v>7 Th, 11 Bln</v>
      </c>
      <c r="Y125" s="5" t="s">
        <v>95</v>
      </c>
      <c r="Z125" s="14" t="s">
        <v>108</v>
      </c>
      <c r="AA125" s="5" t="s">
        <v>96</v>
      </c>
      <c r="AB125" s="5" t="s">
        <v>97</v>
      </c>
      <c r="AC125" s="7" t="s">
        <v>4063</v>
      </c>
      <c r="AD125" s="131" t="s">
        <v>207</v>
      </c>
      <c r="AE125" s="131" t="s">
        <v>318</v>
      </c>
      <c r="AF125" s="7" t="s">
        <v>4064</v>
      </c>
      <c r="AG125" s="7" t="s">
        <v>547</v>
      </c>
      <c r="AH125" s="7" t="s">
        <v>178</v>
      </c>
      <c r="AI125" s="7">
        <v>65142</v>
      </c>
      <c r="AJ125" s="7" t="s">
        <v>94</v>
      </c>
      <c r="AK125" s="7" t="s">
        <v>179</v>
      </c>
      <c r="AL125" s="7" t="s">
        <v>665</v>
      </c>
      <c r="AM125" s="15" t="s">
        <v>4065</v>
      </c>
      <c r="AN125" s="15" t="s">
        <v>4065</v>
      </c>
      <c r="AO125" s="8">
        <v>1</v>
      </c>
      <c r="AP125" s="8" t="s">
        <v>146</v>
      </c>
      <c r="AQ125" s="8" t="s">
        <v>108</v>
      </c>
      <c r="AR125" s="8" t="s">
        <v>108</v>
      </c>
      <c r="AS125" s="132" t="s">
        <v>4066</v>
      </c>
      <c r="AT125" s="131" t="s">
        <v>3150</v>
      </c>
      <c r="AU125" s="132" t="s">
        <v>182</v>
      </c>
      <c r="AV125" s="16" t="s">
        <v>112</v>
      </c>
      <c r="AW125" s="56"/>
      <c r="AX125" s="56" t="s">
        <v>114</v>
      </c>
      <c r="AY125" s="56" t="s">
        <v>4067</v>
      </c>
      <c r="AZ125" s="7" t="s">
        <v>4068</v>
      </c>
      <c r="BA125" s="10" t="s">
        <v>2016</v>
      </c>
      <c r="BB125" s="52">
        <v>31230</v>
      </c>
      <c r="BC125" s="17" t="s">
        <v>96</v>
      </c>
      <c r="BD125" s="17" t="s">
        <v>4065</v>
      </c>
      <c r="BE125" s="18" t="s">
        <v>153</v>
      </c>
      <c r="BF125" s="7" t="s">
        <v>276</v>
      </c>
      <c r="BG125" s="7" t="s">
        <v>4069</v>
      </c>
      <c r="BH125" s="7" t="s">
        <v>4070</v>
      </c>
      <c r="BI125" s="7" t="s">
        <v>4071</v>
      </c>
      <c r="BJ125" s="19">
        <v>30000000</v>
      </c>
      <c r="BK125" s="20" t="s">
        <v>4072</v>
      </c>
      <c r="BL125" s="58" t="s">
        <v>4073</v>
      </c>
      <c r="BM125" s="7" t="s">
        <v>4074</v>
      </c>
      <c r="BN125" s="22" t="s">
        <v>2016</v>
      </c>
      <c r="BO125" s="49">
        <v>31686</v>
      </c>
      <c r="BP125" s="17" t="s">
        <v>96</v>
      </c>
      <c r="BQ125" s="17" t="s">
        <v>4075</v>
      </c>
      <c r="BR125" s="18" t="s">
        <v>118</v>
      </c>
      <c r="BS125" s="7" t="s">
        <v>195</v>
      </c>
      <c r="BT125" s="7" t="s">
        <v>4076</v>
      </c>
      <c r="BU125" s="7" t="s">
        <v>4063</v>
      </c>
      <c r="BV125" s="8" t="s">
        <v>108</v>
      </c>
      <c r="BW125" s="23">
        <v>10000000</v>
      </c>
      <c r="BX125" s="24" t="s">
        <v>4077</v>
      </c>
      <c r="BY125" s="21" t="s">
        <v>108</v>
      </c>
      <c r="BZ125" s="21" t="s">
        <v>108</v>
      </c>
      <c r="CA125" s="21"/>
      <c r="CB125" s="21"/>
      <c r="CC125" s="21"/>
      <c r="CD125" s="21"/>
      <c r="CE125" s="21" t="s">
        <v>108</v>
      </c>
      <c r="CF125" s="21"/>
      <c r="CG125" s="21" t="s">
        <v>108</v>
      </c>
      <c r="CH125" s="21"/>
      <c r="CI125" s="21"/>
      <c r="CJ125" s="21" t="s">
        <v>108</v>
      </c>
      <c r="CK125" s="21" t="s">
        <v>108</v>
      </c>
      <c r="CL125" s="21" t="s">
        <v>108</v>
      </c>
      <c r="CM125" s="120"/>
      <c r="CN125" s="120"/>
      <c r="CO125" s="120"/>
      <c r="CP125" s="121"/>
    </row>
    <row r="126" spans="1:94" s="27" customFormat="1" ht="23.25" customHeight="1">
      <c r="A126" s="4">
        <v>22</v>
      </c>
      <c r="B126" s="6"/>
      <c r="C126" s="6"/>
      <c r="D126" s="6"/>
      <c r="E126" s="6"/>
      <c r="F126" s="6"/>
      <c r="G126" s="6"/>
      <c r="H126" s="5"/>
      <c r="I126" s="7" t="s">
        <v>2452</v>
      </c>
      <c r="J126" s="7" t="s">
        <v>4078</v>
      </c>
      <c r="K126" s="7" t="s">
        <v>4079</v>
      </c>
      <c r="L126" s="5"/>
      <c r="M126" s="5">
        <v>2166</v>
      </c>
      <c r="N126" s="9">
        <v>3188934031</v>
      </c>
      <c r="O126" s="9" t="s">
        <v>11550</v>
      </c>
      <c r="P126" s="10" t="s">
        <v>4080</v>
      </c>
      <c r="Q126" s="389" t="s">
        <v>4081</v>
      </c>
      <c r="R126" s="8" t="s">
        <v>2445</v>
      </c>
      <c r="S126" s="212" t="s">
        <v>12138</v>
      </c>
      <c r="T126" s="8" t="s">
        <v>4082</v>
      </c>
      <c r="U126" s="11" t="s">
        <v>172</v>
      </c>
      <c r="V126" s="12" t="s">
        <v>94</v>
      </c>
      <c r="W126" s="13">
        <v>43143</v>
      </c>
      <c r="X126" s="13" t="str">
        <f t="shared" ca="1" si="0"/>
        <v>8 Th, 7 Bln</v>
      </c>
      <c r="Y126" s="5" t="s">
        <v>95</v>
      </c>
      <c r="Z126" s="14" t="s">
        <v>108</v>
      </c>
      <c r="AA126" s="5" t="s">
        <v>96</v>
      </c>
      <c r="AB126" s="5" t="s">
        <v>97</v>
      </c>
      <c r="AC126" s="7" t="s">
        <v>4083</v>
      </c>
      <c r="AD126" s="131" t="s">
        <v>1281</v>
      </c>
      <c r="AE126" s="131" t="s">
        <v>358</v>
      </c>
      <c r="AF126" s="7" t="s">
        <v>177</v>
      </c>
      <c r="AG126" s="7" t="s">
        <v>178</v>
      </c>
      <c r="AH126" s="7" t="s">
        <v>178</v>
      </c>
      <c r="AI126" s="7">
        <v>65143</v>
      </c>
      <c r="AJ126" s="7" t="s">
        <v>103</v>
      </c>
      <c r="AK126" s="7" t="s">
        <v>104</v>
      </c>
      <c r="AL126" s="7" t="s">
        <v>688</v>
      </c>
      <c r="AM126" s="15">
        <v>0</v>
      </c>
      <c r="AN126" s="15" t="s">
        <v>4084</v>
      </c>
      <c r="AO126" s="8">
        <v>2</v>
      </c>
      <c r="AP126" s="8" t="s">
        <v>146</v>
      </c>
      <c r="AQ126" s="8" t="s">
        <v>108</v>
      </c>
      <c r="AR126" s="8" t="s">
        <v>108</v>
      </c>
      <c r="AS126" s="132" t="s">
        <v>1177</v>
      </c>
      <c r="AT126" s="131" t="s">
        <v>3002</v>
      </c>
      <c r="AU126" s="132" t="s">
        <v>111</v>
      </c>
      <c r="AV126" s="16" t="s">
        <v>112</v>
      </c>
      <c r="AW126" s="56"/>
      <c r="AX126" s="56" t="s">
        <v>183</v>
      </c>
      <c r="AY126" s="56" t="s">
        <v>4085</v>
      </c>
      <c r="AZ126" s="7" t="s">
        <v>4086</v>
      </c>
      <c r="BA126" s="10" t="s">
        <v>4087</v>
      </c>
      <c r="BB126" s="52">
        <v>28328</v>
      </c>
      <c r="BC126" s="17" t="s">
        <v>96</v>
      </c>
      <c r="BD126" s="17" t="s">
        <v>4088</v>
      </c>
      <c r="BE126" s="18" t="s">
        <v>153</v>
      </c>
      <c r="BF126" s="7" t="s">
        <v>4089</v>
      </c>
      <c r="BG126" s="7" t="s">
        <v>4090</v>
      </c>
      <c r="BH126" s="7" t="s">
        <v>4091</v>
      </c>
      <c r="BI126" s="7" t="s">
        <v>4092</v>
      </c>
      <c r="BJ126" s="19" t="s">
        <v>4093</v>
      </c>
      <c r="BK126" s="20" t="s">
        <v>4094</v>
      </c>
      <c r="BL126" s="58" t="s">
        <v>4095</v>
      </c>
      <c r="BM126" s="7" t="s">
        <v>4096</v>
      </c>
      <c r="BN126" s="22" t="s">
        <v>653</v>
      </c>
      <c r="BO126" s="49">
        <v>29979</v>
      </c>
      <c r="BP126" s="17" t="s">
        <v>96</v>
      </c>
      <c r="BQ126" s="17" t="s">
        <v>4084</v>
      </c>
      <c r="BR126" s="18" t="s">
        <v>118</v>
      </c>
      <c r="BS126" s="7" t="s">
        <v>372</v>
      </c>
      <c r="BT126" s="7" t="s">
        <v>4097</v>
      </c>
      <c r="BU126" s="7" t="s">
        <v>4098</v>
      </c>
      <c r="BV126" s="8" t="s">
        <v>4099</v>
      </c>
      <c r="BW126" s="23" t="s">
        <v>4100</v>
      </c>
      <c r="BX126" s="24" t="s">
        <v>4101</v>
      </c>
      <c r="BY126" s="21" t="s">
        <v>108</v>
      </c>
      <c r="BZ126" s="21" t="s">
        <v>108</v>
      </c>
      <c r="CA126" s="21"/>
      <c r="CB126" s="21"/>
      <c r="CC126" s="21"/>
      <c r="CD126" s="21"/>
      <c r="CE126" s="21" t="s">
        <v>108</v>
      </c>
      <c r="CF126" s="21"/>
      <c r="CG126" s="21" t="s">
        <v>108</v>
      </c>
      <c r="CH126" s="21"/>
      <c r="CI126" s="21"/>
      <c r="CJ126" s="21" t="s">
        <v>108</v>
      </c>
      <c r="CK126" s="21" t="s">
        <v>108</v>
      </c>
      <c r="CL126" s="21" t="s">
        <v>108</v>
      </c>
      <c r="CM126" s="25"/>
      <c r="CN126" s="25"/>
      <c r="CO126" s="25"/>
      <c r="CP126" s="26"/>
    </row>
    <row r="127" spans="1:94" s="116" customFormat="1" ht="23.25" customHeight="1">
      <c r="A127" s="4">
        <v>23</v>
      </c>
      <c r="B127" s="28"/>
      <c r="C127" s="28"/>
      <c r="D127" s="28"/>
      <c r="E127" s="28"/>
      <c r="F127" s="28"/>
      <c r="G127" s="28"/>
      <c r="H127" s="29"/>
      <c r="I127" s="30" t="s">
        <v>2452</v>
      </c>
      <c r="J127" s="30" t="s">
        <v>4102</v>
      </c>
      <c r="K127" s="30" t="s">
        <v>4103</v>
      </c>
      <c r="L127" s="29"/>
      <c r="M127" s="29">
        <v>2167</v>
      </c>
      <c r="N127" s="92">
        <v>3182970811</v>
      </c>
      <c r="O127" s="92" t="s">
        <v>11551</v>
      </c>
      <c r="P127" s="32" t="s">
        <v>4104</v>
      </c>
      <c r="Q127" s="390" t="s">
        <v>4105</v>
      </c>
      <c r="R127" s="8" t="s">
        <v>2445</v>
      </c>
      <c r="S127" s="212" t="s">
        <v>12138</v>
      </c>
      <c r="T127" s="31" t="s">
        <v>4106</v>
      </c>
      <c r="U127" s="33" t="s">
        <v>172</v>
      </c>
      <c r="V127" s="34" t="s">
        <v>94</v>
      </c>
      <c r="W127" s="35">
        <v>43193</v>
      </c>
      <c r="X127" s="35" t="str">
        <f t="shared" ca="1" si="0"/>
        <v>8 Th, 5 Bln</v>
      </c>
      <c r="Y127" s="29" t="s">
        <v>425</v>
      </c>
      <c r="Z127" s="36" t="s">
        <v>2022</v>
      </c>
      <c r="AA127" s="29" t="s">
        <v>96</v>
      </c>
      <c r="AB127" s="29" t="s">
        <v>97</v>
      </c>
      <c r="AC127" s="30" t="s">
        <v>4107</v>
      </c>
      <c r="AD127" s="129" t="s">
        <v>546</v>
      </c>
      <c r="AE127" s="129">
        <v>12</v>
      </c>
      <c r="AF127" s="30" t="s">
        <v>139</v>
      </c>
      <c r="AG127" s="30" t="s">
        <v>140</v>
      </c>
      <c r="AH127" s="30" t="s">
        <v>141</v>
      </c>
      <c r="AI127" s="30">
        <v>65152</v>
      </c>
      <c r="AJ127" s="30" t="s">
        <v>94</v>
      </c>
      <c r="AK127" s="30" t="s">
        <v>179</v>
      </c>
      <c r="AL127" s="30" t="s">
        <v>1436</v>
      </c>
      <c r="AM127" s="37" t="s">
        <v>4108</v>
      </c>
      <c r="AN127" s="37" t="s">
        <v>4109</v>
      </c>
      <c r="AO127" s="31">
        <v>3</v>
      </c>
      <c r="AP127" s="31" t="s">
        <v>298</v>
      </c>
      <c r="AQ127" s="31" t="s">
        <v>127</v>
      </c>
      <c r="AR127" s="31" t="s">
        <v>127</v>
      </c>
      <c r="AS127" s="130" t="s">
        <v>4110</v>
      </c>
      <c r="AT127" s="129" t="s">
        <v>4111</v>
      </c>
      <c r="AU127" s="130" t="s">
        <v>182</v>
      </c>
      <c r="AV127" s="38" t="s">
        <v>112</v>
      </c>
      <c r="AW127" s="123"/>
      <c r="AX127" s="123" t="s">
        <v>323</v>
      </c>
      <c r="AY127" s="123" t="s">
        <v>4112</v>
      </c>
      <c r="AZ127" s="30" t="s">
        <v>4113</v>
      </c>
      <c r="BA127" s="32" t="s">
        <v>2417</v>
      </c>
      <c r="BB127" s="53">
        <v>29024</v>
      </c>
      <c r="BC127" s="39" t="s">
        <v>96</v>
      </c>
      <c r="BD127" s="39" t="s">
        <v>4109</v>
      </c>
      <c r="BE127" s="40" t="s">
        <v>118</v>
      </c>
      <c r="BF127" s="30" t="s">
        <v>247</v>
      </c>
      <c r="BG127" s="30" t="s">
        <v>4114</v>
      </c>
      <c r="BH127" s="30" t="s">
        <v>94</v>
      </c>
      <c r="BI127" s="30" t="s">
        <v>4109</v>
      </c>
      <c r="BJ127" s="41" t="s">
        <v>4115</v>
      </c>
      <c r="BK127" s="111" t="s">
        <v>4116</v>
      </c>
      <c r="BL127" s="124" t="s">
        <v>4117</v>
      </c>
      <c r="BM127" s="30" t="s">
        <v>4118</v>
      </c>
      <c r="BN127" s="125" t="s">
        <v>3340</v>
      </c>
      <c r="BO127" s="50">
        <v>30110</v>
      </c>
      <c r="BP127" s="39" t="s">
        <v>96</v>
      </c>
      <c r="BQ127" s="39" t="s">
        <v>4108</v>
      </c>
      <c r="BR127" s="40" t="s">
        <v>118</v>
      </c>
      <c r="BS127" s="30" t="s">
        <v>126</v>
      </c>
      <c r="BT127" s="30" t="s">
        <v>127</v>
      </c>
      <c r="BU127" s="30" t="s">
        <v>127</v>
      </c>
      <c r="BV127" s="31" t="s">
        <v>127</v>
      </c>
      <c r="BW127" s="126" t="s">
        <v>127</v>
      </c>
      <c r="BX127" s="127" t="s">
        <v>4119</v>
      </c>
      <c r="BY127" s="47" t="s">
        <v>108</v>
      </c>
      <c r="BZ127" s="47" t="s">
        <v>108</v>
      </c>
      <c r="CA127" s="47"/>
      <c r="CB127" s="47"/>
      <c r="CC127" s="47"/>
      <c r="CD127" s="47"/>
      <c r="CE127" s="47" t="s">
        <v>108</v>
      </c>
      <c r="CF127" s="47"/>
      <c r="CG127" s="47" t="s">
        <v>108</v>
      </c>
      <c r="CH127" s="47"/>
      <c r="CI127" s="47"/>
      <c r="CJ127" s="47" t="s">
        <v>108</v>
      </c>
      <c r="CK127" s="47" t="s">
        <v>108</v>
      </c>
      <c r="CL127" s="47" t="s">
        <v>108</v>
      </c>
      <c r="CM127" s="114"/>
      <c r="CN127" s="114"/>
      <c r="CO127" s="114"/>
      <c r="CP127" s="115"/>
    </row>
    <row r="128" spans="1:94" s="27" customFormat="1" ht="23.25" customHeight="1">
      <c r="A128" s="4">
        <v>24</v>
      </c>
      <c r="B128" s="6"/>
      <c r="C128" s="6"/>
      <c r="D128" s="6"/>
      <c r="E128" s="6"/>
      <c r="F128" s="6"/>
      <c r="G128" s="6"/>
      <c r="H128" s="5"/>
      <c r="I128" s="7" t="s">
        <v>2452</v>
      </c>
      <c r="J128" s="7" t="s">
        <v>3891</v>
      </c>
      <c r="K128" s="7" t="s">
        <v>1101</v>
      </c>
      <c r="L128" s="5"/>
      <c r="M128" s="5">
        <v>2156</v>
      </c>
      <c r="N128" s="9">
        <v>3185415862</v>
      </c>
      <c r="O128" s="9" t="s">
        <v>11552</v>
      </c>
      <c r="P128" s="10" t="s">
        <v>3892</v>
      </c>
      <c r="Q128" s="389" t="s">
        <v>11455</v>
      </c>
      <c r="R128" s="8" t="s">
        <v>2445</v>
      </c>
      <c r="S128" s="212" t="s">
        <v>12138</v>
      </c>
      <c r="T128" s="8" t="s">
        <v>3263</v>
      </c>
      <c r="U128" s="11" t="s">
        <v>172</v>
      </c>
      <c r="V128" s="12" t="s">
        <v>94</v>
      </c>
      <c r="W128" s="13">
        <v>43260</v>
      </c>
      <c r="X128" s="13" t="str">
        <f t="shared" ca="1" si="0"/>
        <v>8 Th, 3 Bln</v>
      </c>
      <c r="Y128" s="5" t="s">
        <v>95</v>
      </c>
      <c r="Z128" s="14" t="s">
        <v>108</v>
      </c>
      <c r="AA128" s="5" t="s">
        <v>96</v>
      </c>
      <c r="AB128" s="5" t="s">
        <v>97</v>
      </c>
      <c r="AC128" s="7" t="s">
        <v>3893</v>
      </c>
      <c r="AD128" s="131">
        <v>5</v>
      </c>
      <c r="AE128" s="131">
        <v>2</v>
      </c>
      <c r="AF128" s="7" t="s">
        <v>1304</v>
      </c>
      <c r="AG128" s="7" t="s">
        <v>241</v>
      </c>
      <c r="AH128" s="7" t="s">
        <v>241</v>
      </c>
      <c r="AI128" s="7">
        <v>65126</v>
      </c>
      <c r="AJ128" s="7" t="s">
        <v>103</v>
      </c>
      <c r="AK128" s="7" t="s">
        <v>179</v>
      </c>
      <c r="AL128" s="7" t="s">
        <v>1305</v>
      </c>
      <c r="AM128" s="15" t="s">
        <v>127</v>
      </c>
      <c r="AN128" s="15" t="s">
        <v>3894</v>
      </c>
      <c r="AO128" s="8">
        <v>2</v>
      </c>
      <c r="AP128" s="8" t="s">
        <v>146</v>
      </c>
      <c r="AQ128" s="8" t="s">
        <v>127</v>
      </c>
      <c r="AR128" s="8" t="s">
        <v>127</v>
      </c>
      <c r="AS128" s="132" t="s">
        <v>2829</v>
      </c>
      <c r="AT128" s="131" t="s">
        <v>2780</v>
      </c>
      <c r="AU128" s="132" t="s">
        <v>111</v>
      </c>
      <c r="AV128" s="16" t="s">
        <v>112</v>
      </c>
      <c r="AW128" s="56"/>
      <c r="AX128" s="56" t="s">
        <v>114</v>
      </c>
      <c r="AY128" s="56" t="s">
        <v>3895</v>
      </c>
      <c r="AZ128" s="7">
        <v>350725279840003</v>
      </c>
      <c r="BA128" s="10" t="s">
        <v>971</v>
      </c>
      <c r="BB128" s="52">
        <v>30952</v>
      </c>
      <c r="BC128" s="17" t="s">
        <v>96</v>
      </c>
      <c r="BD128" s="17" t="s">
        <v>3896</v>
      </c>
      <c r="BE128" s="18" t="s">
        <v>118</v>
      </c>
      <c r="BF128" s="7" t="s">
        <v>327</v>
      </c>
      <c r="BG128" s="7" t="s">
        <v>3897</v>
      </c>
      <c r="BH128" s="7" t="s">
        <v>3898</v>
      </c>
      <c r="BI128" s="7" t="s">
        <v>3899</v>
      </c>
      <c r="BJ128" s="19">
        <v>25000000</v>
      </c>
      <c r="BK128" s="20" t="s">
        <v>3900</v>
      </c>
      <c r="BL128" s="58" t="s">
        <v>3901</v>
      </c>
      <c r="BM128" s="7" t="s">
        <v>3902</v>
      </c>
      <c r="BN128" s="22" t="s">
        <v>94</v>
      </c>
      <c r="BO128" s="49">
        <v>31873</v>
      </c>
      <c r="BP128" s="17" t="s">
        <v>96</v>
      </c>
      <c r="BQ128" s="17" t="s">
        <v>3894</v>
      </c>
      <c r="BR128" s="18" t="s">
        <v>118</v>
      </c>
      <c r="BS128" s="7" t="s">
        <v>254</v>
      </c>
      <c r="BT128" s="7" t="s">
        <v>127</v>
      </c>
      <c r="BU128" s="7" t="s">
        <v>127</v>
      </c>
      <c r="BV128" s="8" t="s">
        <v>127</v>
      </c>
      <c r="BW128" s="23" t="s">
        <v>127</v>
      </c>
      <c r="BX128" s="24" t="s">
        <v>3903</v>
      </c>
      <c r="BY128" s="21" t="s">
        <v>108</v>
      </c>
      <c r="BZ128" s="21" t="s">
        <v>108</v>
      </c>
      <c r="CA128" s="21"/>
      <c r="CB128" s="21"/>
      <c r="CC128" s="21"/>
      <c r="CD128" s="21"/>
      <c r="CE128" s="21" t="s">
        <v>108</v>
      </c>
      <c r="CF128" s="21"/>
      <c r="CG128" s="21" t="s">
        <v>108</v>
      </c>
      <c r="CH128" s="21"/>
      <c r="CI128" s="21"/>
      <c r="CJ128" s="21" t="s">
        <v>108</v>
      </c>
      <c r="CK128" s="21" t="s">
        <v>108</v>
      </c>
      <c r="CL128" s="21" t="s">
        <v>108</v>
      </c>
      <c r="CM128" s="25"/>
      <c r="CN128" s="25"/>
      <c r="CO128" s="25"/>
      <c r="CP128" s="26"/>
    </row>
    <row r="129" spans="1:94" s="27" customFormat="1" ht="23.25" customHeight="1">
      <c r="A129" s="4">
        <v>25</v>
      </c>
      <c r="B129" s="6"/>
      <c r="C129" s="6"/>
      <c r="D129" s="6"/>
      <c r="E129" s="6"/>
      <c r="F129" s="6"/>
      <c r="G129" s="6"/>
      <c r="H129" s="5"/>
      <c r="I129" s="7" t="s">
        <v>86</v>
      </c>
      <c r="J129" s="7" t="s">
        <v>2282</v>
      </c>
      <c r="K129" s="7" t="s">
        <v>4293</v>
      </c>
      <c r="L129" s="5"/>
      <c r="M129" s="5">
        <v>2177</v>
      </c>
      <c r="N129" s="9">
        <v>3181980628</v>
      </c>
      <c r="O129" s="9" t="s">
        <v>11292</v>
      </c>
      <c r="P129" s="10" t="s">
        <v>4294</v>
      </c>
      <c r="Q129" s="389" t="s">
        <v>11457</v>
      </c>
      <c r="R129" s="8" t="s">
        <v>2445</v>
      </c>
      <c r="S129" s="212" t="s">
        <v>12138</v>
      </c>
      <c r="T129" s="8" t="s">
        <v>4295</v>
      </c>
      <c r="U129" s="11" t="s">
        <v>172</v>
      </c>
      <c r="V129" s="12" t="s">
        <v>94</v>
      </c>
      <c r="W129" s="13">
        <v>43294</v>
      </c>
      <c r="X129" s="13" t="str">
        <f t="shared" ca="1" si="0"/>
        <v>8 Th, 2 Bln</v>
      </c>
      <c r="Y129" s="5" t="s">
        <v>95</v>
      </c>
      <c r="Z129" s="14" t="s">
        <v>108</v>
      </c>
      <c r="AA129" s="5" t="s">
        <v>96</v>
      </c>
      <c r="AB129" s="5" t="s">
        <v>97</v>
      </c>
      <c r="AC129" s="7" t="s">
        <v>4296</v>
      </c>
      <c r="AD129" s="131" t="s">
        <v>546</v>
      </c>
      <c r="AE129" s="131" t="s">
        <v>384</v>
      </c>
      <c r="AF129" s="7" t="s">
        <v>567</v>
      </c>
      <c r="AG129" s="7" t="s">
        <v>547</v>
      </c>
      <c r="AH129" s="7" t="s">
        <v>178</v>
      </c>
      <c r="AI129" s="7">
        <v>65143</v>
      </c>
      <c r="AJ129" s="7" t="s">
        <v>544</v>
      </c>
      <c r="AK129" s="7" t="s">
        <v>104</v>
      </c>
      <c r="AL129" s="7" t="s">
        <v>147</v>
      </c>
      <c r="AM129" s="15" t="s">
        <v>4297</v>
      </c>
      <c r="AN129" s="15" t="s">
        <v>4297</v>
      </c>
      <c r="AO129" s="8">
        <v>3</v>
      </c>
      <c r="AP129" s="8" t="s">
        <v>107</v>
      </c>
      <c r="AQ129" s="8" t="s">
        <v>127</v>
      </c>
      <c r="AR129" s="8" t="s">
        <v>127</v>
      </c>
      <c r="AS129" s="132" t="s">
        <v>3077</v>
      </c>
      <c r="AT129" s="131" t="s">
        <v>2530</v>
      </c>
      <c r="AU129" s="132" t="s">
        <v>498</v>
      </c>
      <c r="AV129" s="16" t="s">
        <v>112</v>
      </c>
      <c r="AW129" s="56"/>
      <c r="AX129" s="56" t="s">
        <v>734</v>
      </c>
      <c r="AY129" s="56" t="s">
        <v>4298</v>
      </c>
      <c r="AZ129" s="7" t="s">
        <v>4299</v>
      </c>
      <c r="BA129" s="10" t="s">
        <v>4300</v>
      </c>
      <c r="BB129" s="52">
        <v>30181</v>
      </c>
      <c r="BC129" s="17" t="s">
        <v>737</v>
      </c>
      <c r="BD129" s="17" t="s">
        <v>4297</v>
      </c>
      <c r="BE129" s="18" t="s">
        <v>4301</v>
      </c>
      <c r="BF129" s="7" t="s">
        <v>2122</v>
      </c>
      <c r="BG129" s="7" t="s">
        <v>3885</v>
      </c>
      <c r="BH129" s="7" t="s">
        <v>1250</v>
      </c>
      <c r="BI129" s="7" t="s">
        <v>4302</v>
      </c>
      <c r="BJ129" s="19" t="s">
        <v>4303</v>
      </c>
      <c r="BK129" s="20" t="s">
        <v>4304</v>
      </c>
      <c r="BL129" s="58" t="s">
        <v>4305</v>
      </c>
      <c r="BM129" s="7" t="s">
        <v>4306</v>
      </c>
      <c r="BN129" s="22" t="s">
        <v>4300</v>
      </c>
      <c r="BO129" s="49">
        <v>33361</v>
      </c>
      <c r="BP129" s="17" t="s">
        <v>96</v>
      </c>
      <c r="BQ129" s="404" t="s">
        <v>13439</v>
      </c>
      <c r="BR129" s="18" t="s">
        <v>216</v>
      </c>
      <c r="BS129" s="7" t="s">
        <v>582</v>
      </c>
      <c r="BT129" s="7" t="s">
        <v>127</v>
      </c>
      <c r="BU129" s="7" t="s">
        <v>127</v>
      </c>
      <c r="BV129" s="8" t="s">
        <v>127</v>
      </c>
      <c r="BW129" s="23" t="s">
        <v>127</v>
      </c>
      <c r="BX129" s="24" t="s">
        <v>4307</v>
      </c>
      <c r="BY129" s="21" t="s">
        <v>108</v>
      </c>
      <c r="BZ129" s="21" t="s">
        <v>108</v>
      </c>
      <c r="CA129" s="21"/>
      <c r="CB129" s="21"/>
      <c r="CC129" s="21"/>
      <c r="CD129" s="21"/>
      <c r="CE129" s="21" t="s">
        <v>108</v>
      </c>
      <c r="CF129" s="21"/>
      <c r="CG129" s="21" t="s">
        <v>108</v>
      </c>
      <c r="CH129" s="21"/>
      <c r="CI129" s="21"/>
      <c r="CJ129" s="21" t="s">
        <v>108</v>
      </c>
      <c r="CK129" s="21" t="s">
        <v>108</v>
      </c>
      <c r="CL129" s="21" t="s">
        <v>108</v>
      </c>
      <c r="CM129" s="25"/>
      <c r="CN129" s="25"/>
      <c r="CO129" s="25"/>
      <c r="CP129" s="26"/>
    </row>
    <row r="130" spans="1:94" s="27" customFormat="1" ht="23.25" customHeight="1">
      <c r="A130" s="4">
        <v>27</v>
      </c>
      <c r="B130" s="28"/>
      <c r="C130" s="28"/>
      <c r="D130" s="28"/>
      <c r="E130" s="28"/>
      <c r="F130" s="28"/>
      <c r="G130" s="28"/>
      <c r="H130" s="29"/>
      <c r="I130" s="30" t="s">
        <v>2452</v>
      </c>
      <c r="J130" s="30" t="s">
        <v>2083</v>
      </c>
      <c r="K130" s="30" t="s">
        <v>2061</v>
      </c>
      <c r="L130" s="29"/>
      <c r="M130" s="29">
        <v>2181</v>
      </c>
      <c r="N130" s="92">
        <v>3180183619</v>
      </c>
      <c r="O130" s="92" t="s">
        <v>11553</v>
      </c>
      <c r="P130" s="32" t="s">
        <v>4342</v>
      </c>
      <c r="Q130" s="390" t="s">
        <v>4343</v>
      </c>
      <c r="R130" s="8" t="s">
        <v>2445</v>
      </c>
      <c r="S130" s="212" t="s">
        <v>12138</v>
      </c>
      <c r="T130" s="31" t="s">
        <v>4344</v>
      </c>
      <c r="U130" s="33" t="s">
        <v>93</v>
      </c>
      <c r="V130" s="34" t="s">
        <v>94</v>
      </c>
      <c r="W130" s="35">
        <v>43225</v>
      </c>
      <c r="X130" s="35" t="str">
        <f t="shared" ca="1" si="0"/>
        <v>8 Th, 4 Bln</v>
      </c>
      <c r="Y130" s="29" t="s">
        <v>425</v>
      </c>
      <c r="Z130" s="36" t="s">
        <v>2357</v>
      </c>
      <c r="AA130" s="29" t="s">
        <v>96</v>
      </c>
      <c r="AB130" s="29" t="s">
        <v>97</v>
      </c>
      <c r="AC130" s="30" t="s">
        <v>4345</v>
      </c>
      <c r="AD130" s="129" t="s">
        <v>293</v>
      </c>
      <c r="AE130" s="129">
        <v>10</v>
      </c>
      <c r="AF130" s="30" t="s">
        <v>241</v>
      </c>
      <c r="AG130" s="30" t="s">
        <v>241</v>
      </c>
      <c r="AH130" s="30" t="s">
        <v>241</v>
      </c>
      <c r="AI130" s="30">
        <v>65125</v>
      </c>
      <c r="AJ130" s="30" t="s">
        <v>103</v>
      </c>
      <c r="AK130" s="30" t="s">
        <v>104</v>
      </c>
      <c r="AL130" s="30" t="s">
        <v>269</v>
      </c>
      <c r="AM130" s="37" t="s">
        <v>127</v>
      </c>
      <c r="AN130" s="37" t="s">
        <v>4346</v>
      </c>
      <c r="AO130" s="31">
        <v>2</v>
      </c>
      <c r="AP130" s="31" t="s">
        <v>107</v>
      </c>
      <c r="AQ130" s="31" t="s">
        <v>127</v>
      </c>
      <c r="AR130" s="31" t="s">
        <v>127</v>
      </c>
      <c r="AS130" s="130" t="s">
        <v>4347</v>
      </c>
      <c r="AT130" s="129" t="s">
        <v>4348</v>
      </c>
      <c r="AU130" s="130" t="s">
        <v>149</v>
      </c>
      <c r="AV130" s="38" t="s">
        <v>112</v>
      </c>
      <c r="AW130" s="123"/>
      <c r="AX130" s="123" t="s">
        <v>183</v>
      </c>
      <c r="AY130" s="123" t="s">
        <v>4349</v>
      </c>
      <c r="AZ130" s="30" t="s">
        <v>4350</v>
      </c>
      <c r="BA130" s="32" t="s">
        <v>94</v>
      </c>
      <c r="BB130" s="53">
        <v>32840</v>
      </c>
      <c r="BC130" s="39" t="s">
        <v>96</v>
      </c>
      <c r="BD130" s="39" t="s">
        <v>4351</v>
      </c>
      <c r="BE130" s="40" t="s">
        <v>153</v>
      </c>
      <c r="BF130" s="30" t="s">
        <v>247</v>
      </c>
      <c r="BG130" s="30" t="s">
        <v>4352</v>
      </c>
      <c r="BH130" s="30" t="s">
        <v>4353</v>
      </c>
      <c r="BI130" s="30"/>
      <c r="BJ130" s="41" t="s">
        <v>190</v>
      </c>
      <c r="BK130" s="111" t="s">
        <v>4354</v>
      </c>
      <c r="BL130" s="124" t="s">
        <v>4355</v>
      </c>
      <c r="BM130" s="30" t="s">
        <v>4356</v>
      </c>
      <c r="BN130" s="125" t="s">
        <v>4357</v>
      </c>
      <c r="BO130" s="50">
        <v>34068</v>
      </c>
      <c r="BP130" s="39" t="s">
        <v>96</v>
      </c>
      <c r="BQ130" s="39" t="s">
        <v>4346</v>
      </c>
      <c r="BR130" s="40" t="s">
        <v>118</v>
      </c>
      <c r="BS130" s="30" t="s">
        <v>254</v>
      </c>
      <c r="BT130" s="30" t="s">
        <v>127</v>
      </c>
      <c r="BU130" s="30" t="s">
        <v>127</v>
      </c>
      <c r="BV130" s="31" t="s">
        <v>127</v>
      </c>
      <c r="BW130" s="126" t="s">
        <v>127</v>
      </c>
      <c r="BX130" s="127" t="s">
        <v>4358</v>
      </c>
      <c r="BY130" s="47" t="s">
        <v>108</v>
      </c>
      <c r="BZ130" s="47" t="s">
        <v>108</v>
      </c>
      <c r="CA130" s="47"/>
      <c r="CB130" s="47"/>
      <c r="CC130" s="47"/>
      <c r="CD130" s="47"/>
      <c r="CE130" s="47" t="s">
        <v>108</v>
      </c>
      <c r="CF130" s="47"/>
      <c r="CG130" s="47" t="s">
        <v>108</v>
      </c>
      <c r="CH130" s="47"/>
      <c r="CI130" s="47"/>
      <c r="CJ130" s="47" t="s">
        <v>108</v>
      </c>
      <c r="CK130" s="47" t="s">
        <v>108</v>
      </c>
      <c r="CL130" s="47" t="s">
        <v>108</v>
      </c>
      <c r="CM130" s="25"/>
      <c r="CN130" s="25"/>
      <c r="CO130" s="25"/>
      <c r="CP130" s="26"/>
    </row>
    <row r="131" spans="1:94" s="27" customFormat="1" ht="23.25" customHeight="1">
      <c r="A131" s="4">
        <v>28</v>
      </c>
      <c r="B131" s="6"/>
      <c r="C131" s="6"/>
      <c r="D131" s="6"/>
      <c r="E131" s="6"/>
      <c r="F131" s="6"/>
      <c r="G131" s="6"/>
      <c r="H131" s="5"/>
      <c r="I131" s="7" t="s">
        <v>2452</v>
      </c>
      <c r="J131" s="7" t="s">
        <v>402</v>
      </c>
      <c r="K131" s="7" t="s">
        <v>4408</v>
      </c>
      <c r="L131" s="5"/>
      <c r="M131" s="5">
        <v>2185</v>
      </c>
      <c r="N131" s="9">
        <v>3184474490</v>
      </c>
      <c r="O131" s="9" t="s">
        <v>11554</v>
      </c>
      <c r="P131" s="10" t="s">
        <v>4409</v>
      </c>
      <c r="Q131" s="389" t="s">
        <v>4410</v>
      </c>
      <c r="R131" s="8" t="s">
        <v>2445</v>
      </c>
      <c r="S131" s="212" t="s">
        <v>12138</v>
      </c>
      <c r="T131" s="8" t="s">
        <v>4411</v>
      </c>
      <c r="U131" s="11" t="s">
        <v>93</v>
      </c>
      <c r="V131" s="12" t="s">
        <v>94</v>
      </c>
      <c r="W131" s="13">
        <v>43423</v>
      </c>
      <c r="X131" s="13" t="str">
        <f t="shared" ca="1" si="0"/>
        <v>7 Th, 9 Bln</v>
      </c>
      <c r="Y131" s="5" t="s">
        <v>95</v>
      </c>
      <c r="Z131" s="14" t="s">
        <v>108</v>
      </c>
      <c r="AA131" s="5" t="s">
        <v>96</v>
      </c>
      <c r="AB131" s="5" t="s">
        <v>97</v>
      </c>
      <c r="AC131" s="7" t="s">
        <v>4412</v>
      </c>
      <c r="AD131" s="131" t="s">
        <v>265</v>
      </c>
      <c r="AE131" s="131" t="s">
        <v>175</v>
      </c>
      <c r="AF131" s="7" t="s">
        <v>942</v>
      </c>
      <c r="AG131" s="7" t="s">
        <v>178</v>
      </c>
      <c r="AH131" s="7" t="s">
        <v>178</v>
      </c>
      <c r="AI131" s="7">
        <v>65143</v>
      </c>
      <c r="AJ131" s="7" t="s">
        <v>94</v>
      </c>
      <c r="AK131" s="7" t="s">
        <v>179</v>
      </c>
      <c r="AL131" s="7" t="s">
        <v>4413</v>
      </c>
      <c r="AM131" s="15" t="s">
        <v>4414</v>
      </c>
      <c r="AN131" s="15" t="s">
        <v>4415</v>
      </c>
      <c r="AO131" s="8">
        <v>1</v>
      </c>
      <c r="AP131" s="8" t="s">
        <v>147</v>
      </c>
      <c r="AQ131" s="8" t="s">
        <v>108</v>
      </c>
      <c r="AR131" s="8" t="s">
        <v>108</v>
      </c>
      <c r="AS131" s="132" t="s">
        <v>2694</v>
      </c>
      <c r="AT131" s="131" t="s">
        <v>2483</v>
      </c>
      <c r="AU131" s="132" t="s">
        <v>111</v>
      </c>
      <c r="AV131" s="16" t="s">
        <v>112</v>
      </c>
      <c r="AW131" s="56"/>
      <c r="AX131" s="56" t="s">
        <v>183</v>
      </c>
      <c r="AY131" s="56" t="s">
        <v>4416</v>
      </c>
      <c r="AZ131" s="7" t="s">
        <v>4417</v>
      </c>
      <c r="BA131" s="10" t="s">
        <v>2554</v>
      </c>
      <c r="BB131" s="52">
        <v>33181</v>
      </c>
      <c r="BC131" s="17" t="s">
        <v>96</v>
      </c>
      <c r="BD131" s="17" t="s">
        <v>4414</v>
      </c>
      <c r="BE131" s="18" t="s">
        <v>118</v>
      </c>
      <c r="BF131" s="7" t="s">
        <v>276</v>
      </c>
      <c r="BG131" s="7" t="s">
        <v>4418</v>
      </c>
      <c r="BH131" s="7" t="s">
        <v>4419</v>
      </c>
      <c r="BI131" s="7"/>
      <c r="BJ131" s="19" t="s">
        <v>250</v>
      </c>
      <c r="BK131" s="20" t="s">
        <v>4420</v>
      </c>
      <c r="BL131" s="58" t="s">
        <v>4421</v>
      </c>
      <c r="BM131" s="7" t="s">
        <v>4422</v>
      </c>
      <c r="BN131" s="22" t="s">
        <v>435</v>
      </c>
      <c r="BO131" s="49">
        <v>33304</v>
      </c>
      <c r="BP131" s="17" t="s">
        <v>96</v>
      </c>
      <c r="BQ131" s="17" t="s">
        <v>4415</v>
      </c>
      <c r="BR131" s="18" t="s">
        <v>216</v>
      </c>
      <c r="BS131" s="7" t="s">
        <v>126</v>
      </c>
      <c r="BT131" s="7" t="s">
        <v>127</v>
      </c>
      <c r="BU131" s="7" t="s">
        <v>127</v>
      </c>
      <c r="BV131" s="8" t="s">
        <v>108</v>
      </c>
      <c r="BW131" s="23" t="s">
        <v>127</v>
      </c>
      <c r="BX131" s="24" t="s">
        <v>4423</v>
      </c>
      <c r="BY131" s="21" t="s">
        <v>108</v>
      </c>
      <c r="BZ131" s="21" t="s">
        <v>108</v>
      </c>
      <c r="CA131" s="21"/>
      <c r="CB131" s="21"/>
      <c r="CC131" s="21"/>
      <c r="CD131" s="21"/>
      <c r="CE131" s="21" t="s">
        <v>108</v>
      </c>
      <c r="CF131" s="21"/>
      <c r="CG131" s="21" t="s">
        <v>108</v>
      </c>
      <c r="CH131" s="21"/>
      <c r="CI131" s="21"/>
      <c r="CJ131" s="21" t="s">
        <v>108</v>
      </c>
      <c r="CK131" s="21" t="s">
        <v>108</v>
      </c>
      <c r="CL131" s="21" t="s">
        <v>108</v>
      </c>
      <c r="CM131" s="25"/>
      <c r="CN131" s="25"/>
      <c r="CO131" s="25"/>
      <c r="CP131" s="26"/>
    </row>
    <row r="132" spans="1:94" s="27" customFormat="1" ht="23.25" customHeight="1">
      <c r="A132" s="4">
        <v>29</v>
      </c>
      <c r="B132" s="6"/>
      <c r="C132" s="6"/>
      <c r="D132" s="6"/>
      <c r="E132" s="6"/>
      <c r="F132" s="6"/>
      <c r="G132" s="6"/>
      <c r="H132" s="5"/>
      <c r="I132" s="7" t="s">
        <v>2452</v>
      </c>
      <c r="J132" s="7" t="s">
        <v>657</v>
      </c>
      <c r="K132" s="7" t="s">
        <v>4424</v>
      </c>
      <c r="L132" s="5"/>
      <c r="M132" s="5">
        <v>2186</v>
      </c>
      <c r="N132" s="9">
        <v>3185690734</v>
      </c>
      <c r="O132" s="9" t="s">
        <v>11555</v>
      </c>
      <c r="P132" s="10" t="s">
        <v>4425</v>
      </c>
      <c r="Q132" s="389" t="s">
        <v>4426</v>
      </c>
      <c r="R132" s="8" t="s">
        <v>2445</v>
      </c>
      <c r="S132" s="212" t="s">
        <v>12138</v>
      </c>
      <c r="T132" s="8" t="s">
        <v>4427</v>
      </c>
      <c r="U132" s="11" t="s">
        <v>172</v>
      </c>
      <c r="V132" s="12" t="s">
        <v>94</v>
      </c>
      <c r="W132" s="13">
        <v>43205</v>
      </c>
      <c r="X132" s="13" t="str">
        <f t="shared" ca="1" si="0"/>
        <v>8 Th, 5 Bln</v>
      </c>
      <c r="Y132" s="5" t="s">
        <v>95</v>
      </c>
      <c r="Z132" s="14" t="s">
        <v>108</v>
      </c>
      <c r="AA132" s="5" t="s">
        <v>96</v>
      </c>
      <c r="AB132" s="5" t="s">
        <v>97</v>
      </c>
      <c r="AC132" s="7" t="s">
        <v>4428</v>
      </c>
      <c r="AD132" s="131" t="s">
        <v>99</v>
      </c>
      <c r="AE132" s="131">
        <v>16</v>
      </c>
      <c r="AF132" s="7" t="s">
        <v>1395</v>
      </c>
      <c r="AG132" s="7" t="s">
        <v>140</v>
      </c>
      <c r="AH132" s="7" t="s">
        <v>141</v>
      </c>
      <c r="AI132" s="7">
        <v>65152</v>
      </c>
      <c r="AJ132" s="7" t="s">
        <v>94</v>
      </c>
      <c r="AK132" s="7" t="s">
        <v>104</v>
      </c>
      <c r="AL132" s="7" t="s">
        <v>298</v>
      </c>
      <c r="AM132" s="15" t="s">
        <v>4429</v>
      </c>
      <c r="AN132" s="15" t="s">
        <v>4429</v>
      </c>
      <c r="AO132" s="8">
        <v>1</v>
      </c>
      <c r="AP132" s="8" t="s">
        <v>107</v>
      </c>
      <c r="AQ132" s="8" t="s">
        <v>108</v>
      </c>
      <c r="AR132" s="8" t="s">
        <v>108</v>
      </c>
      <c r="AS132" s="132" t="s">
        <v>2614</v>
      </c>
      <c r="AT132" s="131" t="s">
        <v>3022</v>
      </c>
      <c r="AU132" s="132" t="s">
        <v>111</v>
      </c>
      <c r="AV132" s="16" t="s">
        <v>212</v>
      </c>
      <c r="AW132" s="56"/>
      <c r="AX132" s="56" t="s">
        <v>2272</v>
      </c>
      <c r="AY132" s="56" t="s">
        <v>4430</v>
      </c>
      <c r="AZ132" s="7" t="s">
        <v>4431</v>
      </c>
      <c r="BA132" s="10" t="s">
        <v>263</v>
      </c>
      <c r="BB132" s="52">
        <v>33174</v>
      </c>
      <c r="BC132" s="17" t="s">
        <v>96</v>
      </c>
      <c r="BD132" s="17" t="s">
        <v>4429</v>
      </c>
      <c r="BE132" s="18" t="s">
        <v>118</v>
      </c>
      <c r="BF132" s="7" t="s">
        <v>188</v>
      </c>
      <c r="BG132" s="7" t="s">
        <v>4432</v>
      </c>
      <c r="BH132" s="7" t="s">
        <v>4433</v>
      </c>
      <c r="BI132" s="7"/>
      <c r="BJ132" s="19">
        <v>20000000</v>
      </c>
      <c r="BK132" s="20" t="s">
        <v>4434</v>
      </c>
      <c r="BL132" s="58" t="s">
        <v>4435</v>
      </c>
      <c r="BM132" s="7" t="s">
        <v>4436</v>
      </c>
      <c r="BN132" s="22" t="s">
        <v>94</v>
      </c>
      <c r="BO132" s="49">
        <v>33087</v>
      </c>
      <c r="BP132" s="17" t="s">
        <v>96</v>
      </c>
      <c r="BQ132" s="17" t="s">
        <v>4437</v>
      </c>
      <c r="BR132" s="18" t="s">
        <v>118</v>
      </c>
      <c r="BS132" s="7" t="s">
        <v>126</v>
      </c>
      <c r="BT132" s="7" t="s">
        <v>127</v>
      </c>
      <c r="BU132" s="7" t="s">
        <v>4438</v>
      </c>
      <c r="BV132" s="8" t="s">
        <v>108</v>
      </c>
      <c r="BW132" s="23">
        <v>0</v>
      </c>
      <c r="BX132" s="24" t="s">
        <v>127</v>
      </c>
      <c r="BY132" s="21" t="s">
        <v>108</v>
      </c>
      <c r="BZ132" s="21" t="s">
        <v>108</v>
      </c>
      <c r="CA132" s="21"/>
      <c r="CB132" s="21"/>
      <c r="CC132" s="21"/>
      <c r="CD132" s="21"/>
      <c r="CE132" s="21" t="s">
        <v>108</v>
      </c>
      <c r="CF132" s="21"/>
      <c r="CG132" s="21" t="s">
        <v>108</v>
      </c>
      <c r="CH132" s="21"/>
      <c r="CI132" s="21"/>
      <c r="CJ132" s="21" t="s">
        <v>108</v>
      </c>
      <c r="CK132" s="21" t="s">
        <v>108</v>
      </c>
      <c r="CL132" s="21" t="s">
        <v>108</v>
      </c>
      <c r="CM132" s="25"/>
      <c r="CN132" s="25"/>
      <c r="CO132" s="25"/>
      <c r="CP132" s="26"/>
    </row>
    <row r="133" spans="1:94" s="27" customFormat="1" ht="23.25" customHeight="1">
      <c r="A133" s="4">
        <v>30</v>
      </c>
      <c r="B133" s="6"/>
      <c r="C133" s="6"/>
      <c r="D133" s="6"/>
      <c r="E133" s="6"/>
      <c r="F133" s="6"/>
      <c r="G133" s="6"/>
      <c r="H133" s="5"/>
      <c r="I133" s="7" t="s">
        <v>2452</v>
      </c>
      <c r="J133" s="7" t="s">
        <v>4564</v>
      </c>
      <c r="K133" s="7" t="s">
        <v>4565</v>
      </c>
      <c r="L133" s="5"/>
      <c r="M133" s="5">
        <v>2194</v>
      </c>
      <c r="N133" s="9">
        <v>3180704219</v>
      </c>
      <c r="O133" s="9" t="s">
        <v>11556</v>
      </c>
      <c r="P133" s="10" t="s">
        <v>4566</v>
      </c>
      <c r="Q133" s="389" t="s">
        <v>4567</v>
      </c>
      <c r="R133" s="8" t="s">
        <v>2445</v>
      </c>
      <c r="S133" s="212" t="s">
        <v>12138</v>
      </c>
      <c r="T133" s="8" t="s">
        <v>4549</v>
      </c>
      <c r="U133" s="11" t="s">
        <v>93</v>
      </c>
      <c r="V133" s="12" t="s">
        <v>713</v>
      </c>
      <c r="W133" s="13">
        <v>43440</v>
      </c>
      <c r="X133" s="13" t="str">
        <f t="shared" ca="1" si="0"/>
        <v>7 Th, 9 Bln</v>
      </c>
      <c r="Y133" s="5" t="s">
        <v>95</v>
      </c>
      <c r="Z133" s="14" t="s">
        <v>127</v>
      </c>
      <c r="AA133" s="5" t="s">
        <v>96</v>
      </c>
      <c r="AB133" s="5" t="s">
        <v>97</v>
      </c>
      <c r="AC133" s="7" t="s">
        <v>4568</v>
      </c>
      <c r="AD133" s="131" t="s">
        <v>99</v>
      </c>
      <c r="AE133" s="131" t="s">
        <v>137</v>
      </c>
      <c r="AF133" s="7" t="s">
        <v>4569</v>
      </c>
      <c r="AG133" s="7" t="s">
        <v>140</v>
      </c>
      <c r="AH133" s="7" t="s">
        <v>141</v>
      </c>
      <c r="AI133" s="7">
        <v>65152</v>
      </c>
      <c r="AJ133" s="7" t="s">
        <v>94</v>
      </c>
      <c r="AK133" s="7" t="s">
        <v>386</v>
      </c>
      <c r="AL133" s="7" t="s">
        <v>389</v>
      </c>
      <c r="AM133" s="15" t="s">
        <v>4570</v>
      </c>
      <c r="AN133" s="15" t="s">
        <v>4570</v>
      </c>
      <c r="AO133" s="8">
        <v>1</v>
      </c>
      <c r="AP133" s="8" t="s">
        <v>146</v>
      </c>
      <c r="AQ133" s="8" t="s">
        <v>127</v>
      </c>
      <c r="AR133" s="8" t="s">
        <v>127</v>
      </c>
      <c r="AS133" s="132" t="s">
        <v>3290</v>
      </c>
      <c r="AT133" s="131" t="s">
        <v>2462</v>
      </c>
      <c r="AU133" s="132" t="s">
        <v>182</v>
      </c>
      <c r="AV133" s="16" t="s">
        <v>112</v>
      </c>
      <c r="AW133" s="56"/>
      <c r="AX133" s="56" t="s">
        <v>183</v>
      </c>
      <c r="AY133" s="56" t="s">
        <v>4571</v>
      </c>
      <c r="AZ133" s="7" t="s">
        <v>4572</v>
      </c>
      <c r="BA133" s="10" t="s">
        <v>395</v>
      </c>
      <c r="BB133" s="52">
        <v>32183</v>
      </c>
      <c r="BC133" s="17" t="s">
        <v>96</v>
      </c>
      <c r="BD133" s="17" t="s">
        <v>4573</v>
      </c>
      <c r="BE133" s="18" t="s">
        <v>118</v>
      </c>
      <c r="BF133" s="7" t="s">
        <v>3965</v>
      </c>
      <c r="BG133" s="7" t="s">
        <v>4574</v>
      </c>
      <c r="BH133" s="7" t="s">
        <v>4575</v>
      </c>
      <c r="BI133" s="7" t="s">
        <v>4576</v>
      </c>
      <c r="BJ133" s="19" t="s">
        <v>4577</v>
      </c>
      <c r="BK133" s="20" t="s">
        <v>4578</v>
      </c>
      <c r="BL133" s="58" t="s">
        <v>4579</v>
      </c>
      <c r="BM133" s="7" t="s">
        <v>4580</v>
      </c>
      <c r="BN133" s="22" t="s">
        <v>4581</v>
      </c>
      <c r="BO133" s="49">
        <v>33814</v>
      </c>
      <c r="BP133" s="17" t="s">
        <v>96</v>
      </c>
      <c r="BQ133" s="17" t="s">
        <v>4570</v>
      </c>
      <c r="BR133" s="18" t="s">
        <v>118</v>
      </c>
      <c r="BS133" s="7" t="s">
        <v>471</v>
      </c>
      <c r="BT133" s="7" t="s">
        <v>4582</v>
      </c>
      <c r="BU133" s="7" t="s">
        <v>4583</v>
      </c>
      <c r="BV133" s="8" t="s">
        <v>4584</v>
      </c>
      <c r="BW133" s="23" t="s">
        <v>250</v>
      </c>
      <c r="BX133" s="24" t="s">
        <v>4585</v>
      </c>
      <c r="BY133" s="21" t="s">
        <v>127</v>
      </c>
      <c r="BZ133" s="21" t="s">
        <v>127</v>
      </c>
      <c r="CA133" s="21"/>
      <c r="CB133" s="21"/>
      <c r="CC133" s="21" t="s">
        <v>127</v>
      </c>
      <c r="CD133" s="21"/>
      <c r="CE133" s="21" t="s">
        <v>127</v>
      </c>
      <c r="CF133" s="21"/>
      <c r="CG133" s="21" t="s">
        <v>127</v>
      </c>
      <c r="CH133" s="21" t="s">
        <v>127</v>
      </c>
      <c r="CI133" s="21" t="s">
        <v>127</v>
      </c>
      <c r="CJ133" s="21" t="s">
        <v>127</v>
      </c>
      <c r="CK133" s="21" t="s">
        <v>127</v>
      </c>
      <c r="CL133" s="21" t="s">
        <v>127</v>
      </c>
      <c r="CM133" s="25"/>
      <c r="CN133" s="25"/>
      <c r="CO133" s="25"/>
      <c r="CP133" s="26"/>
    </row>
    <row r="134" spans="1:94" s="27" customFormat="1" ht="22.5" customHeight="1">
      <c r="A134" s="4">
        <v>31</v>
      </c>
      <c r="B134" s="28"/>
      <c r="C134" s="28"/>
      <c r="D134" s="28"/>
      <c r="E134" s="28"/>
      <c r="F134" s="28"/>
      <c r="G134" s="28"/>
      <c r="H134" s="29"/>
      <c r="I134" s="30" t="s">
        <v>2452</v>
      </c>
      <c r="J134" s="30" t="s">
        <v>2475</v>
      </c>
      <c r="K134" s="30" t="s">
        <v>2476</v>
      </c>
      <c r="L134" s="29"/>
      <c r="M134" s="29">
        <v>2084</v>
      </c>
      <c r="N134" s="92">
        <v>3189211203</v>
      </c>
      <c r="O134" s="92" t="s">
        <v>11557</v>
      </c>
      <c r="P134" s="32" t="s">
        <v>2477</v>
      </c>
      <c r="Q134" s="390" t="s">
        <v>2478</v>
      </c>
      <c r="R134" s="64" t="s">
        <v>2449</v>
      </c>
      <c r="S134" s="212" t="s">
        <v>12139</v>
      </c>
      <c r="T134" s="31" t="s">
        <v>2479</v>
      </c>
      <c r="U134" s="33" t="s">
        <v>172</v>
      </c>
      <c r="V134" s="34" t="s">
        <v>653</v>
      </c>
      <c r="W134" s="35">
        <v>43433</v>
      </c>
      <c r="X134" s="35" t="str">
        <f t="shared" ca="1" si="0"/>
        <v>7 Th, 9 Bln</v>
      </c>
      <c r="Y134" s="29" t="s">
        <v>425</v>
      </c>
      <c r="Z134" s="36" t="s">
        <v>2357</v>
      </c>
      <c r="AA134" s="29" t="s">
        <v>96</v>
      </c>
      <c r="AB134" s="29" t="s">
        <v>97</v>
      </c>
      <c r="AC134" s="30" t="s">
        <v>2480</v>
      </c>
      <c r="AD134" s="129" t="s">
        <v>546</v>
      </c>
      <c r="AE134" s="129" t="s">
        <v>318</v>
      </c>
      <c r="AF134" s="30" t="s">
        <v>755</v>
      </c>
      <c r="AG134" s="30" t="s">
        <v>102</v>
      </c>
      <c r="AH134" s="30" t="s">
        <v>102</v>
      </c>
      <c r="AI134" s="30">
        <v>65146</v>
      </c>
      <c r="AJ134" s="30" t="s">
        <v>103</v>
      </c>
      <c r="AK134" s="30" t="s">
        <v>179</v>
      </c>
      <c r="AL134" s="30" t="s">
        <v>438</v>
      </c>
      <c r="AM134" s="37">
        <v>0</v>
      </c>
      <c r="AN134" s="37" t="s">
        <v>2481</v>
      </c>
      <c r="AO134" s="31">
        <v>1</v>
      </c>
      <c r="AP134" s="31" t="s">
        <v>127</v>
      </c>
      <c r="AQ134" s="31" t="s">
        <v>127</v>
      </c>
      <c r="AR134" s="31" t="s">
        <v>127</v>
      </c>
      <c r="AS134" s="130" t="s">
        <v>2482</v>
      </c>
      <c r="AT134" s="129" t="s">
        <v>2483</v>
      </c>
      <c r="AU134" s="130" t="s">
        <v>111</v>
      </c>
      <c r="AV134" s="38" t="s">
        <v>112</v>
      </c>
      <c r="AW134" s="123"/>
      <c r="AX134" s="123" t="s">
        <v>644</v>
      </c>
      <c r="AY134" s="123" t="s">
        <v>2484</v>
      </c>
      <c r="AZ134" s="30" t="s">
        <v>2485</v>
      </c>
      <c r="BA134" s="32" t="s">
        <v>653</v>
      </c>
      <c r="BB134" s="53">
        <v>33305</v>
      </c>
      <c r="BC134" s="39" t="s">
        <v>96</v>
      </c>
      <c r="BD134" s="39" t="s">
        <v>2486</v>
      </c>
      <c r="BE134" s="40" t="s">
        <v>118</v>
      </c>
      <c r="BF134" s="30" t="s">
        <v>2487</v>
      </c>
      <c r="BG134" s="30" t="s">
        <v>2488</v>
      </c>
      <c r="BH134" s="30" t="s">
        <v>2489</v>
      </c>
      <c r="BI134" s="30" t="s">
        <v>127</v>
      </c>
      <c r="BJ134" s="41" t="s">
        <v>2490</v>
      </c>
      <c r="BK134" s="111" t="s">
        <v>2491</v>
      </c>
      <c r="BL134" s="124" t="s">
        <v>2492</v>
      </c>
      <c r="BM134" s="30">
        <v>0</v>
      </c>
      <c r="BN134" s="125" t="s">
        <v>94</v>
      </c>
      <c r="BO134" s="50">
        <v>33724</v>
      </c>
      <c r="BP134" s="39" t="s">
        <v>96</v>
      </c>
      <c r="BQ134" s="39" t="s">
        <v>2481</v>
      </c>
      <c r="BR134" s="40" t="s">
        <v>118</v>
      </c>
      <c r="BS134" s="30" t="s">
        <v>2493</v>
      </c>
      <c r="BT134" s="30" t="s">
        <v>2494</v>
      </c>
      <c r="BU134" s="30" t="s">
        <v>2495</v>
      </c>
      <c r="BV134" s="31" t="s">
        <v>2496</v>
      </c>
      <c r="BW134" s="126" t="s">
        <v>2497</v>
      </c>
      <c r="BX134" s="127" t="s">
        <v>2498</v>
      </c>
      <c r="BY134" s="47" t="s">
        <v>2499</v>
      </c>
      <c r="BZ134" s="47" t="s">
        <v>519</v>
      </c>
      <c r="CA134" s="47">
        <v>22447</v>
      </c>
      <c r="CB134" s="47"/>
      <c r="CC134" s="47" t="s">
        <v>2500</v>
      </c>
      <c r="CD134" s="47" t="s">
        <v>153</v>
      </c>
      <c r="CE134" s="47" t="s">
        <v>4752</v>
      </c>
      <c r="CF134" s="47" t="s">
        <v>96</v>
      </c>
      <c r="CG134" s="47" t="s">
        <v>2480</v>
      </c>
      <c r="CH134" s="47" t="s">
        <v>827</v>
      </c>
      <c r="CI134" s="47" t="s">
        <v>239</v>
      </c>
      <c r="CJ134" s="47" t="s">
        <v>755</v>
      </c>
      <c r="CK134" s="47" t="s">
        <v>102</v>
      </c>
      <c r="CL134" s="47" t="s">
        <v>94</v>
      </c>
      <c r="CM134" s="25"/>
      <c r="CN134" s="25"/>
      <c r="CO134" s="25"/>
      <c r="CP134" s="26"/>
    </row>
    <row r="135" spans="1:94" s="27" customFormat="1" ht="23.25" customHeight="1">
      <c r="A135" s="4">
        <v>32</v>
      </c>
      <c r="B135" s="6"/>
      <c r="C135" s="6"/>
      <c r="D135" s="6"/>
      <c r="E135" s="6"/>
      <c r="F135" s="6"/>
      <c r="G135" s="6"/>
      <c r="H135" s="5"/>
      <c r="I135" s="7" t="s">
        <v>2452</v>
      </c>
      <c r="J135" s="7" t="s">
        <v>513</v>
      </c>
      <c r="K135" s="7" t="s">
        <v>2520</v>
      </c>
      <c r="L135" s="5"/>
      <c r="M135" s="5">
        <v>2086</v>
      </c>
      <c r="N135" s="9">
        <v>3181269938</v>
      </c>
      <c r="O135" s="9" t="s">
        <v>6631</v>
      </c>
      <c r="P135" s="10" t="s">
        <v>2521</v>
      </c>
      <c r="Q135" s="389" t="s">
        <v>2522</v>
      </c>
      <c r="R135" s="64" t="s">
        <v>2449</v>
      </c>
      <c r="S135" s="212" t="s">
        <v>12139</v>
      </c>
      <c r="T135" s="8" t="s">
        <v>2523</v>
      </c>
      <c r="U135" s="11" t="s">
        <v>172</v>
      </c>
      <c r="V135" s="12" t="s">
        <v>2524</v>
      </c>
      <c r="W135" s="13">
        <v>43440</v>
      </c>
      <c r="X135" s="13" t="str">
        <f t="shared" ca="1" si="0"/>
        <v>7 Th, 9 Bln</v>
      </c>
      <c r="Y135" s="5" t="s">
        <v>95</v>
      </c>
      <c r="Z135" s="14" t="s">
        <v>108</v>
      </c>
      <c r="AA135" s="5" t="s">
        <v>96</v>
      </c>
      <c r="AB135" s="5" t="s">
        <v>97</v>
      </c>
      <c r="AC135" s="7" t="s">
        <v>2525</v>
      </c>
      <c r="AD135" s="131" t="s">
        <v>2459</v>
      </c>
      <c r="AE135" s="131" t="s">
        <v>2459</v>
      </c>
      <c r="AF135" s="7" t="s">
        <v>139</v>
      </c>
      <c r="AG135" s="7" t="s">
        <v>140</v>
      </c>
      <c r="AH135" s="7" t="s">
        <v>141</v>
      </c>
      <c r="AI135" s="7">
        <v>65152</v>
      </c>
      <c r="AJ135" s="7" t="s">
        <v>94</v>
      </c>
      <c r="AK135" s="7" t="s">
        <v>179</v>
      </c>
      <c r="AL135" s="7" t="s">
        <v>2526</v>
      </c>
      <c r="AM135" s="15" t="s">
        <v>2527</v>
      </c>
      <c r="AN135" s="15" t="s">
        <v>2528</v>
      </c>
      <c r="AO135" s="8">
        <v>3</v>
      </c>
      <c r="AP135" s="8" t="s">
        <v>107</v>
      </c>
      <c r="AQ135" s="8" t="s">
        <v>147</v>
      </c>
      <c r="AR135" s="8" t="s">
        <v>147</v>
      </c>
      <c r="AS135" s="132" t="s">
        <v>2529</v>
      </c>
      <c r="AT135" s="131" t="s">
        <v>2530</v>
      </c>
      <c r="AU135" s="132" t="s">
        <v>498</v>
      </c>
      <c r="AV135" s="16" t="s">
        <v>112</v>
      </c>
      <c r="AW135" s="56"/>
      <c r="AX135" s="56" t="s">
        <v>183</v>
      </c>
      <c r="AY135" s="56" t="s">
        <v>2531</v>
      </c>
      <c r="AZ135" s="7" t="s">
        <v>2532</v>
      </c>
      <c r="BA135" s="10" t="s">
        <v>395</v>
      </c>
      <c r="BB135" s="52">
        <v>32093</v>
      </c>
      <c r="BC135" s="17" t="s">
        <v>96</v>
      </c>
      <c r="BD135" s="17" t="s">
        <v>2527</v>
      </c>
      <c r="BE135" s="18" t="s">
        <v>153</v>
      </c>
      <c r="BF135" s="7" t="s">
        <v>327</v>
      </c>
      <c r="BG135" s="7" t="s">
        <v>2533</v>
      </c>
      <c r="BH135" s="7" t="s">
        <v>2534</v>
      </c>
      <c r="BI135" s="7" t="s">
        <v>2459</v>
      </c>
      <c r="BJ135" s="19" t="s">
        <v>2535</v>
      </c>
      <c r="BK135" s="20" t="s">
        <v>2536</v>
      </c>
      <c r="BL135" s="58" t="s">
        <v>2537</v>
      </c>
      <c r="BM135" s="7" t="s">
        <v>2538</v>
      </c>
      <c r="BN135" s="22" t="s">
        <v>2524</v>
      </c>
      <c r="BO135" s="49">
        <v>32255</v>
      </c>
      <c r="BP135" s="17" t="s">
        <v>96</v>
      </c>
      <c r="BQ135" s="17" t="s">
        <v>2528</v>
      </c>
      <c r="BR135" s="18" t="s">
        <v>216</v>
      </c>
      <c r="BS135" s="7" t="s">
        <v>1216</v>
      </c>
      <c r="BT135" s="7" t="s">
        <v>452</v>
      </c>
      <c r="BU135" s="7" t="s">
        <v>2539</v>
      </c>
      <c r="BV135" s="8" t="s">
        <v>108</v>
      </c>
      <c r="BW135" s="23" t="s">
        <v>2459</v>
      </c>
      <c r="BX135" s="24" t="s">
        <v>2540</v>
      </c>
      <c r="BY135" s="21" t="s">
        <v>108</v>
      </c>
      <c r="BZ135" s="21" t="s">
        <v>108</v>
      </c>
      <c r="CA135" s="21"/>
      <c r="CB135" s="21"/>
      <c r="CC135" s="21"/>
      <c r="CD135" s="21"/>
      <c r="CE135" s="21" t="s">
        <v>108</v>
      </c>
      <c r="CF135" s="21"/>
      <c r="CG135" s="21" t="s">
        <v>108</v>
      </c>
      <c r="CH135" s="21"/>
      <c r="CI135" s="21"/>
      <c r="CJ135" s="21" t="s">
        <v>108</v>
      </c>
      <c r="CK135" s="21" t="s">
        <v>108</v>
      </c>
      <c r="CL135" s="21" t="s">
        <v>108</v>
      </c>
      <c r="CM135" s="25"/>
      <c r="CN135" s="25"/>
      <c r="CO135" s="25"/>
      <c r="CP135" s="26"/>
    </row>
    <row r="136" spans="1:94" s="27" customFormat="1" ht="23.25" customHeight="1">
      <c r="A136" s="4">
        <v>33</v>
      </c>
      <c r="B136" s="6"/>
      <c r="C136" s="6"/>
      <c r="D136" s="6"/>
      <c r="E136" s="6"/>
      <c r="F136" s="6"/>
      <c r="G136" s="6"/>
      <c r="H136" s="5"/>
      <c r="I136" s="7" t="s">
        <v>2452</v>
      </c>
      <c r="J136" s="7" t="s">
        <v>129</v>
      </c>
      <c r="K136" s="7" t="s">
        <v>2585</v>
      </c>
      <c r="L136" s="5"/>
      <c r="M136" s="5">
        <v>2089</v>
      </c>
      <c r="N136" s="9">
        <v>3184772925</v>
      </c>
      <c r="O136" s="9" t="s">
        <v>11558</v>
      </c>
      <c r="P136" s="10" t="s">
        <v>11467</v>
      </c>
      <c r="Q136" s="389" t="s">
        <v>2586</v>
      </c>
      <c r="R136" s="64" t="s">
        <v>2449</v>
      </c>
      <c r="S136" s="212" t="s">
        <v>12139</v>
      </c>
      <c r="T136" s="8" t="s">
        <v>2587</v>
      </c>
      <c r="U136" s="11" t="s">
        <v>93</v>
      </c>
      <c r="V136" s="12" t="s">
        <v>395</v>
      </c>
      <c r="W136" s="13">
        <v>43438</v>
      </c>
      <c r="X136" s="13" t="str">
        <f t="shared" ref="X136:X168" ca="1" si="1">""&amp;DATEDIF(W136,TODAY(),"y")&amp;" Th, "&amp;DATEDIF(W136,TODAY(),"ym")&amp;" Bln"</f>
        <v>7 Th, 9 Bln</v>
      </c>
      <c r="Y136" s="5" t="s">
        <v>95</v>
      </c>
      <c r="Z136" s="14" t="s">
        <v>108</v>
      </c>
      <c r="AA136" s="5" t="s">
        <v>96</v>
      </c>
      <c r="AB136" s="5" t="s">
        <v>97</v>
      </c>
      <c r="AC136" s="7" t="s">
        <v>2588</v>
      </c>
      <c r="AD136" s="131" t="s">
        <v>2589</v>
      </c>
      <c r="AE136" s="131" t="s">
        <v>175</v>
      </c>
      <c r="AF136" s="7" t="s">
        <v>1840</v>
      </c>
      <c r="AG136" s="7" t="s">
        <v>178</v>
      </c>
      <c r="AH136" s="7" t="s">
        <v>178</v>
      </c>
      <c r="AI136" s="7">
        <v>65142</v>
      </c>
      <c r="AJ136" s="7" t="s">
        <v>103</v>
      </c>
      <c r="AK136" s="7" t="s">
        <v>104</v>
      </c>
      <c r="AL136" s="7" t="s">
        <v>2590</v>
      </c>
      <c r="AM136" s="15" t="s">
        <v>2591</v>
      </c>
      <c r="AN136" s="15" t="s">
        <v>2592</v>
      </c>
      <c r="AO136" s="8">
        <v>1</v>
      </c>
      <c r="AP136" s="8" t="s">
        <v>147</v>
      </c>
      <c r="AQ136" s="8" t="s">
        <v>108</v>
      </c>
      <c r="AR136" s="8" t="s">
        <v>108</v>
      </c>
      <c r="AS136" s="132" t="s">
        <v>2508</v>
      </c>
      <c r="AT136" s="131" t="s">
        <v>2593</v>
      </c>
      <c r="AU136" s="132" t="s">
        <v>111</v>
      </c>
      <c r="AV136" s="16" t="s">
        <v>112</v>
      </c>
      <c r="AW136" s="56"/>
      <c r="AX136" s="56" t="s">
        <v>2594</v>
      </c>
      <c r="AY136" s="56" t="s">
        <v>2595</v>
      </c>
      <c r="AZ136" s="7" t="s">
        <v>2596</v>
      </c>
      <c r="BA136" s="10" t="s">
        <v>94</v>
      </c>
      <c r="BB136" s="52">
        <v>27750</v>
      </c>
      <c r="BC136" s="17" t="s">
        <v>96</v>
      </c>
      <c r="BD136" s="17" t="s">
        <v>2597</v>
      </c>
      <c r="BE136" s="18" t="s">
        <v>118</v>
      </c>
      <c r="BF136" s="7" t="s">
        <v>247</v>
      </c>
      <c r="BG136" s="7" t="s">
        <v>2598</v>
      </c>
      <c r="BH136" s="7" t="s">
        <v>2599</v>
      </c>
      <c r="BI136" s="7" t="s">
        <v>2597</v>
      </c>
      <c r="BJ136" s="19" t="s">
        <v>122</v>
      </c>
      <c r="BK136" s="20" t="s">
        <v>2600</v>
      </c>
      <c r="BL136" s="58" t="s">
        <v>2601</v>
      </c>
      <c r="BM136" s="7" t="s">
        <v>2602</v>
      </c>
      <c r="BN136" s="22" t="s">
        <v>94</v>
      </c>
      <c r="BO136" s="49">
        <v>30787</v>
      </c>
      <c r="BP136" s="17" t="s">
        <v>96</v>
      </c>
      <c r="BQ136" s="17" t="s">
        <v>2592</v>
      </c>
      <c r="BR136" s="18" t="s">
        <v>118</v>
      </c>
      <c r="BS136" s="7" t="s">
        <v>126</v>
      </c>
      <c r="BT136" s="7" t="s">
        <v>2603</v>
      </c>
      <c r="BU136" s="7" t="s">
        <v>2604</v>
      </c>
      <c r="BV136" s="8" t="s">
        <v>2592</v>
      </c>
      <c r="BW136" s="23" t="s">
        <v>2605</v>
      </c>
      <c r="BX136" s="24" t="s">
        <v>2606</v>
      </c>
      <c r="BY136" s="21" t="s">
        <v>108</v>
      </c>
      <c r="BZ136" s="21" t="s">
        <v>108</v>
      </c>
      <c r="CA136" s="21"/>
      <c r="CB136" s="21"/>
      <c r="CC136" s="21"/>
      <c r="CD136" s="21"/>
      <c r="CE136" s="21" t="s">
        <v>108</v>
      </c>
      <c r="CF136" s="21"/>
      <c r="CG136" s="21" t="s">
        <v>108</v>
      </c>
      <c r="CH136" s="21"/>
      <c r="CI136" s="21"/>
      <c r="CJ136" s="21" t="s">
        <v>108</v>
      </c>
      <c r="CK136" s="21" t="s">
        <v>108</v>
      </c>
      <c r="CL136" s="21" t="s">
        <v>108</v>
      </c>
      <c r="CM136" s="25"/>
      <c r="CN136" s="25"/>
      <c r="CO136" s="25"/>
      <c r="CP136" s="26"/>
    </row>
    <row r="137" spans="1:94" s="27" customFormat="1" ht="23.25" customHeight="1">
      <c r="A137" s="4">
        <v>34</v>
      </c>
      <c r="B137" s="6"/>
      <c r="C137" s="6"/>
      <c r="D137" s="6"/>
      <c r="E137" s="6"/>
      <c r="F137" s="6"/>
      <c r="G137" s="6"/>
      <c r="H137" s="5"/>
      <c r="I137" s="7" t="s">
        <v>2452</v>
      </c>
      <c r="J137" s="7" t="s">
        <v>166</v>
      </c>
      <c r="K137" s="7" t="s">
        <v>312</v>
      </c>
      <c r="L137" s="5"/>
      <c r="M137" s="5">
        <v>2091</v>
      </c>
      <c r="N137" s="9">
        <v>3181501790</v>
      </c>
      <c r="O137" s="9" t="s">
        <v>11559</v>
      </c>
      <c r="P137" s="10" t="s">
        <v>2624</v>
      </c>
      <c r="Q137" s="389" t="s">
        <v>11458</v>
      </c>
      <c r="R137" s="64" t="s">
        <v>2449</v>
      </c>
      <c r="S137" s="212" t="s">
        <v>12139</v>
      </c>
      <c r="T137" s="8" t="s">
        <v>2625</v>
      </c>
      <c r="U137" s="11" t="s">
        <v>172</v>
      </c>
      <c r="V137" s="12" t="s">
        <v>94</v>
      </c>
      <c r="W137" s="13">
        <v>43278</v>
      </c>
      <c r="X137" s="13" t="str">
        <f t="shared" ca="1" si="1"/>
        <v>8 Th, 2 Bln</v>
      </c>
      <c r="Y137" s="5" t="s">
        <v>95</v>
      </c>
      <c r="Z137" s="14" t="s">
        <v>108</v>
      </c>
      <c r="AA137" s="5" t="s">
        <v>96</v>
      </c>
      <c r="AB137" s="5" t="s">
        <v>97</v>
      </c>
      <c r="AC137" s="7" t="s">
        <v>2626</v>
      </c>
      <c r="AD137" s="131" t="s">
        <v>293</v>
      </c>
      <c r="AE137" s="131" t="s">
        <v>100</v>
      </c>
      <c r="AF137" s="7" t="s">
        <v>567</v>
      </c>
      <c r="AG137" s="7" t="s">
        <v>547</v>
      </c>
      <c r="AH137" s="7" t="s">
        <v>178</v>
      </c>
      <c r="AI137" s="7">
        <v>65143</v>
      </c>
      <c r="AJ137" s="7" t="s">
        <v>568</v>
      </c>
      <c r="AK137" s="7" t="s">
        <v>104</v>
      </c>
      <c r="AL137" s="7" t="s">
        <v>1679</v>
      </c>
      <c r="AM137" s="15" t="s">
        <v>2627</v>
      </c>
      <c r="AN137" s="15" t="s">
        <v>2627</v>
      </c>
      <c r="AO137" s="8">
        <v>1</v>
      </c>
      <c r="AP137" s="8" t="s">
        <v>146</v>
      </c>
      <c r="AQ137" s="8" t="s">
        <v>108</v>
      </c>
      <c r="AR137" s="8" t="s">
        <v>108</v>
      </c>
      <c r="AS137" s="132" t="s">
        <v>2628</v>
      </c>
      <c r="AT137" s="131" t="s">
        <v>2574</v>
      </c>
      <c r="AU137" s="132" t="s">
        <v>149</v>
      </c>
      <c r="AV137" s="16" t="s">
        <v>112</v>
      </c>
      <c r="AW137" s="56"/>
      <c r="AX137" s="56" t="s">
        <v>2070</v>
      </c>
      <c r="AY137" s="56" t="s">
        <v>2629</v>
      </c>
      <c r="AZ137" s="7" t="s">
        <v>2630</v>
      </c>
      <c r="BA137" s="10" t="s">
        <v>2631</v>
      </c>
      <c r="BB137" s="52">
        <v>32778</v>
      </c>
      <c r="BC137" s="17" t="s">
        <v>96</v>
      </c>
      <c r="BD137" s="17" t="s">
        <v>2632</v>
      </c>
      <c r="BE137" s="18" t="s">
        <v>153</v>
      </c>
      <c r="BF137" s="7" t="s">
        <v>154</v>
      </c>
      <c r="BG137" s="7" t="s">
        <v>2633</v>
      </c>
      <c r="BH137" s="7" t="s">
        <v>2634</v>
      </c>
      <c r="BI137" s="7"/>
      <c r="BJ137" s="19" t="s">
        <v>2635</v>
      </c>
      <c r="BK137" s="20" t="s">
        <v>2636</v>
      </c>
      <c r="BL137" s="58" t="s">
        <v>2637</v>
      </c>
      <c r="BM137" s="7" t="s">
        <v>2638</v>
      </c>
      <c r="BN137" s="22" t="s">
        <v>2639</v>
      </c>
      <c r="BO137" s="49">
        <v>33205</v>
      </c>
      <c r="BP137" s="17" t="s">
        <v>96</v>
      </c>
      <c r="BQ137" s="17" t="s">
        <v>2627</v>
      </c>
      <c r="BR137" s="18" t="s">
        <v>153</v>
      </c>
      <c r="BS137" s="7" t="s">
        <v>154</v>
      </c>
      <c r="BT137" s="7" t="s">
        <v>2640</v>
      </c>
      <c r="BU137" s="7" t="s">
        <v>2641</v>
      </c>
      <c r="BV137" s="8" t="s">
        <v>108</v>
      </c>
      <c r="BW137" s="23" t="s">
        <v>2642</v>
      </c>
      <c r="BX137" s="24" t="s">
        <v>2643</v>
      </c>
      <c r="BY137" s="21" t="s">
        <v>2644</v>
      </c>
      <c r="BZ137" s="21" t="s">
        <v>1456</v>
      </c>
      <c r="CA137" s="21"/>
      <c r="CB137" s="21"/>
      <c r="CC137" s="21" t="s">
        <v>2645</v>
      </c>
      <c r="CD137" s="21" t="s">
        <v>118</v>
      </c>
      <c r="CE137" s="21" t="s">
        <v>503</v>
      </c>
      <c r="CF137" s="21" t="s">
        <v>96</v>
      </c>
      <c r="CG137" s="21" t="s">
        <v>2646</v>
      </c>
      <c r="CH137" s="21"/>
      <c r="CI137" s="21"/>
      <c r="CJ137" s="21" t="s">
        <v>108</v>
      </c>
      <c r="CK137" s="21" t="s">
        <v>108</v>
      </c>
      <c r="CL137" s="21" t="s">
        <v>108</v>
      </c>
      <c r="CM137" s="25"/>
      <c r="CN137" s="25"/>
      <c r="CO137" s="25"/>
      <c r="CP137" s="26"/>
    </row>
    <row r="138" spans="1:94" s="27" customFormat="1" ht="23.25" customHeight="1">
      <c r="A138" s="4">
        <v>35</v>
      </c>
      <c r="B138" s="6"/>
      <c r="C138" s="6"/>
      <c r="D138" s="6"/>
      <c r="E138" s="6"/>
      <c r="F138" s="6"/>
      <c r="G138" s="6"/>
      <c r="H138" s="5"/>
      <c r="I138" s="7" t="s">
        <v>2684</v>
      </c>
      <c r="J138" s="7" t="s">
        <v>2685</v>
      </c>
      <c r="K138" s="7" t="s">
        <v>2686</v>
      </c>
      <c r="L138" s="5"/>
      <c r="M138" s="5">
        <v>2094</v>
      </c>
      <c r="N138" s="9">
        <v>3188179494</v>
      </c>
      <c r="O138" s="9" t="s">
        <v>11084</v>
      </c>
      <c r="P138" s="10" t="s">
        <v>2687</v>
      </c>
      <c r="Q138" s="389" t="s">
        <v>2688</v>
      </c>
      <c r="R138" s="64" t="s">
        <v>2449</v>
      </c>
      <c r="S138" s="212" t="s">
        <v>12139</v>
      </c>
      <c r="T138" s="8" t="s">
        <v>2689</v>
      </c>
      <c r="U138" s="11" t="s">
        <v>172</v>
      </c>
      <c r="V138" s="12" t="s">
        <v>2016</v>
      </c>
      <c r="W138" s="13">
        <v>43281</v>
      </c>
      <c r="X138" s="13" t="str">
        <f t="shared" ca="1" si="1"/>
        <v>8 Th, 2 Bln</v>
      </c>
      <c r="Y138" s="5" t="s">
        <v>95</v>
      </c>
      <c r="Z138" s="14" t="s">
        <v>108</v>
      </c>
      <c r="AA138" s="5" t="s">
        <v>96</v>
      </c>
      <c r="AB138" s="5" t="s">
        <v>97</v>
      </c>
      <c r="AC138" s="7" t="s">
        <v>2690</v>
      </c>
      <c r="AD138" s="131" t="s">
        <v>1281</v>
      </c>
      <c r="AE138" s="131" t="s">
        <v>967</v>
      </c>
      <c r="AF138" s="7" t="s">
        <v>2691</v>
      </c>
      <c r="AG138" s="7" t="s">
        <v>2692</v>
      </c>
      <c r="AH138" s="7" t="s">
        <v>141</v>
      </c>
      <c r="AI138" s="7">
        <v>68285</v>
      </c>
      <c r="AJ138" s="7" t="s">
        <v>135</v>
      </c>
      <c r="AK138" s="7" t="s">
        <v>104</v>
      </c>
      <c r="AL138" s="7" t="s">
        <v>1282</v>
      </c>
      <c r="AM138" s="15" t="s">
        <v>2693</v>
      </c>
      <c r="AN138" s="15" t="s">
        <v>2693</v>
      </c>
      <c r="AO138" s="8">
        <v>3</v>
      </c>
      <c r="AP138" s="8" t="s">
        <v>298</v>
      </c>
      <c r="AQ138" s="8" t="s">
        <v>162</v>
      </c>
      <c r="AR138" s="8" t="s">
        <v>162</v>
      </c>
      <c r="AS138" s="132" t="s">
        <v>2694</v>
      </c>
      <c r="AT138" s="131" t="s">
        <v>2593</v>
      </c>
      <c r="AU138" s="132" t="s">
        <v>149</v>
      </c>
      <c r="AV138" s="16" t="s">
        <v>212</v>
      </c>
      <c r="AW138" s="56"/>
      <c r="AX138" s="56" t="s">
        <v>644</v>
      </c>
      <c r="AY138" s="56" t="s">
        <v>2695</v>
      </c>
      <c r="AZ138" s="7" t="s">
        <v>2696</v>
      </c>
      <c r="BA138" s="10" t="s">
        <v>444</v>
      </c>
      <c r="BB138" s="52">
        <v>29629</v>
      </c>
      <c r="BC138" s="17" t="s">
        <v>96</v>
      </c>
      <c r="BD138" s="17" t="s">
        <v>2697</v>
      </c>
      <c r="BE138" s="18" t="s">
        <v>153</v>
      </c>
      <c r="BF138" s="7" t="s">
        <v>925</v>
      </c>
      <c r="BG138" s="7" t="s">
        <v>2698</v>
      </c>
      <c r="BH138" s="7" t="s">
        <v>2699</v>
      </c>
      <c r="BI138" s="7" t="s">
        <v>2697</v>
      </c>
      <c r="BJ138" s="19" t="s">
        <v>2700</v>
      </c>
      <c r="BK138" s="20" t="s">
        <v>2701</v>
      </c>
      <c r="BL138" s="58" t="s">
        <v>2702</v>
      </c>
      <c r="BM138" s="7" t="s">
        <v>2703</v>
      </c>
      <c r="BN138" s="22" t="s">
        <v>94</v>
      </c>
      <c r="BO138" s="49">
        <v>30668</v>
      </c>
      <c r="BP138" s="17" t="s">
        <v>96</v>
      </c>
      <c r="BQ138" s="17" t="s">
        <v>2693</v>
      </c>
      <c r="BR138" s="18" t="s">
        <v>224</v>
      </c>
      <c r="BS138" s="7" t="s">
        <v>2704</v>
      </c>
      <c r="BT138" s="7" t="s">
        <v>2705</v>
      </c>
      <c r="BU138" s="7" t="s">
        <v>2706</v>
      </c>
      <c r="BV138" s="8" t="s">
        <v>2693</v>
      </c>
      <c r="BW138" s="23" t="s">
        <v>2707</v>
      </c>
      <c r="BX138" s="24" t="s">
        <v>2708</v>
      </c>
      <c r="BY138" s="21" t="s">
        <v>2709</v>
      </c>
      <c r="BZ138" s="21" t="s">
        <v>94</v>
      </c>
      <c r="CA138" s="21">
        <v>29664</v>
      </c>
      <c r="CB138" s="21"/>
      <c r="CC138" s="21" t="s">
        <v>2710</v>
      </c>
      <c r="CD138" s="21" t="s">
        <v>118</v>
      </c>
      <c r="CE138" s="21" t="s">
        <v>254</v>
      </c>
      <c r="CF138" s="21" t="s">
        <v>96</v>
      </c>
      <c r="CG138" s="21" t="s">
        <v>2711</v>
      </c>
      <c r="CH138" s="21" t="s">
        <v>827</v>
      </c>
      <c r="CI138" s="21" t="s">
        <v>2712</v>
      </c>
      <c r="CJ138" s="21" t="s">
        <v>891</v>
      </c>
      <c r="CK138" s="21" t="s">
        <v>178</v>
      </c>
      <c r="CL138" s="21" t="s">
        <v>94</v>
      </c>
      <c r="CM138" s="25"/>
      <c r="CN138" s="25"/>
      <c r="CO138" s="25"/>
      <c r="CP138" s="26"/>
    </row>
    <row r="139" spans="1:94" s="27" customFormat="1" ht="23.25" customHeight="1">
      <c r="A139" s="4">
        <v>36</v>
      </c>
      <c r="B139" s="6"/>
      <c r="C139" s="6"/>
      <c r="D139" s="6"/>
      <c r="E139" s="6"/>
      <c r="F139" s="6"/>
      <c r="G139" s="6"/>
      <c r="H139" s="5"/>
      <c r="I139" s="7" t="s">
        <v>2452</v>
      </c>
      <c r="J139" s="7" t="s">
        <v>2731</v>
      </c>
      <c r="K139" s="7" t="s">
        <v>2732</v>
      </c>
      <c r="L139" s="5"/>
      <c r="M139" s="5">
        <v>2096</v>
      </c>
      <c r="N139" s="9">
        <v>3181503144</v>
      </c>
      <c r="O139" s="9" t="s">
        <v>11560</v>
      </c>
      <c r="P139" s="10" t="s">
        <v>2733</v>
      </c>
      <c r="Q139" s="389" t="s">
        <v>11459</v>
      </c>
      <c r="R139" s="64" t="s">
        <v>2449</v>
      </c>
      <c r="S139" s="212" t="s">
        <v>12139</v>
      </c>
      <c r="T139" s="8" t="s">
        <v>2734</v>
      </c>
      <c r="U139" s="11" t="s">
        <v>93</v>
      </c>
      <c r="V139" s="12" t="s">
        <v>94</v>
      </c>
      <c r="W139" s="13">
        <v>43366</v>
      </c>
      <c r="X139" s="13" t="str">
        <f t="shared" ca="1" si="1"/>
        <v>7 Th, 11 Bln</v>
      </c>
      <c r="Y139" s="5" t="s">
        <v>95</v>
      </c>
      <c r="Z139" s="14" t="s">
        <v>108</v>
      </c>
      <c r="AA139" s="5" t="s">
        <v>96</v>
      </c>
      <c r="AB139" s="5" t="s">
        <v>97</v>
      </c>
      <c r="AC139" s="7" t="s">
        <v>2735</v>
      </c>
      <c r="AD139" s="131">
        <v>7</v>
      </c>
      <c r="AE139" s="131">
        <v>8</v>
      </c>
      <c r="AF139" s="7" t="s">
        <v>891</v>
      </c>
      <c r="AG139" s="7" t="s">
        <v>547</v>
      </c>
      <c r="AH139" s="7" t="s">
        <v>178</v>
      </c>
      <c r="AI139" s="7">
        <v>65141</v>
      </c>
      <c r="AJ139" s="7" t="s">
        <v>103</v>
      </c>
      <c r="AK139" s="7" t="s">
        <v>104</v>
      </c>
      <c r="AL139" s="7" t="s">
        <v>2736</v>
      </c>
      <c r="AM139" s="15" t="s">
        <v>2737</v>
      </c>
      <c r="AN139" s="15" t="s">
        <v>2738</v>
      </c>
      <c r="AO139" s="8">
        <v>1</v>
      </c>
      <c r="AP139" s="8" t="s">
        <v>146</v>
      </c>
      <c r="AQ139" s="8" t="s">
        <v>127</v>
      </c>
      <c r="AR139" s="8" t="s">
        <v>127</v>
      </c>
      <c r="AS139" s="132" t="s">
        <v>2614</v>
      </c>
      <c r="AT139" s="131" t="s">
        <v>2509</v>
      </c>
      <c r="AU139" s="132" t="s">
        <v>111</v>
      </c>
      <c r="AV139" s="16" t="s">
        <v>112</v>
      </c>
      <c r="AW139" s="56"/>
      <c r="AX139" s="56" t="s">
        <v>2653</v>
      </c>
      <c r="AY139" s="56" t="s">
        <v>2739</v>
      </c>
      <c r="AZ139" s="7" t="s">
        <v>2740</v>
      </c>
      <c r="BA139" s="10" t="s">
        <v>94</v>
      </c>
      <c r="BB139" s="52">
        <v>28815</v>
      </c>
      <c r="BC139" s="17" t="s">
        <v>96</v>
      </c>
      <c r="BD139" s="17" t="s">
        <v>2741</v>
      </c>
      <c r="BE139" s="18" t="s">
        <v>118</v>
      </c>
      <c r="BF139" s="7" t="s">
        <v>2742</v>
      </c>
      <c r="BG139" s="7" t="s">
        <v>2743</v>
      </c>
      <c r="BH139" s="7" t="s">
        <v>2744</v>
      </c>
      <c r="BI139" s="7" t="s">
        <v>2745</v>
      </c>
      <c r="BJ139" s="19" t="s">
        <v>2746</v>
      </c>
      <c r="BK139" s="20" t="s">
        <v>2747</v>
      </c>
      <c r="BL139" s="58" t="s">
        <v>2748</v>
      </c>
      <c r="BM139" s="7" t="s">
        <v>2749</v>
      </c>
      <c r="BN139" s="22" t="s">
        <v>1208</v>
      </c>
      <c r="BO139" s="49">
        <v>32415</v>
      </c>
      <c r="BP139" s="17" t="s">
        <v>96</v>
      </c>
      <c r="BQ139" s="17" t="s">
        <v>2738</v>
      </c>
      <c r="BR139" s="18" t="s">
        <v>118</v>
      </c>
      <c r="BS139" s="7" t="s">
        <v>2750</v>
      </c>
      <c r="BT139" s="7" t="s">
        <v>2751</v>
      </c>
      <c r="BU139" s="7" t="s">
        <v>2752</v>
      </c>
      <c r="BV139" s="8" t="s">
        <v>2738</v>
      </c>
      <c r="BW139" s="23" t="s">
        <v>2753</v>
      </c>
      <c r="BX139" s="24" t="s">
        <v>2754</v>
      </c>
      <c r="BY139" s="21" t="s">
        <v>108</v>
      </c>
      <c r="BZ139" s="21" t="s">
        <v>108</v>
      </c>
      <c r="CA139" s="21"/>
      <c r="CB139" s="21"/>
      <c r="CC139" s="21"/>
      <c r="CD139" s="21"/>
      <c r="CE139" s="21" t="s">
        <v>108</v>
      </c>
      <c r="CF139" s="21"/>
      <c r="CG139" s="21" t="s">
        <v>108</v>
      </c>
      <c r="CH139" s="21"/>
      <c r="CI139" s="21"/>
      <c r="CJ139" s="21" t="s">
        <v>108</v>
      </c>
      <c r="CK139" s="21" t="s">
        <v>108</v>
      </c>
      <c r="CL139" s="21" t="s">
        <v>108</v>
      </c>
      <c r="CM139" s="25"/>
      <c r="CN139" s="25"/>
      <c r="CO139" s="25"/>
      <c r="CP139" s="26"/>
    </row>
    <row r="140" spans="1:94" s="27" customFormat="1" ht="23.25" customHeight="1">
      <c r="A140" s="4">
        <v>37</v>
      </c>
      <c r="B140" s="6"/>
      <c r="C140" s="6"/>
      <c r="D140" s="6"/>
      <c r="E140" s="6"/>
      <c r="F140" s="6"/>
      <c r="G140" s="6"/>
      <c r="H140" s="5"/>
      <c r="I140" s="7" t="s">
        <v>2452</v>
      </c>
      <c r="J140" s="7" t="s">
        <v>402</v>
      </c>
      <c r="K140" s="7" t="s">
        <v>3070</v>
      </c>
      <c r="L140" s="5"/>
      <c r="M140" s="5">
        <v>2113</v>
      </c>
      <c r="N140" s="9">
        <v>3186670955</v>
      </c>
      <c r="O140" s="9" t="s">
        <v>11561</v>
      </c>
      <c r="P140" s="10" t="s">
        <v>3071</v>
      </c>
      <c r="Q140" s="389" t="s">
        <v>3072</v>
      </c>
      <c r="R140" s="64" t="s">
        <v>2449</v>
      </c>
      <c r="S140" s="212" t="s">
        <v>12139</v>
      </c>
      <c r="T140" s="8" t="s">
        <v>3073</v>
      </c>
      <c r="U140" s="11" t="s">
        <v>172</v>
      </c>
      <c r="V140" s="12" t="s">
        <v>94</v>
      </c>
      <c r="W140" s="13">
        <v>43429</v>
      </c>
      <c r="X140" s="13" t="str">
        <f t="shared" ca="1" si="1"/>
        <v>7 Th, 9 Bln</v>
      </c>
      <c r="Y140" s="5" t="s">
        <v>95</v>
      </c>
      <c r="Z140" s="14" t="s">
        <v>108</v>
      </c>
      <c r="AA140" s="5" t="s">
        <v>96</v>
      </c>
      <c r="AB140" s="5" t="s">
        <v>97</v>
      </c>
      <c r="AC140" s="7" t="s">
        <v>3074</v>
      </c>
      <c r="AD140" s="131" t="s">
        <v>966</v>
      </c>
      <c r="AE140" s="131" t="s">
        <v>265</v>
      </c>
      <c r="AF140" s="7" t="s">
        <v>1840</v>
      </c>
      <c r="AG140" s="7" t="s">
        <v>178</v>
      </c>
      <c r="AH140" s="7" t="s">
        <v>178</v>
      </c>
      <c r="AI140" s="7">
        <v>65142</v>
      </c>
      <c r="AJ140" s="7" t="s">
        <v>103</v>
      </c>
      <c r="AK140" s="7" t="s">
        <v>104</v>
      </c>
      <c r="AL140" s="7" t="s">
        <v>2526</v>
      </c>
      <c r="AM140" s="15" t="s">
        <v>3075</v>
      </c>
      <c r="AN140" s="15" t="s">
        <v>3076</v>
      </c>
      <c r="AO140" s="8">
        <v>1</v>
      </c>
      <c r="AP140" s="8" t="s">
        <v>146</v>
      </c>
      <c r="AQ140" s="8" t="s">
        <v>108</v>
      </c>
      <c r="AR140" s="8" t="s">
        <v>108</v>
      </c>
      <c r="AS140" s="132" t="s">
        <v>3077</v>
      </c>
      <c r="AT140" s="131" t="s">
        <v>2593</v>
      </c>
      <c r="AU140" s="132" t="s">
        <v>149</v>
      </c>
      <c r="AV140" s="16" t="s">
        <v>112</v>
      </c>
      <c r="AW140" s="56"/>
      <c r="AX140" s="56" t="s">
        <v>114</v>
      </c>
      <c r="AY140" s="56" t="s">
        <v>3078</v>
      </c>
      <c r="AZ140" s="7" t="s">
        <v>3079</v>
      </c>
      <c r="BA140" s="10" t="s">
        <v>94</v>
      </c>
      <c r="BB140" s="52">
        <v>31731</v>
      </c>
      <c r="BC140" s="17" t="s">
        <v>96</v>
      </c>
      <c r="BD140" s="17" t="s">
        <v>3080</v>
      </c>
      <c r="BE140" s="18" t="s">
        <v>118</v>
      </c>
      <c r="BF140" s="7" t="s">
        <v>247</v>
      </c>
      <c r="BG140" s="7" t="s">
        <v>3081</v>
      </c>
      <c r="BH140" s="7" t="s">
        <v>3082</v>
      </c>
      <c r="BI140" s="7" t="s">
        <v>3080</v>
      </c>
      <c r="BJ140" s="19" t="s">
        <v>190</v>
      </c>
      <c r="BK140" s="20" t="s">
        <v>3083</v>
      </c>
      <c r="BL140" s="58" t="s">
        <v>3084</v>
      </c>
      <c r="BM140" s="7" t="s">
        <v>3085</v>
      </c>
      <c r="BN140" s="22" t="s">
        <v>2631</v>
      </c>
      <c r="BO140" s="49">
        <v>32061</v>
      </c>
      <c r="BP140" s="17" t="s">
        <v>96</v>
      </c>
      <c r="BQ140" s="17" t="s">
        <v>3076</v>
      </c>
      <c r="BR140" s="18" t="s">
        <v>118</v>
      </c>
      <c r="BS140" s="7" t="s">
        <v>1526</v>
      </c>
      <c r="BT140" s="7" t="s">
        <v>3086</v>
      </c>
      <c r="BU140" s="7" t="s">
        <v>3087</v>
      </c>
      <c r="BV140" s="8" t="s">
        <v>958</v>
      </c>
      <c r="BW140" s="23" t="s">
        <v>190</v>
      </c>
      <c r="BX140" s="24" t="s">
        <v>3088</v>
      </c>
      <c r="BY140" s="21" t="s">
        <v>108</v>
      </c>
      <c r="BZ140" s="21" t="s">
        <v>108</v>
      </c>
      <c r="CA140" s="21"/>
      <c r="CB140" s="21"/>
      <c r="CC140" s="21"/>
      <c r="CD140" s="21"/>
      <c r="CE140" s="21" t="s">
        <v>108</v>
      </c>
      <c r="CF140" s="21"/>
      <c r="CG140" s="21" t="s">
        <v>108</v>
      </c>
      <c r="CH140" s="21"/>
      <c r="CI140" s="21"/>
      <c r="CJ140" s="21" t="s">
        <v>108</v>
      </c>
      <c r="CK140" s="21" t="s">
        <v>108</v>
      </c>
      <c r="CL140" s="21" t="s">
        <v>108</v>
      </c>
      <c r="CM140" s="25"/>
      <c r="CN140" s="25"/>
      <c r="CO140" s="25"/>
      <c r="CP140" s="26"/>
    </row>
    <row r="141" spans="1:94" s="27" customFormat="1" ht="23.25" customHeight="1">
      <c r="A141" s="4">
        <v>38</v>
      </c>
      <c r="B141" s="6"/>
      <c r="C141" s="6"/>
      <c r="D141" s="6"/>
      <c r="E141" s="6"/>
      <c r="F141" s="6"/>
      <c r="G141" s="6"/>
      <c r="H141" s="5"/>
      <c r="I141" s="7" t="s">
        <v>2452</v>
      </c>
      <c r="J141" s="7" t="s">
        <v>1969</v>
      </c>
      <c r="K141" s="7" t="s">
        <v>3126</v>
      </c>
      <c r="L141" s="5"/>
      <c r="M141" s="5">
        <v>2116</v>
      </c>
      <c r="N141" s="9">
        <v>3197715064</v>
      </c>
      <c r="O141" s="9" t="s">
        <v>11562</v>
      </c>
      <c r="P141" s="10" t="s">
        <v>3127</v>
      </c>
      <c r="Q141" s="389" t="s">
        <v>3128</v>
      </c>
      <c r="R141" s="64" t="s">
        <v>2449</v>
      </c>
      <c r="S141" s="212" t="s">
        <v>12139</v>
      </c>
      <c r="T141" s="8" t="s">
        <v>3129</v>
      </c>
      <c r="U141" s="11" t="s">
        <v>93</v>
      </c>
      <c r="V141" s="12" t="s">
        <v>94</v>
      </c>
      <c r="W141" s="13">
        <v>43607</v>
      </c>
      <c r="X141" s="13" t="str">
        <f t="shared" ca="1" si="1"/>
        <v>7 Th, 3 Bln</v>
      </c>
      <c r="Y141" s="5" t="s">
        <v>95</v>
      </c>
      <c r="Z141" s="14" t="s">
        <v>108</v>
      </c>
      <c r="AA141" s="5" t="s">
        <v>96</v>
      </c>
      <c r="AB141" s="5" t="s">
        <v>97</v>
      </c>
      <c r="AC141" s="7" t="s">
        <v>3130</v>
      </c>
      <c r="AD141" s="131">
        <v>29</v>
      </c>
      <c r="AE141" s="131" t="s">
        <v>318</v>
      </c>
      <c r="AF141" s="7" t="s">
        <v>1070</v>
      </c>
      <c r="AG141" s="7" t="s">
        <v>994</v>
      </c>
      <c r="AH141" s="7" t="s">
        <v>141</v>
      </c>
      <c r="AI141" s="7">
        <v>65324</v>
      </c>
      <c r="AJ141" s="7" t="s">
        <v>2024</v>
      </c>
      <c r="AK141" s="7" t="s">
        <v>104</v>
      </c>
      <c r="AL141" s="7" t="s">
        <v>269</v>
      </c>
      <c r="AM141" s="15" t="s">
        <v>3131</v>
      </c>
      <c r="AN141" s="15" t="s">
        <v>3132</v>
      </c>
      <c r="AO141" s="8">
        <v>1</v>
      </c>
      <c r="AP141" s="8" t="s">
        <v>107</v>
      </c>
      <c r="AQ141" s="8" t="s">
        <v>108</v>
      </c>
      <c r="AR141" s="8" t="s">
        <v>108</v>
      </c>
      <c r="AS141" s="132" t="s">
        <v>2829</v>
      </c>
      <c r="AT141" s="131" t="s">
        <v>2593</v>
      </c>
      <c r="AU141" s="132" t="s">
        <v>182</v>
      </c>
      <c r="AV141" s="16" t="s">
        <v>112</v>
      </c>
      <c r="AW141" s="56"/>
      <c r="AX141" s="56" t="s">
        <v>734</v>
      </c>
      <c r="AY141" s="56" t="s">
        <v>3133</v>
      </c>
      <c r="AZ141" s="7" t="s">
        <v>3134</v>
      </c>
      <c r="BA141" s="10" t="s">
        <v>222</v>
      </c>
      <c r="BB141" s="52">
        <v>32523</v>
      </c>
      <c r="BC141" s="17" t="s">
        <v>96</v>
      </c>
      <c r="BD141" s="17" t="s">
        <v>3131</v>
      </c>
      <c r="BE141" s="18" t="s">
        <v>216</v>
      </c>
      <c r="BF141" s="7" t="s">
        <v>276</v>
      </c>
      <c r="BG141" s="7" t="s">
        <v>3135</v>
      </c>
      <c r="BH141" s="7" t="s">
        <v>3136</v>
      </c>
      <c r="BI141" s="7" t="s">
        <v>3137</v>
      </c>
      <c r="BJ141" s="19" t="s">
        <v>3138</v>
      </c>
      <c r="BK141" s="20" t="s">
        <v>3139</v>
      </c>
      <c r="BL141" s="58" t="s">
        <v>3140</v>
      </c>
      <c r="BM141" s="7" t="s">
        <v>3141</v>
      </c>
      <c r="BN141" s="22" t="s">
        <v>94</v>
      </c>
      <c r="BO141" s="49">
        <v>35270</v>
      </c>
      <c r="BP141" s="17" t="s">
        <v>96</v>
      </c>
      <c r="BQ141" s="17" t="s">
        <v>3132</v>
      </c>
      <c r="BR141" s="18" t="s">
        <v>216</v>
      </c>
      <c r="BS141" s="7" t="s">
        <v>126</v>
      </c>
      <c r="BT141" s="7" t="s">
        <v>3142</v>
      </c>
      <c r="BU141" s="7" t="s">
        <v>3142</v>
      </c>
      <c r="BV141" s="8" t="s">
        <v>108</v>
      </c>
      <c r="BW141" s="23" t="s">
        <v>3142</v>
      </c>
      <c r="BX141" s="24" t="s">
        <v>3142</v>
      </c>
      <c r="BY141" s="21" t="s">
        <v>108</v>
      </c>
      <c r="BZ141" s="21" t="s">
        <v>108</v>
      </c>
      <c r="CA141" s="21"/>
      <c r="CB141" s="21"/>
      <c r="CC141" s="21"/>
      <c r="CD141" s="21"/>
      <c r="CE141" s="21" t="s">
        <v>108</v>
      </c>
      <c r="CF141" s="21"/>
      <c r="CG141" s="21" t="s">
        <v>108</v>
      </c>
      <c r="CH141" s="21"/>
      <c r="CI141" s="21"/>
      <c r="CJ141" s="21" t="s">
        <v>108</v>
      </c>
      <c r="CK141" s="21" t="s">
        <v>108</v>
      </c>
      <c r="CL141" s="21" t="s">
        <v>108</v>
      </c>
      <c r="CM141" s="25"/>
      <c r="CN141" s="25"/>
      <c r="CO141" s="25"/>
      <c r="CP141" s="26"/>
    </row>
    <row r="142" spans="1:94" s="27" customFormat="1" ht="23.25" customHeight="1">
      <c r="A142" s="4">
        <v>39</v>
      </c>
      <c r="B142" s="6"/>
      <c r="C142" s="6"/>
      <c r="D142" s="6"/>
      <c r="E142" s="6"/>
      <c r="F142" s="6"/>
      <c r="G142" s="6"/>
      <c r="H142" s="5"/>
      <c r="I142" s="7" t="s">
        <v>2452</v>
      </c>
      <c r="J142" s="7" t="s">
        <v>3353</v>
      </c>
      <c r="K142" s="7" t="s">
        <v>3354</v>
      </c>
      <c r="L142" s="5"/>
      <c r="M142" s="5">
        <v>2127</v>
      </c>
      <c r="N142" s="9">
        <v>3197021126</v>
      </c>
      <c r="O142" s="9" t="s">
        <v>11563</v>
      </c>
      <c r="P142" s="10" t="s">
        <v>3355</v>
      </c>
      <c r="Q142" s="389" t="s">
        <v>3356</v>
      </c>
      <c r="R142" s="64" t="s">
        <v>2449</v>
      </c>
      <c r="S142" s="212" t="s">
        <v>12139</v>
      </c>
      <c r="T142" s="8" t="s">
        <v>2156</v>
      </c>
      <c r="U142" s="11" t="s">
        <v>93</v>
      </c>
      <c r="V142" s="12" t="s">
        <v>1031</v>
      </c>
      <c r="W142" s="13">
        <v>43600</v>
      </c>
      <c r="X142" s="13" t="str">
        <f t="shared" ca="1" si="1"/>
        <v>7 Th, 4 Bln</v>
      </c>
      <c r="Y142" s="5" t="s">
        <v>95</v>
      </c>
      <c r="Z142" s="14" t="s">
        <v>108</v>
      </c>
      <c r="AA142" s="5" t="s">
        <v>96</v>
      </c>
      <c r="AB142" s="5" t="s">
        <v>97</v>
      </c>
      <c r="AC142" s="7" t="s">
        <v>3357</v>
      </c>
      <c r="AD142" s="131" t="s">
        <v>100</v>
      </c>
      <c r="AE142" s="131">
        <v>18</v>
      </c>
      <c r="AF142" s="7" t="s">
        <v>615</v>
      </c>
      <c r="AG142" s="7" t="s">
        <v>178</v>
      </c>
      <c r="AH142" s="7" t="s">
        <v>178</v>
      </c>
      <c r="AI142" s="7">
        <v>65142</v>
      </c>
      <c r="AJ142" s="7" t="s">
        <v>94</v>
      </c>
      <c r="AK142" s="7" t="s">
        <v>386</v>
      </c>
      <c r="AL142" s="7" t="s">
        <v>3358</v>
      </c>
      <c r="AM142" s="15" t="s">
        <v>3359</v>
      </c>
      <c r="AN142" s="15" t="s">
        <v>3359</v>
      </c>
      <c r="AO142" s="8">
        <v>1</v>
      </c>
      <c r="AP142" s="8" t="s">
        <v>146</v>
      </c>
      <c r="AQ142" s="8" t="s">
        <v>108</v>
      </c>
      <c r="AR142" s="8" t="s">
        <v>108</v>
      </c>
      <c r="AS142" s="132" t="s">
        <v>3360</v>
      </c>
      <c r="AT142" s="131" t="s">
        <v>2894</v>
      </c>
      <c r="AU142" s="132" t="s">
        <v>111</v>
      </c>
      <c r="AV142" s="16" t="s">
        <v>112</v>
      </c>
      <c r="AW142" s="56"/>
      <c r="AX142" s="56" t="s">
        <v>183</v>
      </c>
      <c r="AY142" s="56" t="s">
        <v>3361</v>
      </c>
      <c r="AZ142" s="7" t="s">
        <v>3362</v>
      </c>
      <c r="BA142" s="10" t="s">
        <v>469</v>
      </c>
      <c r="BB142" s="52">
        <v>33698</v>
      </c>
      <c r="BC142" s="17" t="s">
        <v>96</v>
      </c>
      <c r="BD142" s="17" t="s">
        <v>3363</v>
      </c>
      <c r="BE142" s="18" t="s">
        <v>118</v>
      </c>
      <c r="BF142" s="7" t="s">
        <v>503</v>
      </c>
      <c r="BG142" s="7" t="s">
        <v>3364</v>
      </c>
      <c r="BH142" s="7" t="s">
        <v>3365</v>
      </c>
      <c r="BI142" s="7"/>
      <c r="BJ142" s="19" t="s">
        <v>190</v>
      </c>
      <c r="BK142" s="20" t="s">
        <v>3366</v>
      </c>
      <c r="BL142" s="58" t="s">
        <v>3367</v>
      </c>
      <c r="BM142" s="7" t="s">
        <v>3368</v>
      </c>
      <c r="BN142" s="22" t="s">
        <v>1031</v>
      </c>
      <c r="BO142" s="49">
        <v>33812</v>
      </c>
      <c r="BP142" s="17" t="s">
        <v>96</v>
      </c>
      <c r="BQ142" s="17" t="s">
        <v>3359</v>
      </c>
      <c r="BR142" s="18" t="s">
        <v>118</v>
      </c>
      <c r="BS142" s="7" t="s">
        <v>503</v>
      </c>
      <c r="BT142" s="7" t="s">
        <v>3369</v>
      </c>
      <c r="BU142" s="7" t="s">
        <v>3370</v>
      </c>
      <c r="BV142" s="8" t="s">
        <v>3371</v>
      </c>
      <c r="BW142" s="23">
        <v>3200000</v>
      </c>
      <c r="BX142" s="24" t="s">
        <v>3372</v>
      </c>
      <c r="BY142" s="21" t="s">
        <v>108</v>
      </c>
      <c r="BZ142" s="21" t="s">
        <v>108</v>
      </c>
      <c r="CA142" s="21"/>
      <c r="CB142" s="21"/>
      <c r="CC142" s="21"/>
      <c r="CD142" s="21"/>
      <c r="CE142" s="21" t="s">
        <v>108</v>
      </c>
      <c r="CF142" s="21"/>
      <c r="CG142" s="21" t="s">
        <v>108</v>
      </c>
      <c r="CH142" s="21"/>
      <c r="CI142" s="21"/>
      <c r="CJ142" s="21" t="s">
        <v>108</v>
      </c>
      <c r="CK142" s="21" t="s">
        <v>108</v>
      </c>
      <c r="CL142" s="21" t="s">
        <v>108</v>
      </c>
      <c r="CM142" s="25"/>
      <c r="CN142" s="25"/>
      <c r="CO142" s="25"/>
      <c r="CP142" s="26"/>
    </row>
    <row r="143" spans="1:94" s="27" customFormat="1" ht="23.25" customHeight="1">
      <c r="A143" s="4">
        <v>40</v>
      </c>
      <c r="B143" s="28"/>
      <c r="C143" s="28"/>
      <c r="D143" s="28"/>
      <c r="E143" s="28"/>
      <c r="F143" s="28"/>
      <c r="G143" s="28"/>
      <c r="H143" s="29"/>
      <c r="I143" s="30" t="s">
        <v>2452</v>
      </c>
      <c r="J143" s="30" t="s">
        <v>3189</v>
      </c>
      <c r="K143" s="30" t="s">
        <v>3373</v>
      </c>
      <c r="L143" s="29"/>
      <c r="M143" s="29">
        <v>2128</v>
      </c>
      <c r="N143" s="92">
        <v>3189993092</v>
      </c>
      <c r="O143" s="92" t="s">
        <v>11564</v>
      </c>
      <c r="P143" s="32" t="s">
        <v>3374</v>
      </c>
      <c r="Q143" s="390" t="s">
        <v>3375</v>
      </c>
      <c r="R143" s="64" t="s">
        <v>2449</v>
      </c>
      <c r="S143" s="212" t="s">
        <v>12139</v>
      </c>
      <c r="T143" s="31" t="s">
        <v>3376</v>
      </c>
      <c r="U143" s="33" t="s">
        <v>172</v>
      </c>
      <c r="V143" s="34" t="s">
        <v>94</v>
      </c>
      <c r="W143" s="35">
        <v>43191</v>
      </c>
      <c r="X143" s="35" t="str">
        <f t="shared" ca="1" si="1"/>
        <v>8 Th, 5 Bln</v>
      </c>
      <c r="Y143" s="29" t="s">
        <v>425</v>
      </c>
      <c r="Z143" s="36" t="s">
        <v>3377</v>
      </c>
      <c r="AA143" s="29" t="s">
        <v>96</v>
      </c>
      <c r="AB143" s="29" t="s">
        <v>97</v>
      </c>
      <c r="AC143" s="30" t="s">
        <v>3378</v>
      </c>
      <c r="AD143" s="129" t="s">
        <v>293</v>
      </c>
      <c r="AE143" s="129" t="s">
        <v>99</v>
      </c>
      <c r="AF143" s="30" t="s">
        <v>1483</v>
      </c>
      <c r="AG143" s="30" t="s">
        <v>687</v>
      </c>
      <c r="AH143" s="30" t="s">
        <v>141</v>
      </c>
      <c r="AI143" s="30">
        <v>65151</v>
      </c>
      <c r="AJ143" s="30" t="s">
        <v>94</v>
      </c>
      <c r="AK143" s="30" t="s">
        <v>104</v>
      </c>
      <c r="AL143" s="30" t="s">
        <v>438</v>
      </c>
      <c r="AM143" s="37" t="s">
        <v>3379</v>
      </c>
      <c r="AN143" s="37" t="s">
        <v>3380</v>
      </c>
      <c r="AO143" s="31">
        <v>2</v>
      </c>
      <c r="AP143" s="31" t="s">
        <v>107</v>
      </c>
      <c r="AQ143" s="31" t="s">
        <v>108</v>
      </c>
      <c r="AR143" s="31" t="s">
        <v>108</v>
      </c>
      <c r="AS143" s="130" t="s">
        <v>2694</v>
      </c>
      <c r="AT143" s="129" t="s">
        <v>3150</v>
      </c>
      <c r="AU143" s="130" t="s">
        <v>111</v>
      </c>
      <c r="AV143" s="38" t="s">
        <v>112</v>
      </c>
      <c r="AW143" s="123"/>
      <c r="AX143" s="123" t="s">
        <v>183</v>
      </c>
      <c r="AY143" s="123" t="s">
        <v>3381</v>
      </c>
      <c r="AZ143" s="30" t="s">
        <v>3382</v>
      </c>
      <c r="BA143" s="32" t="s">
        <v>94</v>
      </c>
      <c r="BB143" s="53">
        <v>31184</v>
      </c>
      <c r="BC143" s="39" t="s">
        <v>96</v>
      </c>
      <c r="BD143" s="39" t="s">
        <v>3383</v>
      </c>
      <c r="BE143" s="40" t="s">
        <v>118</v>
      </c>
      <c r="BF143" s="30" t="s">
        <v>327</v>
      </c>
      <c r="BG143" s="30" t="s">
        <v>3384</v>
      </c>
      <c r="BH143" s="30" t="s">
        <v>3385</v>
      </c>
      <c r="BI143" s="30" t="s">
        <v>3386</v>
      </c>
      <c r="BJ143" s="41" t="s">
        <v>190</v>
      </c>
      <c r="BK143" s="111" t="s">
        <v>3387</v>
      </c>
      <c r="BL143" s="124" t="s">
        <v>3388</v>
      </c>
      <c r="BM143" s="30" t="s">
        <v>3389</v>
      </c>
      <c r="BN143" s="125" t="s">
        <v>971</v>
      </c>
      <c r="BO143" s="50">
        <v>32010</v>
      </c>
      <c r="BP143" s="39" t="s">
        <v>96</v>
      </c>
      <c r="BQ143" s="39" t="s">
        <v>3380</v>
      </c>
      <c r="BR143" s="40" t="s">
        <v>118</v>
      </c>
      <c r="BS143" s="30" t="s">
        <v>790</v>
      </c>
      <c r="BT143" s="30" t="s">
        <v>127</v>
      </c>
      <c r="BU143" s="30" t="s">
        <v>127</v>
      </c>
      <c r="BV143" s="31" t="s">
        <v>127</v>
      </c>
      <c r="BW143" s="126" t="s">
        <v>127</v>
      </c>
      <c r="BX143" s="127" t="s">
        <v>3390</v>
      </c>
      <c r="BY143" s="47" t="s">
        <v>108</v>
      </c>
      <c r="BZ143" s="47" t="s">
        <v>108</v>
      </c>
      <c r="CA143" s="47"/>
      <c r="CB143" s="47"/>
      <c r="CC143" s="47"/>
      <c r="CD143" s="47"/>
      <c r="CE143" s="47" t="s">
        <v>108</v>
      </c>
      <c r="CF143" s="47"/>
      <c r="CG143" s="47" t="s">
        <v>108</v>
      </c>
      <c r="CH143" s="47"/>
      <c r="CI143" s="47"/>
      <c r="CJ143" s="47" t="s">
        <v>108</v>
      </c>
      <c r="CK143" s="47" t="s">
        <v>108</v>
      </c>
      <c r="CL143" s="47" t="s">
        <v>108</v>
      </c>
      <c r="CM143" s="25"/>
      <c r="CN143" s="25"/>
      <c r="CO143" s="25"/>
      <c r="CP143" s="26"/>
    </row>
    <row r="144" spans="1:94" s="27" customFormat="1" ht="23.25" customHeight="1">
      <c r="A144" s="4">
        <v>41</v>
      </c>
      <c r="B144" s="6"/>
      <c r="C144" s="6"/>
      <c r="D144" s="6"/>
      <c r="E144" s="6"/>
      <c r="F144" s="6"/>
      <c r="G144" s="6"/>
      <c r="H144" s="5"/>
      <c r="I144" s="7" t="s">
        <v>86</v>
      </c>
      <c r="J144" s="7" t="s">
        <v>3391</v>
      </c>
      <c r="K144" s="7" t="s">
        <v>3392</v>
      </c>
      <c r="L144" s="5"/>
      <c r="M144" s="5">
        <v>2129</v>
      </c>
      <c r="N144" s="9">
        <v>3186578661</v>
      </c>
      <c r="O144" s="9" t="s">
        <v>11565</v>
      </c>
      <c r="P144" s="10" t="s">
        <v>3393</v>
      </c>
      <c r="Q144" s="389" t="s">
        <v>3394</v>
      </c>
      <c r="R144" s="64" t="s">
        <v>2449</v>
      </c>
      <c r="S144" s="212" t="s">
        <v>12139</v>
      </c>
      <c r="T144" s="8" t="s">
        <v>3395</v>
      </c>
      <c r="U144" s="11" t="s">
        <v>93</v>
      </c>
      <c r="V144" s="12" t="s">
        <v>2004</v>
      </c>
      <c r="W144" s="13">
        <v>43364</v>
      </c>
      <c r="X144" s="13" t="str">
        <f t="shared" ca="1" si="1"/>
        <v>7 Th, 11 Bln</v>
      </c>
      <c r="Y144" s="5" t="s">
        <v>95</v>
      </c>
      <c r="Z144" s="14" t="s">
        <v>108</v>
      </c>
      <c r="AA144" s="5" t="s">
        <v>96</v>
      </c>
      <c r="AB144" s="5" t="s">
        <v>97</v>
      </c>
      <c r="AC144" s="7" t="s">
        <v>3396</v>
      </c>
      <c r="AD144" s="131" t="s">
        <v>827</v>
      </c>
      <c r="AE144" s="131" t="s">
        <v>3397</v>
      </c>
      <c r="AF144" s="7" t="s">
        <v>921</v>
      </c>
      <c r="AG144" s="7" t="s">
        <v>687</v>
      </c>
      <c r="AH144" s="7" t="s">
        <v>141</v>
      </c>
      <c r="AI144" s="7"/>
      <c r="AJ144" s="7" t="s">
        <v>142</v>
      </c>
      <c r="AK144" s="7" t="s">
        <v>104</v>
      </c>
      <c r="AL144" s="7" t="s">
        <v>298</v>
      </c>
      <c r="AM144" s="15" t="s">
        <v>162</v>
      </c>
      <c r="AN144" s="15" t="s">
        <v>3398</v>
      </c>
      <c r="AO144" s="8" t="s">
        <v>3399</v>
      </c>
      <c r="AP144" s="8" t="s">
        <v>146</v>
      </c>
      <c r="AQ144" s="8" t="s">
        <v>147</v>
      </c>
      <c r="AR144" s="8" t="s">
        <v>147</v>
      </c>
      <c r="AS144" s="132" t="s">
        <v>3400</v>
      </c>
      <c r="AT144" s="131" t="s">
        <v>3401</v>
      </c>
      <c r="AU144" s="132" t="s">
        <v>182</v>
      </c>
      <c r="AV144" s="16" t="s">
        <v>112</v>
      </c>
      <c r="AW144" s="56"/>
      <c r="AX144" s="56" t="s">
        <v>183</v>
      </c>
      <c r="AY144" s="56" t="s">
        <v>3402</v>
      </c>
      <c r="AZ144" s="7" t="s">
        <v>3403</v>
      </c>
      <c r="BA144" s="10" t="s">
        <v>971</v>
      </c>
      <c r="BB144" s="52">
        <v>34171</v>
      </c>
      <c r="BC144" s="17" t="s">
        <v>96</v>
      </c>
      <c r="BD144" s="17" t="s">
        <v>3404</v>
      </c>
      <c r="BE144" s="18" t="s">
        <v>118</v>
      </c>
      <c r="BF144" s="7" t="s">
        <v>925</v>
      </c>
      <c r="BG144" s="7" t="s">
        <v>3405</v>
      </c>
      <c r="BH144" s="7" t="s">
        <v>3406</v>
      </c>
      <c r="BI144" s="7" t="s">
        <v>162</v>
      </c>
      <c r="BJ144" s="19" t="s">
        <v>3407</v>
      </c>
      <c r="BK144" s="20" t="s">
        <v>3408</v>
      </c>
      <c r="BL144" s="58" t="s">
        <v>3409</v>
      </c>
      <c r="BM144" s="7" t="s">
        <v>3410</v>
      </c>
      <c r="BN144" s="22" t="s">
        <v>444</v>
      </c>
      <c r="BO144" s="49">
        <v>33934</v>
      </c>
      <c r="BP144" s="17" t="s">
        <v>96</v>
      </c>
      <c r="BQ144" s="17" t="s">
        <v>3398</v>
      </c>
      <c r="BR144" s="18" t="s">
        <v>118</v>
      </c>
      <c r="BS144" s="7" t="s">
        <v>126</v>
      </c>
      <c r="BT144" s="7" t="s">
        <v>452</v>
      </c>
      <c r="BU144" s="7" t="s">
        <v>3411</v>
      </c>
      <c r="BV144" s="8" t="s">
        <v>3398</v>
      </c>
      <c r="BW144" s="23" t="s">
        <v>162</v>
      </c>
      <c r="BX144" s="24" t="s">
        <v>3412</v>
      </c>
      <c r="BY144" s="21" t="s">
        <v>108</v>
      </c>
      <c r="BZ144" s="21" t="s">
        <v>108</v>
      </c>
      <c r="CA144" s="21"/>
      <c r="CB144" s="21"/>
      <c r="CC144" s="21"/>
      <c r="CD144" s="21"/>
      <c r="CE144" s="21" t="s">
        <v>108</v>
      </c>
      <c r="CF144" s="21"/>
      <c r="CG144" s="21" t="s">
        <v>108</v>
      </c>
      <c r="CH144" s="21"/>
      <c r="CI144" s="21"/>
      <c r="CJ144" s="21" t="s">
        <v>108</v>
      </c>
      <c r="CK144" s="21" t="s">
        <v>108</v>
      </c>
      <c r="CL144" s="21" t="s">
        <v>108</v>
      </c>
      <c r="CM144" s="25"/>
      <c r="CN144" s="25"/>
      <c r="CO144" s="25"/>
      <c r="CP144" s="26"/>
    </row>
    <row r="145" spans="1:94" s="116" customFormat="1" ht="23.25" customHeight="1">
      <c r="A145" s="4">
        <v>42</v>
      </c>
      <c r="B145" s="6"/>
      <c r="C145" s="6"/>
      <c r="D145" s="6"/>
      <c r="E145" s="6"/>
      <c r="F145" s="6"/>
      <c r="G145" s="6"/>
      <c r="H145" s="5"/>
      <c r="I145" s="7" t="s">
        <v>2452</v>
      </c>
      <c r="J145" s="7" t="s">
        <v>3455</v>
      </c>
      <c r="K145" s="7" t="s">
        <v>3456</v>
      </c>
      <c r="L145" s="5"/>
      <c r="M145" s="5">
        <v>2133</v>
      </c>
      <c r="N145" s="9">
        <v>3192096666</v>
      </c>
      <c r="O145" s="9" t="s">
        <v>11566</v>
      </c>
      <c r="P145" s="10" t="s">
        <v>3457</v>
      </c>
      <c r="Q145" s="389" t="s">
        <v>3458</v>
      </c>
      <c r="R145" s="64" t="s">
        <v>2449</v>
      </c>
      <c r="S145" s="212" t="s">
        <v>12139</v>
      </c>
      <c r="T145" s="8" t="s">
        <v>1507</v>
      </c>
      <c r="U145" s="11" t="s">
        <v>93</v>
      </c>
      <c r="V145" s="12" t="s">
        <v>94</v>
      </c>
      <c r="W145" s="13">
        <v>43472</v>
      </c>
      <c r="X145" s="13" t="str">
        <f t="shared" ca="1" si="1"/>
        <v>7 Th, 8 Bln</v>
      </c>
      <c r="Y145" s="5" t="s">
        <v>95</v>
      </c>
      <c r="Z145" s="14" t="s">
        <v>108</v>
      </c>
      <c r="AA145" s="5" t="s">
        <v>96</v>
      </c>
      <c r="AB145" s="5" t="s">
        <v>97</v>
      </c>
      <c r="AC145" s="7" t="s">
        <v>3459</v>
      </c>
      <c r="AD145" s="131" t="s">
        <v>137</v>
      </c>
      <c r="AE145" s="131" t="s">
        <v>3460</v>
      </c>
      <c r="AF145" s="7" t="s">
        <v>139</v>
      </c>
      <c r="AG145" s="7" t="s">
        <v>140</v>
      </c>
      <c r="AH145" s="7" t="s">
        <v>141</v>
      </c>
      <c r="AI145" s="7">
        <v>65152</v>
      </c>
      <c r="AJ145" s="7" t="s">
        <v>268</v>
      </c>
      <c r="AK145" s="7" t="s">
        <v>179</v>
      </c>
      <c r="AL145" s="7" t="s">
        <v>107</v>
      </c>
      <c r="AM145" s="15" t="s">
        <v>127</v>
      </c>
      <c r="AN145" s="15" t="s">
        <v>3461</v>
      </c>
      <c r="AO145" s="8">
        <v>3</v>
      </c>
      <c r="AP145" s="8" t="s">
        <v>298</v>
      </c>
      <c r="AQ145" s="8" t="s">
        <v>108</v>
      </c>
      <c r="AR145" s="8" t="s">
        <v>108</v>
      </c>
      <c r="AS145" s="132" t="s">
        <v>3462</v>
      </c>
      <c r="AT145" s="131" t="s">
        <v>3463</v>
      </c>
      <c r="AU145" s="132" t="s">
        <v>149</v>
      </c>
      <c r="AV145" s="16" t="s">
        <v>112</v>
      </c>
      <c r="AW145" s="56"/>
      <c r="AX145" s="56" t="s">
        <v>183</v>
      </c>
      <c r="AY145" s="56" t="s">
        <v>3464</v>
      </c>
      <c r="AZ145" s="7" t="s">
        <v>3465</v>
      </c>
      <c r="BA145" s="10" t="s">
        <v>2016</v>
      </c>
      <c r="BB145" s="52">
        <v>31235</v>
      </c>
      <c r="BC145" s="17" t="s">
        <v>96</v>
      </c>
      <c r="BD145" s="17" t="s">
        <v>3466</v>
      </c>
      <c r="BE145" s="18" t="s">
        <v>118</v>
      </c>
      <c r="BF145" s="7" t="s">
        <v>3467</v>
      </c>
      <c r="BG145" s="7" t="s">
        <v>3468</v>
      </c>
      <c r="BH145" s="7" t="s">
        <v>3469</v>
      </c>
      <c r="BI145" s="7">
        <v>623436431575</v>
      </c>
      <c r="BJ145" s="19" t="s">
        <v>3470</v>
      </c>
      <c r="BK145" s="20" t="s">
        <v>3471</v>
      </c>
      <c r="BL145" s="58" t="s">
        <v>3472</v>
      </c>
      <c r="BM145" s="7" t="s">
        <v>3473</v>
      </c>
      <c r="BN145" s="22" t="s">
        <v>3474</v>
      </c>
      <c r="BO145" s="49">
        <v>31818</v>
      </c>
      <c r="BP145" s="17" t="s">
        <v>96</v>
      </c>
      <c r="BQ145" s="17" t="s">
        <v>3461</v>
      </c>
      <c r="BR145" s="18" t="s">
        <v>153</v>
      </c>
      <c r="BS145" s="7" t="s">
        <v>154</v>
      </c>
      <c r="BT145" s="7" t="s">
        <v>3475</v>
      </c>
      <c r="BU145" s="7" t="s">
        <v>3476</v>
      </c>
      <c r="BV145" s="8" t="s">
        <v>3477</v>
      </c>
      <c r="BW145" s="23">
        <v>5000</v>
      </c>
      <c r="BX145" s="24" t="s">
        <v>3478</v>
      </c>
      <c r="BY145" s="21" t="s">
        <v>108</v>
      </c>
      <c r="BZ145" s="21" t="s">
        <v>108</v>
      </c>
      <c r="CA145" s="21"/>
      <c r="CB145" s="21"/>
      <c r="CC145" s="21"/>
      <c r="CD145" s="21"/>
      <c r="CE145" s="21" t="s">
        <v>108</v>
      </c>
      <c r="CF145" s="21"/>
      <c r="CG145" s="21" t="s">
        <v>108</v>
      </c>
      <c r="CH145" s="21"/>
      <c r="CI145" s="21"/>
      <c r="CJ145" s="21" t="s">
        <v>108</v>
      </c>
      <c r="CK145" s="21" t="s">
        <v>108</v>
      </c>
      <c r="CL145" s="21" t="s">
        <v>108</v>
      </c>
      <c r="CM145" s="114"/>
      <c r="CN145" s="114"/>
      <c r="CO145" s="114"/>
      <c r="CP145" s="115"/>
    </row>
    <row r="146" spans="1:94" s="27" customFormat="1" ht="23.25" customHeight="1">
      <c r="A146" s="4">
        <v>43</v>
      </c>
      <c r="B146" s="6"/>
      <c r="C146" s="6"/>
      <c r="D146" s="6"/>
      <c r="E146" s="6"/>
      <c r="F146" s="6"/>
      <c r="G146" s="6"/>
      <c r="H146" s="5"/>
      <c r="I146" s="7" t="s">
        <v>2452</v>
      </c>
      <c r="J146" s="7" t="s">
        <v>1218</v>
      </c>
      <c r="K146" s="7" t="s">
        <v>3479</v>
      </c>
      <c r="L146" s="5"/>
      <c r="M146" s="5">
        <v>2134</v>
      </c>
      <c r="N146" s="9">
        <v>3187180398</v>
      </c>
      <c r="O146" s="9" t="s">
        <v>7693</v>
      </c>
      <c r="P146" s="10" t="s">
        <v>3480</v>
      </c>
      <c r="Q146" s="389" t="s">
        <v>3481</v>
      </c>
      <c r="R146" s="64" t="s">
        <v>2449</v>
      </c>
      <c r="S146" s="212" t="s">
        <v>12139</v>
      </c>
      <c r="T146" s="8" t="s">
        <v>3482</v>
      </c>
      <c r="U146" s="11" t="s">
        <v>93</v>
      </c>
      <c r="V146" s="12" t="s">
        <v>511</v>
      </c>
      <c r="W146" s="13">
        <v>43453</v>
      </c>
      <c r="X146" s="13" t="str">
        <f t="shared" ca="1" si="1"/>
        <v>7 Th, 8 Bln</v>
      </c>
      <c r="Y146" s="5" t="s">
        <v>95</v>
      </c>
      <c r="Z146" s="14" t="s">
        <v>108</v>
      </c>
      <c r="AA146" s="5" t="s">
        <v>96</v>
      </c>
      <c r="AB146" s="5" t="s">
        <v>97</v>
      </c>
      <c r="AC146" s="7" t="s">
        <v>3483</v>
      </c>
      <c r="AD146" s="131">
        <v>6</v>
      </c>
      <c r="AE146" s="131">
        <v>4</v>
      </c>
      <c r="AF146" s="7" t="s">
        <v>942</v>
      </c>
      <c r="AG146" s="7" t="s">
        <v>178</v>
      </c>
      <c r="AH146" s="7" t="s">
        <v>178</v>
      </c>
      <c r="AI146" s="7">
        <v>65141</v>
      </c>
      <c r="AJ146" s="7" t="s">
        <v>103</v>
      </c>
      <c r="AK146" s="7" t="s">
        <v>179</v>
      </c>
      <c r="AL146" s="7" t="s">
        <v>3484</v>
      </c>
      <c r="AM146" s="15" t="s">
        <v>3485</v>
      </c>
      <c r="AN146" s="15" t="s">
        <v>3486</v>
      </c>
      <c r="AO146" s="8">
        <v>3</v>
      </c>
      <c r="AP146" s="8" t="s">
        <v>298</v>
      </c>
      <c r="AQ146" s="8" t="s">
        <v>108</v>
      </c>
      <c r="AR146" s="8" t="s">
        <v>108</v>
      </c>
      <c r="AS146" s="132" t="s">
        <v>3487</v>
      </c>
      <c r="AT146" s="131" t="s">
        <v>3231</v>
      </c>
      <c r="AU146" s="132" t="s">
        <v>111</v>
      </c>
      <c r="AV146" s="16" t="s">
        <v>112</v>
      </c>
      <c r="AW146" s="56"/>
      <c r="AX146" s="56" t="s">
        <v>114</v>
      </c>
      <c r="AY146" s="56" t="s">
        <v>3488</v>
      </c>
      <c r="AZ146" s="7" t="s">
        <v>3489</v>
      </c>
      <c r="BA146" s="10" t="s">
        <v>511</v>
      </c>
      <c r="BB146" s="52">
        <v>27330</v>
      </c>
      <c r="BC146" s="17" t="s">
        <v>96</v>
      </c>
      <c r="BD146" s="17" t="s">
        <v>3486</v>
      </c>
      <c r="BE146" s="18" t="s">
        <v>216</v>
      </c>
      <c r="BF146" s="7" t="s">
        <v>276</v>
      </c>
      <c r="BG146" s="7" t="s">
        <v>3490</v>
      </c>
      <c r="BH146" s="7" t="s">
        <v>3491</v>
      </c>
      <c r="BI146" s="7" t="s">
        <v>3492</v>
      </c>
      <c r="BJ146" s="19" t="s">
        <v>1727</v>
      </c>
      <c r="BK146" s="20" t="s">
        <v>3493</v>
      </c>
      <c r="BL146" s="58" t="s">
        <v>3494</v>
      </c>
      <c r="BM146" s="7" t="s">
        <v>3495</v>
      </c>
      <c r="BN146" s="22" t="s">
        <v>2016</v>
      </c>
      <c r="BO146" s="49">
        <v>28938</v>
      </c>
      <c r="BP146" s="17" t="s">
        <v>96</v>
      </c>
      <c r="BQ146" s="17" t="s">
        <v>3485</v>
      </c>
      <c r="BR146" s="18" t="s">
        <v>118</v>
      </c>
      <c r="BS146" s="7" t="s">
        <v>3496</v>
      </c>
      <c r="BT146" s="7" t="s">
        <v>127</v>
      </c>
      <c r="BU146" s="7" t="s">
        <v>127</v>
      </c>
      <c r="BV146" s="8" t="s">
        <v>127</v>
      </c>
      <c r="BW146" s="23" t="s">
        <v>127</v>
      </c>
      <c r="BX146" s="24" t="s">
        <v>127</v>
      </c>
      <c r="BY146" s="21" t="s">
        <v>108</v>
      </c>
      <c r="BZ146" s="21" t="s">
        <v>108</v>
      </c>
      <c r="CA146" s="21"/>
      <c r="CB146" s="21"/>
      <c r="CC146" s="21"/>
      <c r="CD146" s="21"/>
      <c r="CE146" s="21" t="s">
        <v>108</v>
      </c>
      <c r="CF146" s="21"/>
      <c r="CG146" s="21" t="s">
        <v>108</v>
      </c>
      <c r="CH146" s="21"/>
      <c r="CI146" s="21"/>
      <c r="CJ146" s="21" t="s">
        <v>108</v>
      </c>
      <c r="CK146" s="21" t="s">
        <v>108</v>
      </c>
      <c r="CL146" s="21" t="s">
        <v>108</v>
      </c>
      <c r="CM146" s="25"/>
      <c r="CN146" s="25"/>
      <c r="CO146" s="25"/>
      <c r="CP146" s="26"/>
    </row>
    <row r="147" spans="1:94" s="27" customFormat="1" ht="23.25" customHeight="1">
      <c r="A147" s="4">
        <v>74</v>
      </c>
      <c r="B147" s="28"/>
      <c r="C147" s="28"/>
      <c r="D147" s="28"/>
      <c r="E147" s="28"/>
      <c r="F147" s="28"/>
      <c r="G147" s="28"/>
      <c r="H147" s="29"/>
      <c r="I147" s="30" t="s">
        <v>2452</v>
      </c>
      <c r="J147" s="30" t="s">
        <v>166</v>
      </c>
      <c r="K147" s="30" t="s">
        <v>2061</v>
      </c>
      <c r="L147" s="29"/>
      <c r="M147" s="29">
        <v>2135</v>
      </c>
      <c r="N147" s="92">
        <v>3182263878</v>
      </c>
      <c r="O147" s="92" t="s">
        <v>11585</v>
      </c>
      <c r="P147" s="32" t="s">
        <v>3497</v>
      </c>
      <c r="Q147" s="390" t="s">
        <v>3498</v>
      </c>
      <c r="R147" s="8" t="s">
        <v>2449</v>
      </c>
      <c r="S147" s="212" t="s">
        <v>12139</v>
      </c>
      <c r="T147" s="31" t="s">
        <v>3499</v>
      </c>
      <c r="U147" s="33" t="s">
        <v>172</v>
      </c>
      <c r="V147" s="34" t="s">
        <v>94</v>
      </c>
      <c r="W147" s="35">
        <v>43373</v>
      </c>
      <c r="X147" s="35" t="str">
        <f ca="1">""&amp;DATEDIF(W147,TODAY(),"y")&amp;" Th, "&amp;DATEDIF(W147,TODAY(),"ym")&amp;" Bln"</f>
        <v>7 Th, 11 Bln</v>
      </c>
      <c r="Y147" s="29" t="s">
        <v>425</v>
      </c>
      <c r="Z147" s="36" t="s">
        <v>2357</v>
      </c>
      <c r="AA147" s="29" t="s">
        <v>96</v>
      </c>
      <c r="AB147" s="29" t="s">
        <v>97</v>
      </c>
      <c r="AC147" s="30" t="s">
        <v>3500</v>
      </c>
      <c r="AD147" s="129" t="s">
        <v>176</v>
      </c>
      <c r="AE147" s="129" t="s">
        <v>3501</v>
      </c>
      <c r="AF147" s="30" t="s">
        <v>3502</v>
      </c>
      <c r="AG147" s="30" t="s">
        <v>3503</v>
      </c>
      <c r="AH147" s="30" t="s">
        <v>141</v>
      </c>
      <c r="AI147" s="30">
        <v>65154</v>
      </c>
      <c r="AJ147" s="30" t="s">
        <v>1374</v>
      </c>
      <c r="AK147" s="30" t="s">
        <v>179</v>
      </c>
      <c r="AL147" s="30" t="s">
        <v>146</v>
      </c>
      <c r="AM147" s="37">
        <v>0</v>
      </c>
      <c r="AN147" s="37" t="s">
        <v>3504</v>
      </c>
      <c r="AO147" s="31">
        <v>2</v>
      </c>
      <c r="AP147" s="31" t="s">
        <v>107</v>
      </c>
      <c r="AQ147" s="31" t="s">
        <v>108</v>
      </c>
      <c r="AR147" s="31" t="s">
        <v>108</v>
      </c>
      <c r="AS147" s="130" t="s">
        <v>2694</v>
      </c>
      <c r="AT147" s="129" t="s">
        <v>3463</v>
      </c>
      <c r="AU147" s="130" t="s">
        <v>182</v>
      </c>
      <c r="AV147" s="38" t="s">
        <v>112</v>
      </c>
      <c r="AW147" s="123"/>
      <c r="AX147" s="123" t="s">
        <v>2208</v>
      </c>
      <c r="AY147" s="123" t="s">
        <v>3505</v>
      </c>
      <c r="AZ147" s="30" t="s">
        <v>3506</v>
      </c>
      <c r="BA147" s="32" t="s">
        <v>3507</v>
      </c>
      <c r="BB147" s="53">
        <v>30171</v>
      </c>
      <c r="BC147" s="39" t="s">
        <v>96</v>
      </c>
      <c r="BD147" s="39" t="s">
        <v>3508</v>
      </c>
      <c r="BE147" s="40" t="s">
        <v>118</v>
      </c>
      <c r="BF147" s="30" t="s">
        <v>327</v>
      </c>
      <c r="BG147" s="30" t="s">
        <v>3509</v>
      </c>
      <c r="BH147" s="30" t="s">
        <v>3510</v>
      </c>
      <c r="BI147" s="30"/>
      <c r="BJ147" s="41" t="s">
        <v>3511</v>
      </c>
      <c r="BK147" s="111" t="s">
        <v>3512</v>
      </c>
      <c r="BL147" s="124" t="s">
        <v>3513</v>
      </c>
      <c r="BM147" s="30" t="s">
        <v>3514</v>
      </c>
      <c r="BN147" s="125" t="s">
        <v>94</v>
      </c>
      <c r="BO147" s="50">
        <v>34010</v>
      </c>
      <c r="BP147" s="39" t="s">
        <v>96</v>
      </c>
      <c r="BQ147" s="39" t="s">
        <v>3504</v>
      </c>
      <c r="BR147" s="40" t="s">
        <v>216</v>
      </c>
      <c r="BS147" s="30" t="s">
        <v>327</v>
      </c>
      <c r="BT147" s="30" t="s">
        <v>3515</v>
      </c>
      <c r="BU147" s="30" t="s">
        <v>3516</v>
      </c>
      <c r="BV147" s="31" t="s">
        <v>108</v>
      </c>
      <c r="BW147" s="126" t="s">
        <v>3517</v>
      </c>
      <c r="BX147" s="127" t="s">
        <v>3518</v>
      </c>
      <c r="BY147" s="47" t="s">
        <v>108</v>
      </c>
      <c r="BZ147" s="47" t="s">
        <v>108</v>
      </c>
      <c r="CA147" s="47"/>
      <c r="CB147" s="47"/>
      <c r="CC147" s="47"/>
      <c r="CD147" s="47"/>
      <c r="CE147" s="47" t="s">
        <v>108</v>
      </c>
      <c r="CF147" s="47"/>
      <c r="CG147" s="47" t="s">
        <v>108</v>
      </c>
      <c r="CH147" s="47"/>
      <c r="CI147" s="47"/>
      <c r="CJ147" s="47" t="s">
        <v>108</v>
      </c>
      <c r="CK147" s="47" t="s">
        <v>108</v>
      </c>
      <c r="CL147" s="47" t="s">
        <v>108</v>
      </c>
      <c r="CM147" s="25"/>
      <c r="CN147" s="25"/>
      <c r="CO147" s="25"/>
      <c r="CP147" s="26"/>
    </row>
    <row r="148" spans="1:94" s="27" customFormat="1" ht="23.25" customHeight="1">
      <c r="A148" s="4">
        <v>44</v>
      </c>
      <c r="B148" s="6"/>
      <c r="C148" s="6"/>
      <c r="D148" s="6"/>
      <c r="E148" s="6"/>
      <c r="F148" s="6"/>
      <c r="G148" s="6"/>
      <c r="H148" s="5"/>
      <c r="I148" s="7" t="s">
        <v>2452</v>
      </c>
      <c r="J148" s="7" t="s">
        <v>3642</v>
      </c>
      <c r="K148" s="7" t="s">
        <v>3643</v>
      </c>
      <c r="L148" s="5"/>
      <c r="M148" s="5">
        <v>2142</v>
      </c>
      <c r="N148" s="9">
        <v>3194760098</v>
      </c>
      <c r="O148" s="9" t="s">
        <v>8720</v>
      </c>
      <c r="P148" s="10" t="s">
        <v>3644</v>
      </c>
      <c r="Q148" s="389" t="s">
        <v>3645</v>
      </c>
      <c r="R148" s="64" t="s">
        <v>2449</v>
      </c>
      <c r="S148" s="212" t="s">
        <v>12139</v>
      </c>
      <c r="T148" s="8" t="s">
        <v>3646</v>
      </c>
      <c r="U148" s="11" t="s">
        <v>93</v>
      </c>
      <c r="V148" s="12" t="s">
        <v>94</v>
      </c>
      <c r="W148" s="13">
        <v>43515</v>
      </c>
      <c r="X148" s="13" t="str">
        <f t="shared" ca="1" si="1"/>
        <v>7 Th, 6 Bln</v>
      </c>
      <c r="Y148" s="5" t="s">
        <v>95</v>
      </c>
      <c r="Z148" s="14" t="s">
        <v>108</v>
      </c>
      <c r="AA148" s="5" t="s">
        <v>96</v>
      </c>
      <c r="AB148" s="5" t="s">
        <v>97</v>
      </c>
      <c r="AC148" s="7" t="s">
        <v>3647</v>
      </c>
      <c r="AD148" s="131" t="s">
        <v>99</v>
      </c>
      <c r="AE148" s="131" t="s">
        <v>384</v>
      </c>
      <c r="AF148" s="7" t="s">
        <v>942</v>
      </c>
      <c r="AG148" s="7" t="s">
        <v>178</v>
      </c>
      <c r="AH148" s="7" t="s">
        <v>178</v>
      </c>
      <c r="AI148" s="7">
        <v>65143</v>
      </c>
      <c r="AJ148" s="7" t="s">
        <v>103</v>
      </c>
      <c r="AK148" s="7" t="s">
        <v>104</v>
      </c>
      <c r="AL148" s="7" t="s">
        <v>298</v>
      </c>
      <c r="AM148" s="15" t="s">
        <v>3648</v>
      </c>
      <c r="AN148" s="15" t="s">
        <v>3648</v>
      </c>
      <c r="AO148" s="8">
        <v>3</v>
      </c>
      <c r="AP148" s="8" t="s">
        <v>107</v>
      </c>
      <c r="AQ148" s="8" t="s">
        <v>108</v>
      </c>
      <c r="AR148" s="8" t="s">
        <v>108</v>
      </c>
      <c r="AS148" s="132" t="s">
        <v>2593</v>
      </c>
      <c r="AT148" s="131" t="s">
        <v>3171</v>
      </c>
      <c r="AU148" s="132" t="s">
        <v>182</v>
      </c>
      <c r="AV148" s="16" t="s">
        <v>112</v>
      </c>
      <c r="AW148" s="56"/>
      <c r="AX148" s="56" t="s">
        <v>644</v>
      </c>
      <c r="AY148" s="56" t="s">
        <v>3649</v>
      </c>
      <c r="AZ148" s="7" t="s">
        <v>3650</v>
      </c>
      <c r="BA148" s="10" t="s">
        <v>444</v>
      </c>
      <c r="BB148" s="52">
        <v>29833</v>
      </c>
      <c r="BC148" s="17" t="s">
        <v>96</v>
      </c>
      <c r="BD148" s="17" t="s">
        <v>3651</v>
      </c>
      <c r="BE148" s="18" t="s">
        <v>153</v>
      </c>
      <c r="BF148" s="7" t="s">
        <v>471</v>
      </c>
      <c r="BG148" s="7" t="s">
        <v>3652</v>
      </c>
      <c r="BH148" s="7" t="s">
        <v>3653</v>
      </c>
      <c r="BI148" s="7"/>
      <c r="BJ148" s="19">
        <v>5000000</v>
      </c>
      <c r="BK148" s="20" t="s">
        <v>3654</v>
      </c>
      <c r="BL148" s="58" t="s">
        <v>3655</v>
      </c>
      <c r="BM148" s="7" t="s">
        <v>3656</v>
      </c>
      <c r="BN148" s="22" t="s">
        <v>94</v>
      </c>
      <c r="BO148" s="49">
        <v>30597</v>
      </c>
      <c r="BP148" s="17" t="s">
        <v>96</v>
      </c>
      <c r="BQ148" s="17" t="s">
        <v>3648</v>
      </c>
      <c r="BR148" s="18" t="s">
        <v>118</v>
      </c>
      <c r="BS148" s="7" t="s">
        <v>554</v>
      </c>
      <c r="BT148" s="7" t="s">
        <v>761</v>
      </c>
      <c r="BU148" s="7" t="s">
        <v>3657</v>
      </c>
      <c r="BV148" s="8" t="s">
        <v>108</v>
      </c>
      <c r="BW148" s="23">
        <v>4000000</v>
      </c>
      <c r="BX148" s="24" t="s">
        <v>3658</v>
      </c>
      <c r="BY148" s="21" t="s">
        <v>108</v>
      </c>
      <c r="BZ148" s="21" t="s">
        <v>108</v>
      </c>
      <c r="CA148" s="21"/>
      <c r="CB148" s="21"/>
      <c r="CC148" s="21"/>
      <c r="CD148" s="21"/>
      <c r="CE148" s="21" t="s">
        <v>108</v>
      </c>
      <c r="CF148" s="21"/>
      <c r="CG148" s="21" t="s">
        <v>108</v>
      </c>
      <c r="CH148" s="21"/>
      <c r="CI148" s="21"/>
      <c r="CJ148" s="21" t="s">
        <v>108</v>
      </c>
      <c r="CK148" s="21" t="s">
        <v>108</v>
      </c>
      <c r="CL148" s="21" t="s">
        <v>108</v>
      </c>
      <c r="CM148" s="25"/>
      <c r="CN148" s="25"/>
      <c r="CO148" s="25"/>
      <c r="CP148" s="26"/>
    </row>
    <row r="149" spans="1:94" s="27" customFormat="1" ht="23.25" customHeight="1">
      <c r="A149" s="4">
        <v>45</v>
      </c>
      <c r="B149" s="6"/>
      <c r="C149" s="6"/>
      <c r="D149" s="6"/>
      <c r="E149" s="6"/>
      <c r="F149" s="6"/>
      <c r="G149" s="6"/>
      <c r="H149" s="5"/>
      <c r="I149" s="7" t="s">
        <v>2452</v>
      </c>
      <c r="J149" s="7" t="s">
        <v>166</v>
      </c>
      <c r="K149" s="7" t="s">
        <v>312</v>
      </c>
      <c r="L149" s="5"/>
      <c r="M149" s="5">
        <v>2143</v>
      </c>
      <c r="N149" s="9">
        <v>3196826344</v>
      </c>
      <c r="O149" s="9" t="s">
        <v>6823</v>
      </c>
      <c r="P149" s="10" t="s">
        <v>3659</v>
      </c>
      <c r="Q149" s="389" t="s">
        <v>3660</v>
      </c>
      <c r="R149" s="64" t="s">
        <v>2449</v>
      </c>
      <c r="S149" s="212" t="s">
        <v>12139</v>
      </c>
      <c r="T149" s="8" t="s">
        <v>3661</v>
      </c>
      <c r="U149" s="11" t="s">
        <v>93</v>
      </c>
      <c r="V149" s="12" t="s">
        <v>94</v>
      </c>
      <c r="W149" s="13">
        <v>43551</v>
      </c>
      <c r="X149" s="13" t="str">
        <f t="shared" ca="1" si="1"/>
        <v>7 Th, 5 Bln</v>
      </c>
      <c r="Y149" s="5" t="s">
        <v>95</v>
      </c>
      <c r="Z149" s="14" t="s">
        <v>108</v>
      </c>
      <c r="AA149" s="5" t="s">
        <v>96</v>
      </c>
      <c r="AB149" s="5" t="s">
        <v>97</v>
      </c>
      <c r="AC149" s="7" t="s">
        <v>3662</v>
      </c>
      <c r="AD149" s="131" t="s">
        <v>293</v>
      </c>
      <c r="AE149" s="131">
        <v>22</v>
      </c>
      <c r="AF149" s="7" t="s">
        <v>3663</v>
      </c>
      <c r="AG149" s="7" t="s">
        <v>3664</v>
      </c>
      <c r="AH149" s="7" t="s">
        <v>241</v>
      </c>
      <c r="AI149" s="7">
        <v>65122</v>
      </c>
      <c r="AJ149" s="7" t="s">
        <v>103</v>
      </c>
      <c r="AK149" s="7" t="s">
        <v>104</v>
      </c>
      <c r="AL149" s="7" t="s">
        <v>3665</v>
      </c>
      <c r="AM149" s="15" t="s">
        <v>127</v>
      </c>
      <c r="AN149" s="15" t="s">
        <v>3666</v>
      </c>
      <c r="AO149" s="8">
        <v>3</v>
      </c>
      <c r="AP149" s="8" t="s">
        <v>298</v>
      </c>
      <c r="AQ149" s="8" t="s">
        <v>108</v>
      </c>
      <c r="AR149" s="8" t="s">
        <v>108</v>
      </c>
      <c r="AS149" s="132" t="s">
        <v>3667</v>
      </c>
      <c r="AT149" s="131" t="s">
        <v>3668</v>
      </c>
      <c r="AU149" s="132" t="s">
        <v>111</v>
      </c>
      <c r="AV149" s="16" t="s">
        <v>112</v>
      </c>
      <c r="AW149" s="56"/>
      <c r="AX149" s="56" t="s">
        <v>644</v>
      </c>
      <c r="AY149" s="56" t="s">
        <v>3669</v>
      </c>
      <c r="AZ149" s="7" t="s">
        <v>3670</v>
      </c>
      <c r="BA149" s="10" t="s">
        <v>1031</v>
      </c>
      <c r="BB149" s="52">
        <v>31397</v>
      </c>
      <c r="BC149" s="17" t="s">
        <v>96</v>
      </c>
      <c r="BD149" s="17" t="s">
        <v>3666</v>
      </c>
      <c r="BE149" s="18" t="s">
        <v>153</v>
      </c>
      <c r="BF149" s="7" t="s">
        <v>471</v>
      </c>
      <c r="BG149" s="7" t="s">
        <v>3671</v>
      </c>
      <c r="BH149" s="7" t="s">
        <v>3672</v>
      </c>
      <c r="BI149" s="7" t="s">
        <v>127</v>
      </c>
      <c r="BJ149" s="19" t="s">
        <v>3673</v>
      </c>
      <c r="BK149" s="20" t="s">
        <v>3674</v>
      </c>
      <c r="BL149" s="58" t="s">
        <v>3675</v>
      </c>
      <c r="BM149" s="7" t="s">
        <v>3676</v>
      </c>
      <c r="BN149" s="22" t="s">
        <v>3677</v>
      </c>
      <c r="BO149" s="49">
        <v>32107</v>
      </c>
      <c r="BP149" s="17" t="s">
        <v>96</v>
      </c>
      <c r="BQ149" s="17" t="s">
        <v>3666</v>
      </c>
      <c r="BR149" s="18" t="s">
        <v>118</v>
      </c>
      <c r="BS149" s="7" t="s">
        <v>247</v>
      </c>
      <c r="BT149" s="7" t="s">
        <v>3678</v>
      </c>
      <c r="BU149" s="7" t="s">
        <v>3679</v>
      </c>
      <c r="BV149" s="8" t="s">
        <v>127</v>
      </c>
      <c r="BW149" s="23" t="s">
        <v>3680</v>
      </c>
      <c r="BX149" s="24" t="s">
        <v>3681</v>
      </c>
      <c r="BY149" s="21" t="s">
        <v>108</v>
      </c>
      <c r="BZ149" s="21" t="s">
        <v>108</v>
      </c>
      <c r="CA149" s="21"/>
      <c r="CB149" s="21"/>
      <c r="CC149" s="21"/>
      <c r="CD149" s="21"/>
      <c r="CE149" s="21" t="s">
        <v>108</v>
      </c>
      <c r="CF149" s="21"/>
      <c r="CG149" s="21" t="s">
        <v>108</v>
      </c>
      <c r="CH149" s="21"/>
      <c r="CI149" s="21"/>
      <c r="CJ149" s="21" t="s">
        <v>108</v>
      </c>
      <c r="CK149" s="21" t="s">
        <v>108</v>
      </c>
      <c r="CL149" s="21" t="s">
        <v>108</v>
      </c>
      <c r="CM149" s="25"/>
      <c r="CN149" s="25"/>
      <c r="CO149" s="25"/>
      <c r="CP149" s="26"/>
    </row>
    <row r="150" spans="1:94" s="116" customFormat="1" ht="23.25" customHeight="1">
      <c r="A150" s="4">
        <v>46</v>
      </c>
      <c r="B150" s="6"/>
      <c r="C150" s="6"/>
      <c r="D150" s="6"/>
      <c r="E150" s="6"/>
      <c r="F150" s="6"/>
      <c r="G150" s="6"/>
      <c r="H150" s="5"/>
      <c r="I150" s="7" t="s">
        <v>2452</v>
      </c>
      <c r="J150" s="7" t="s">
        <v>402</v>
      </c>
      <c r="K150" s="7" t="s">
        <v>11425</v>
      </c>
      <c r="L150" s="5"/>
      <c r="M150" s="5">
        <v>2151</v>
      </c>
      <c r="N150" s="9">
        <v>3181000884</v>
      </c>
      <c r="O150" s="9" t="s">
        <v>11567</v>
      </c>
      <c r="P150" s="10" t="s">
        <v>11468</v>
      </c>
      <c r="Q150" s="389" t="s">
        <v>11384</v>
      </c>
      <c r="R150" s="64" t="s">
        <v>2449</v>
      </c>
      <c r="S150" s="212" t="s">
        <v>12139</v>
      </c>
      <c r="T150" s="8" t="s">
        <v>11409</v>
      </c>
      <c r="U150" s="11" t="s">
        <v>93</v>
      </c>
      <c r="V150" s="12" t="s">
        <v>395</v>
      </c>
      <c r="W150" s="13">
        <v>43463</v>
      </c>
      <c r="X150" s="13" t="str">
        <f t="shared" ca="1" si="1"/>
        <v>7 Th, 8 Bln</v>
      </c>
      <c r="Y150" s="5" t="s">
        <v>95</v>
      </c>
      <c r="Z150" s="14"/>
      <c r="AA150" s="5" t="s">
        <v>96</v>
      </c>
      <c r="AB150" s="5" t="s">
        <v>97</v>
      </c>
      <c r="AC150" s="7" t="s">
        <v>11410</v>
      </c>
      <c r="AD150" s="131">
        <v>28</v>
      </c>
      <c r="AE150" s="131">
        <v>10</v>
      </c>
      <c r="AF150" s="7" t="s">
        <v>319</v>
      </c>
      <c r="AG150" s="7" t="s">
        <v>140</v>
      </c>
      <c r="AH150" s="7" t="s">
        <v>141</v>
      </c>
      <c r="AI150" s="148">
        <v>65152</v>
      </c>
      <c r="AJ150" s="7" t="s">
        <v>142</v>
      </c>
      <c r="AK150" s="7" t="s">
        <v>179</v>
      </c>
      <c r="AL150" s="7" t="s">
        <v>708</v>
      </c>
      <c r="AM150" s="15">
        <v>82143305338</v>
      </c>
      <c r="AN150" s="15">
        <v>82110722072</v>
      </c>
      <c r="AO150" s="8">
        <v>1</v>
      </c>
      <c r="AP150" s="8">
        <v>1</v>
      </c>
      <c r="AQ150" s="8"/>
      <c r="AR150" s="8"/>
      <c r="AS150" s="132">
        <v>110</v>
      </c>
      <c r="AT150" s="131">
        <v>19</v>
      </c>
      <c r="AU150" s="132" t="s">
        <v>182</v>
      </c>
      <c r="AV150" s="16" t="s">
        <v>112</v>
      </c>
      <c r="AW150" s="16"/>
      <c r="AX150" s="56" t="s">
        <v>114</v>
      </c>
      <c r="AY150" s="56" t="s">
        <v>11411</v>
      </c>
      <c r="AZ150" s="136" t="s">
        <v>11413</v>
      </c>
      <c r="BA150" s="8" t="s">
        <v>6188</v>
      </c>
      <c r="BB150" s="10" t="s">
        <v>11412</v>
      </c>
      <c r="BC150" s="17" t="s">
        <v>96</v>
      </c>
      <c r="BD150" s="137" t="s">
        <v>11418</v>
      </c>
      <c r="BE150" s="18" t="s">
        <v>118</v>
      </c>
      <c r="BF150" s="7" t="s">
        <v>11414</v>
      </c>
      <c r="BG150" s="7" t="s">
        <v>11415</v>
      </c>
      <c r="BH150" s="7" t="s">
        <v>11416</v>
      </c>
      <c r="BI150" s="7"/>
      <c r="BJ150" s="19">
        <v>8000000</v>
      </c>
      <c r="BK150" s="20" t="s">
        <v>11417</v>
      </c>
      <c r="BL150" s="58" t="s">
        <v>11419</v>
      </c>
      <c r="BM150" s="136" t="s">
        <v>11421</v>
      </c>
      <c r="BN150" s="8" t="s">
        <v>670</v>
      </c>
      <c r="BO150" s="138" t="s">
        <v>11420</v>
      </c>
      <c r="BP150" s="17" t="s">
        <v>96</v>
      </c>
      <c r="BQ150" s="149" t="s">
        <v>11422</v>
      </c>
      <c r="BR150" s="18" t="s">
        <v>118</v>
      </c>
      <c r="BS150" s="7" t="s">
        <v>8773</v>
      </c>
      <c r="BT150" s="7" t="s">
        <v>2104</v>
      </c>
      <c r="BU150" s="7" t="s">
        <v>11423</v>
      </c>
      <c r="BV150" s="8"/>
      <c r="BW150" s="23">
        <v>5000000</v>
      </c>
      <c r="BX150" s="24" t="s">
        <v>11424</v>
      </c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114"/>
      <c r="CN150" s="114"/>
      <c r="CO150" s="114"/>
      <c r="CP150" s="115"/>
    </row>
    <row r="151" spans="1:94" s="27" customFormat="1" ht="23.25" customHeight="1">
      <c r="A151" s="4">
        <v>47</v>
      </c>
      <c r="B151" s="6"/>
      <c r="C151" s="6"/>
      <c r="D151" s="6"/>
      <c r="E151" s="6"/>
      <c r="F151" s="6"/>
      <c r="G151" s="6"/>
      <c r="H151" s="5"/>
      <c r="I151" s="7" t="s">
        <v>86</v>
      </c>
      <c r="J151" s="7" t="s">
        <v>166</v>
      </c>
      <c r="K151" s="7" t="s">
        <v>2061</v>
      </c>
      <c r="L151" s="5"/>
      <c r="M151" s="5">
        <v>2160</v>
      </c>
      <c r="N151" s="9">
        <v>3195130473</v>
      </c>
      <c r="O151" s="9" t="s">
        <v>5781</v>
      </c>
      <c r="P151" s="10" t="s">
        <v>3953</v>
      </c>
      <c r="Q151" s="389" t="s">
        <v>3954</v>
      </c>
      <c r="R151" s="64" t="s">
        <v>2449</v>
      </c>
      <c r="S151" s="212" t="s">
        <v>12139</v>
      </c>
      <c r="T151" s="8" t="s">
        <v>3955</v>
      </c>
      <c r="U151" s="11" t="s">
        <v>172</v>
      </c>
      <c r="V151" s="12" t="s">
        <v>94</v>
      </c>
      <c r="W151" s="13">
        <v>43579</v>
      </c>
      <c r="X151" s="13" t="str">
        <f t="shared" ca="1" si="1"/>
        <v>7 Th, 4 Bln</v>
      </c>
      <c r="Y151" s="5" t="s">
        <v>95</v>
      </c>
      <c r="Z151" s="14" t="s">
        <v>108</v>
      </c>
      <c r="AA151" s="5" t="s">
        <v>96</v>
      </c>
      <c r="AB151" s="5" t="s">
        <v>97</v>
      </c>
      <c r="AC151" s="7" t="s">
        <v>3956</v>
      </c>
      <c r="AD151" s="131">
        <v>5</v>
      </c>
      <c r="AE151" s="131">
        <v>12</v>
      </c>
      <c r="AF151" s="7" t="s">
        <v>3957</v>
      </c>
      <c r="AG151" s="7" t="s">
        <v>3503</v>
      </c>
      <c r="AH151" s="7" t="s">
        <v>141</v>
      </c>
      <c r="AI151" s="7"/>
      <c r="AJ151" s="7" t="s">
        <v>1374</v>
      </c>
      <c r="AK151" s="7" t="s">
        <v>3958</v>
      </c>
      <c r="AL151" s="7" t="s">
        <v>1485</v>
      </c>
      <c r="AM151" s="15">
        <v>0</v>
      </c>
      <c r="AN151" s="15" t="s">
        <v>3959</v>
      </c>
      <c r="AO151" s="8">
        <v>3</v>
      </c>
      <c r="AP151" s="8" t="s">
        <v>107</v>
      </c>
      <c r="AQ151" s="8" t="s">
        <v>108</v>
      </c>
      <c r="AR151" s="8" t="s">
        <v>108</v>
      </c>
      <c r="AS151" s="132" t="s">
        <v>3171</v>
      </c>
      <c r="AT151" s="131" t="s">
        <v>3960</v>
      </c>
      <c r="AU151" s="132" t="s">
        <v>182</v>
      </c>
      <c r="AV151" s="16" t="s">
        <v>112</v>
      </c>
      <c r="AW151" s="56"/>
      <c r="AX151" s="56" t="s">
        <v>114</v>
      </c>
      <c r="AY151" s="56" t="s">
        <v>3961</v>
      </c>
      <c r="AZ151" s="7" t="s">
        <v>3962</v>
      </c>
      <c r="BA151" s="10" t="s">
        <v>3963</v>
      </c>
      <c r="BB151" s="52">
        <v>30858</v>
      </c>
      <c r="BC151" s="17" t="s">
        <v>96</v>
      </c>
      <c r="BD151" s="17" t="s">
        <v>3964</v>
      </c>
      <c r="BE151" s="18" t="s">
        <v>118</v>
      </c>
      <c r="BF151" s="7" t="s">
        <v>3965</v>
      </c>
      <c r="BG151" s="7" t="s">
        <v>3966</v>
      </c>
      <c r="BH151" s="7" t="s">
        <v>3967</v>
      </c>
      <c r="BI151" s="7"/>
      <c r="BJ151" s="19" t="s">
        <v>122</v>
      </c>
      <c r="BK151" s="20"/>
      <c r="BL151" s="58" t="s">
        <v>3968</v>
      </c>
      <c r="BM151" s="7" t="s">
        <v>3969</v>
      </c>
      <c r="BN151" s="22" t="s">
        <v>971</v>
      </c>
      <c r="BO151" s="49">
        <v>31630</v>
      </c>
      <c r="BP151" s="17" t="s">
        <v>96</v>
      </c>
      <c r="BQ151" s="17" t="s">
        <v>3959</v>
      </c>
      <c r="BR151" s="18" t="s">
        <v>118</v>
      </c>
      <c r="BS151" s="7" t="s">
        <v>195</v>
      </c>
      <c r="BT151" s="7" t="s">
        <v>3970</v>
      </c>
      <c r="BU151" s="7" t="s">
        <v>3971</v>
      </c>
      <c r="BV151" s="8" t="s">
        <v>108</v>
      </c>
      <c r="BW151" s="23" t="s">
        <v>190</v>
      </c>
      <c r="BX151" s="24"/>
      <c r="BY151" s="21" t="s">
        <v>108</v>
      </c>
      <c r="BZ151" s="21" t="s">
        <v>108</v>
      </c>
      <c r="CA151" s="21"/>
      <c r="CB151" s="21"/>
      <c r="CC151" s="21"/>
      <c r="CD151" s="21"/>
      <c r="CE151" s="21" t="s">
        <v>108</v>
      </c>
      <c r="CF151" s="21"/>
      <c r="CG151" s="21" t="s">
        <v>108</v>
      </c>
      <c r="CH151" s="21"/>
      <c r="CI151" s="21"/>
      <c r="CJ151" s="21" t="s">
        <v>108</v>
      </c>
      <c r="CK151" s="21" t="s">
        <v>108</v>
      </c>
      <c r="CL151" s="21" t="s">
        <v>108</v>
      </c>
      <c r="CM151" s="25"/>
      <c r="CN151" s="25"/>
      <c r="CO151" s="25"/>
      <c r="CP151" s="26"/>
    </row>
    <row r="152" spans="1:94" s="27" customFormat="1" ht="23.25" customHeight="1">
      <c r="A152" s="4">
        <v>48</v>
      </c>
      <c r="B152" s="6"/>
      <c r="C152" s="6"/>
      <c r="D152" s="6"/>
      <c r="E152" s="6"/>
      <c r="F152" s="6"/>
      <c r="G152" s="6"/>
      <c r="H152" s="5"/>
      <c r="I152" s="7" t="s">
        <v>2452</v>
      </c>
      <c r="J152" s="7" t="s">
        <v>166</v>
      </c>
      <c r="K152" s="7" t="s">
        <v>2061</v>
      </c>
      <c r="L152" s="5"/>
      <c r="M152" s="5">
        <v>2162</v>
      </c>
      <c r="N152" s="9">
        <v>3181268055</v>
      </c>
      <c r="O152" s="9" t="s">
        <v>11568</v>
      </c>
      <c r="P152" s="10" t="s">
        <v>3993</v>
      </c>
      <c r="Q152" s="389" t="s">
        <v>3994</v>
      </c>
      <c r="R152" s="64" t="s">
        <v>2449</v>
      </c>
      <c r="S152" s="212" t="s">
        <v>12139</v>
      </c>
      <c r="T152" s="8" t="s">
        <v>3995</v>
      </c>
      <c r="U152" s="11" t="s">
        <v>172</v>
      </c>
      <c r="V152" s="12" t="s">
        <v>94</v>
      </c>
      <c r="W152" s="13">
        <v>43424</v>
      </c>
      <c r="X152" s="13" t="str">
        <f t="shared" ca="1" si="1"/>
        <v>7 Th, 9 Bln</v>
      </c>
      <c r="Y152" s="5" t="s">
        <v>95</v>
      </c>
      <c r="Z152" s="14" t="s">
        <v>108</v>
      </c>
      <c r="AA152" s="5" t="s">
        <v>96</v>
      </c>
      <c r="AB152" s="5" t="s">
        <v>97</v>
      </c>
      <c r="AC152" s="7" t="s">
        <v>3996</v>
      </c>
      <c r="AD152" s="131" t="s">
        <v>293</v>
      </c>
      <c r="AE152" s="131" t="s">
        <v>100</v>
      </c>
      <c r="AF152" s="7" t="s">
        <v>177</v>
      </c>
      <c r="AG152" s="7" t="s">
        <v>178</v>
      </c>
      <c r="AH152" s="7" t="s">
        <v>178</v>
      </c>
      <c r="AI152" s="7">
        <v>65143</v>
      </c>
      <c r="AJ152" s="7" t="s">
        <v>103</v>
      </c>
      <c r="AK152" s="7" t="s">
        <v>104</v>
      </c>
      <c r="AL152" s="7" t="s">
        <v>1282</v>
      </c>
      <c r="AM152" s="15" t="s">
        <v>127</v>
      </c>
      <c r="AN152" s="15" t="s">
        <v>3997</v>
      </c>
      <c r="AO152" s="8">
        <v>1</v>
      </c>
      <c r="AP152" s="8" t="s">
        <v>146</v>
      </c>
      <c r="AQ152" s="8" t="s">
        <v>108</v>
      </c>
      <c r="AR152" s="8" t="s">
        <v>108</v>
      </c>
      <c r="AS152" s="132" t="s">
        <v>3998</v>
      </c>
      <c r="AT152" s="131" t="s">
        <v>3999</v>
      </c>
      <c r="AU152" s="132" t="s">
        <v>111</v>
      </c>
      <c r="AV152" s="16" t="s">
        <v>112</v>
      </c>
      <c r="AW152" s="56"/>
      <c r="AX152" s="56" t="s">
        <v>114</v>
      </c>
      <c r="AY152" s="56" t="s">
        <v>4000</v>
      </c>
      <c r="AZ152" s="7" t="s">
        <v>4001</v>
      </c>
      <c r="BA152" s="10" t="s">
        <v>4002</v>
      </c>
      <c r="BB152" s="52">
        <v>30275</v>
      </c>
      <c r="BC152" s="17" t="s">
        <v>4003</v>
      </c>
      <c r="BD152" s="17" t="s">
        <v>4004</v>
      </c>
      <c r="BE152" s="18" t="s">
        <v>216</v>
      </c>
      <c r="BF152" s="7" t="s">
        <v>247</v>
      </c>
      <c r="BG152" s="7" t="s">
        <v>4005</v>
      </c>
      <c r="BH152" s="7" t="s">
        <v>4006</v>
      </c>
      <c r="BI152" s="7"/>
      <c r="BJ152" s="19" t="s">
        <v>1312</v>
      </c>
      <c r="BK152" s="20" t="s">
        <v>4007</v>
      </c>
      <c r="BL152" s="58" t="s">
        <v>4008</v>
      </c>
      <c r="BM152" s="7" t="s">
        <v>4009</v>
      </c>
      <c r="BN152" s="22" t="s">
        <v>4010</v>
      </c>
      <c r="BO152" s="49">
        <v>30277</v>
      </c>
      <c r="BP152" s="17" t="s">
        <v>96</v>
      </c>
      <c r="BQ152" s="17" t="s">
        <v>3997</v>
      </c>
      <c r="BR152" s="18" t="s">
        <v>118</v>
      </c>
      <c r="BS152" s="7" t="s">
        <v>276</v>
      </c>
      <c r="BT152" s="7" t="s">
        <v>4011</v>
      </c>
      <c r="BU152" s="7" t="s">
        <v>4012</v>
      </c>
      <c r="BV152" s="8" t="s">
        <v>108</v>
      </c>
      <c r="BW152" s="23" t="s">
        <v>1312</v>
      </c>
      <c r="BX152" s="24" t="s">
        <v>4013</v>
      </c>
      <c r="BY152" s="21" t="s">
        <v>108</v>
      </c>
      <c r="BZ152" s="21" t="s">
        <v>108</v>
      </c>
      <c r="CA152" s="21"/>
      <c r="CB152" s="21"/>
      <c r="CC152" s="21"/>
      <c r="CD152" s="21"/>
      <c r="CE152" s="21" t="s">
        <v>108</v>
      </c>
      <c r="CF152" s="21"/>
      <c r="CG152" s="21" t="s">
        <v>108</v>
      </c>
      <c r="CH152" s="21"/>
      <c r="CI152" s="21"/>
      <c r="CJ152" s="21" t="s">
        <v>108</v>
      </c>
      <c r="CK152" s="21" t="s">
        <v>108</v>
      </c>
      <c r="CL152" s="21" t="s">
        <v>108</v>
      </c>
      <c r="CM152" s="25"/>
      <c r="CN152" s="25"/>
      <c r="CO152" s="25"/>
      <c r="CP152" s="26"/>
    </row>
    <row r="153" spans="1:94" s="27" customFormat="1" ht="23.25" customHeight="1">
      <c r="A153" s="4">
        <v>49</v>
      </c>
      <c r="B153" s="6"/>
      <c r="C153" s="6"/>
      <c r="D153" s="6"/>
      <c r="E153" s="6"/>
      <c r="F153" s="6"/>
      <c r="G153" s="6"/>
      <c r="H153" s="5"/>
      <c r="I153" s="7" t="s">
        <v>2452</v>
      </c>
      <c r="J153" s="7" t="s">
        <v>335</v>
      </c>
      <c r="K153" s="7" t="s">
        <v>4014</v>
      </c>
      <c r="L153" s="5"/>
      <c r="M153" s="5">
        <v>2163</v>
      </c>
      <c r="N153" s="9">
        <v>3182266479</v>
      </c>
      <c r="O153" s="9" t="s">
        <v>5259</v>
      </c>
      <c r="P153" s="10" t="s">
        <v>4015</v>
      </c>
      <c r="Q153" s="389" t="s">
        <v>4016</v>
      </c>
      <c r="R153" s="64" t="s">
        <v>2449</v>
      </c>
      <c r="S153" s="212" t="s">
        <v>12139</v>
      </c>
      <c r="T153" s="8" t="s">
        <v>4017</v>
      </c>
      <c r="U153" s="11" t="s">
        <v>172</v>
      </c>
      <c r="V153" s="12" t="s">
        <v>1208</v>
      </c>
      <c r="W153" s="13">
        <v>43322</v>
      </c>
      <c r="X153" s="13" t="str">
        <f t="shared" ca="1" si="1"/>
        <v>8 Th, 1 Bln</v>
      </c>
      <c r="Y153" s="5" t="s">
        <v>95</v>
      </c>
      <c r="Z153" s="14" t="s">
        <v>108</v>
      </c>
      <c r="AA153" s="5" t="s">
        <v>96</v>
      </c>
      <c r="AB153" s="5" t="s">
        <v>97</v>
      </c>
      <c r="AC153" s="7" t="s">
        <v>4018</v>
      </c>
      <c r="AD153" s="131" t="s">
        <v>2459</v>
      </c>
      <c r="AE153" s="131" t="s">
        <v>2459</v>
      </c>
      <c r="AF153" s="7" t="s">
        <v>177</v>
      </c>
      <c r="AG153" s="7" t="s">
        <v>178</v>
      </c>
      <c r="AH153" s="7" t="s">
        <v>178</v>
      </c>
      <c r="AI153" s="7">
        <v>65143</v>
      </c>
      <c r="AJ153" s="7" t="s">
        <v>103</v>
      </c>
      <c r="AK153" s="7" t="s">
        <v>4019</v>
      </c>
      <c r="AL153" s="7" t="s">
        <v>1282</v>
      </c>
      <c r="AM153" s="15" t="s">
        <v>4020</v>
      </c>
      <c r="AN153" s="15" t="s">
        <v>4021</v>
      </c>
      <c r="AO153" s="8">
        <v>2</v>
      </c>
      <c r="AP153" s="8" t="s">
        <v>146</v>
      </c>
      <c r="AQ153" s="8" t="s">
        <v>127</v>
      </c>
      <c r="AR153" s="8" t="s">
        <v>127</v>
      </c>
      <c r="AS153" s="132" t="s">
        <v>4022</v>
      </c>
      <c r="AT153" s="131" t="s">
        <v>4023</v>
      </c>
      <c r="AU153" s="132" t="s">
        <v>498</v>
      </c>
      <c r="AV153" s="16" t="s">
        <v>112</v>
      </c>
      <c r="AW153" s="56"/>
      <c r="AX153" s="56" t="s">
        <v>183</v>
      </c>
      <c r="AY153" s="56" t="s">
        <v>4024</v>
      </c>
      <c r="AZ153" s="7" t="s">
        <v>4025</v>
      </c>
      <c r="BA153" s="10" t="s">
        <v>2279</v>
      </c>
      <c r="BB153" s="52">
        <v>31524</v>
      </c>
      <c r="BC153" s="17" t="s">
        <v>96</v>
      </c>
      <c r="BD153" s="17" t="s">
        <v>4020</v>
      </c>
      <c r="BE153" s="18" t="s">
        <v>118</v>
      </c>
      <c r="BF153" s="7" t="s">
        <v>3848</v>
      </c>
      <c r="BG153" s="7" t="s">
        <v>127</v>
      </c>
      <c r="BH153" s="7" t="s">
        <v>127</v>
      </c>
      <c r="BI153" s="7" t="s">
        <v>127</v>
      </c>
      <c r="BJ153" s="19">
        <v>1000000</v>
      </c>
      <c r="BK153" s="20" t="s">
        <v>4026</v>
      </c>
      <c r="BL153" s="58" t="s">
        <v>4027</v>
      </c>
      <c r="BM153" s="7" t="s">
        <v>4028</v>
      </c>
      <c r="BN153" s="22" t="s">
        <v>1208</v>
      </c>
      <c r="BO153" s="49">
        <v>32464</v>
      </c>
      <c r="BP153" s="17" t="s">
        <v>96</v>
      </c>
      <c r="BQ153" s="17" t="s">
        <v>4021</v>
      </c>
      <c r="BR153" s="18" t="s">
        <v>118</v>
      </c>
      <c r="BS153" s="7" t="s">
        <v>4029</v>
      </c>
      <c r="BT153" s="7" t="s">
        <v>3198</v>
      </c>
      <c r="BU153" s="7" t="s">
        <v>4030</v>
      </c>
      <c r="BV153" s="8" t="s">
        <v>127</v>
      </c>
      <c r="BW153" s="23">
        <v>3500000</v>
      </c>
      <c r="BX153" s="24" t="s">
        <v>4031</v>
      </c>
      <c r="BY153" s="21" t="s">
        <v>108</v>
      </c>
      <c r="BZ153" s="21" t="s">
        <v>108</v>
      </c>
      <c r="CA153" s="21"/>
      <c r="CB153" s="21"/>
      <c r="CC153" s="21"/>
      <c r="CD153" s="21"/>
      <c r="CE153" s="21" t="s">
        <v>108</v>
      </c>
      <c r="CF153" s="21"/>
      <c r="CG153" s="21" t="s">
        <v>108</v>
      </c>
      <c r="CH153" s="21"/>
      <c r="CI153" s="21"/>
      <c r="CJ153" s="21" t="s">
        <v>108</v>
      </c>
      <c r="CK153" s="21" t="s">
        <v>108</v>
      </c>
      <c r="CL153" s="21" t="s">
        <v>108</v>
      </c>
      <c r="CM153" s="25"/>
      <c r="CN153" s="25"/>
      <c r="CO153" s="25"/>
      <c r="CP153" s="26"/>
    </row>
    <row r="154" spans="1:94" s="27" customFormat="1" ht="23.25" customHeight="1">
      <c r="A154" s="4">
        <v>50</v>
      </c>
      <c r="B154" s="6"/>
      <c r="C154" s="6"/>
      <c r="D154" s="6"/>
      <c r="E154" s="6"/>
      <c r="F154" s="6"/>
      <c r="G154" s="6"/>
      <c r="H154" s="5"/>
      <c r="I154" s="7" t="s">
        <v>2452</v>
      </c>
      <c r="J154" s="7" t="s">
        <v>513</v>
      </c>
      <c r="K154" s="7" t="s">
        <v>4162</v>
      </c>
      <c r="L154" s="5"/>
      <c r="M154" s="5">
        <v>2170</v>
      </c>
      <c r="N154" s="9">
        <v>3182713258</v>
      </c>
      <c r="O154" s="9" t="s">
        <v>11569</v>
      </c>
      <c r="P154" s="10" t="s">
        <v>4163</v>
      </c>
      <c r="Q154" s="389" t="s">
        <v>4164</v>
      </c>
      <c r="R154" s="64" t="s">
        <v>2449</v>
      </c>
      <c r="S154" s="212" t="s">
        <v>12139</v>
      </c>
      <c r="T154" s="8" t="s">
        <v>4165</v>
      </c>
      <c r="U154" s="11" t="s">
        <v>172</v>
      </c>
      <c r="V154" s="12" t="s">
        <v>3340</v>
      </c>
      <c r="W154" s="13">
        <v>43131</v>
      </c>
      <c r="X154" s="13" t="str">
        <f t="shared" ca="1" si="1"/>
        <v>8 Th, 7 Bln</v>
      </c>
      <c r="Y154" s="5" t="s">
        <v>95</v>
      </c>
      <c r="Z154" s="14" t="s">
        <v>108</v>
      </c>
      <c r="AA154" s="5" t="s">
        <v>96</v>
      </c>
      <c r="AB154" s="5" t="s">
        <v>97</v>
      </c>
      <c r="AC154" s="7" t="s">
        <v>4166</v>
      </c>
      <c r="AD154" s="131" t="s">
        <v>546</v>
      </c>
      <c r="AE154" s="131" t="s">
        <v>384</v>
      </c>
      <c r="AF154" s="7" t="s">
        <v>177</v>
      </c>
      <c r="AG154" s="7" t="s">
        <v>178</v>
      </c>
      <c r="AH154" s="7" t="s">
        <v>178</v>
      </c>
      <c r="AI154" s="7">
        <v>65143</v>
      </c>
      <c r="AJ154" s="7" t="s">
        <v>103</v>
      </c>
      <c r="AK154" s="7" t="s">
        <v>179</v>
      </c>
      <c r="AL154" s="7" t="s">
        <v>1679</v>
      </c>
      <c r="AM154" s="15" t="s">
        <v>4167</v>
      </c>
      <c r="AN154" s="15" t="s">
        <v>4168</v>
      </c>
      <c r="AO154" s="8">
        <v>1</v>
      </c>
      <c r="AP154" s="8" t="s">
        <v>107</v>
      </c>
      <c r="AQ154" s="8" t="s">
        <v>147</v>
      </c>
      <c r="AR154" s="8" t="s">
        <v>147</v>
      </c>
      <c r="AS154" s="132" t="s">
        <v>4169</v>
      </c>
      <c r="AT154" s="131" t="s">
        <v>4170</v>
      </c>
      <c r="AU154" s="132" t="s">
        <v>498</v>
      </c>
      <c r="AV154" s="16" t="s">
        <v>112</v>
      </c>
      <c r="AW154" s="56"/>
      <c r="AX154" s="56" t="s">
        <v>183</v>
      </c>
      <c r="AY154" s="56" t="s">
        <v>4171</v>
      </c>
      <c r="AZ154" s="7" t="s">
        <v>4172</v>
      </c>
      <c r="BA154" s="10" t="s">
        <v>94</v>
      </c>
      <c r="BB154" s="52">
        <v>34388</v>
      </c>
      <c r="BC154" s="17" t="s">
        <v>96</v>
      </c>
      <c r="BD154" s="17" t="s">
        <v>4173</v>
      </c>
      <c r="BE154" s="18" t="s">
        <v>216</v>
      </c>
      <c r="BF154" s="7" t="s">
        <v>247</v>
      </c>
      <c r="BG154" s="7" t="s">
        <v>4174</v>
      </c>
      <c r="BH154" s="7" t="s">
        <v>4175</v>
      </c>
      <c r="BI154" s="7" t="s">
        <v>4167</v>
      </c>
      <c r="BJ154" s="19">
        <v>4000000</v>
      </c>
      <c r="BK154" s="20" t="s">
        <v>4176</v>
      </c>
      <c r="BL154" s="58" t="s">
        <v>4177</v>
      </c>
      <c r="BM154" s="7" t="s">
        <v>4178</v>
      </c>
      <c r="BN154" s="22" t="s">
        <v>4179</v>
      </c>
      <c r="BO154" s="49">
        <v>32889</v>
      </c>
      <c r="BP154" s="17" t="s">
        <v>96</v>
      </c>
      <c r="BQ154" s="17" t="s">
        <v>4168</v>
      </c>
      <c r="BR154" s="18" t="s">
        <v>118</v>
      </c>
      <c r="BS154" s="7" t="s">
        <v>254</v>
      </c>
      <c r="BT154" s="7" t="s">
        <v>452</v>
      </c>
      <c r="BU154" s="7" t="s">
        <v>4175</v>
      </c>
      <c r="BV154" s="8" t="s">
        <v>127</v>
      </c>
      <c r="BW154" s="23" t="s">
        <v>127</v>
      </c>
      <c r="BX154" s="24" t="s">
        <v>4180</v>
      </c>
      <c r="BY154" s="21" t="s">
        <v>108</v>
      </c>
      <c r="BZ154" s="21" t="s">
        <v>108</v>
      </c>
      <c r="CA154" s="21"/>
      <c r="CB154" s="21"/>
      <c r="CC154" s="21"/>
      <c r="CD154" s="21"/>
      <c r="CE154" s="21" t="s">
        <v>108</v>
      </c>
      <c r="CF154" s="21"/>
      <c r="CG154" s="21" t="s">
        <v>108</v>
      </c>
      <c r="CH154" s="21"/>
      <c r="CI154" s="21"/>
      <c r="CJ154" s="21" t="s">
        <v>108</v>
      </c>
      <c r="CK154" s="21" t="s">
        <v>108</v>
      </c>
      <c r="CL154" s="21" t="s">
        <v>108</v>
      </c>
      <c r="CM154" s="25"/>
      <c r="CN154" s="25"/>
      <c r="CO154" s="25"/>
      <c r="CP154" s="26"/>
    </row>
    <row r="155" spans="1:94" s="116" customFormat="1" ht="23.25" customHeight="1">
      <c r="A155" s="4">
        <v>51</v>
      </c>
      <c r="B155" s="6"/>
      <c r="C155" s="6"/>
      <c r="D155" s="6"/>
      <c r="E155" s="6"/>
      <c r="F155" s="6"/>
      <c r="G155" s="6"/>
      <c r="H155" s="5"/>
      <c r="I155" s="7" t="s">
        <v>2452</v>
      </c>
      <c r="J155" s="7" t="s">
        <v>4181</v>
      </c>
      <c r="K155" s="7" t="s">
        <v>4182</v>
      </c>
      <c r="L155" s="5"/>
      <c r="M155" s="5">
        <v>2171</v>
      </c>
      <c r="N155" s="9">
        <v>3181439386</v>
      </c>
      <c r="O155" s="9" t="s">
        <v>9471</v>
      </c>
      <c r="P155" s="10" t="s">
        <v>4183</v>
      </c>
      <c r="Q155" s="389" t="s">
        <v>4184</v>
      </c>
      <c r="R155" s="64" t="s">
        <v>2449</v>
      </c>
      <c r="S155" s="212" t="s">
        <v>12139</v>
      </c>
      <c r="T155" s="8" t="s">
        <v>4185</v>
      </c>
      <c r="U155" s="11" t="s">
        <v>172</v>
      </c>
      <c r="V155" s="12" t="s">
        <v>94</v>
      </c>
      <c r="W155" s="13">
        <v>43464</v>
      </c>
      <c r="X155" s="13" t="str">
        <f t="shared" ca="1" si="1"/>
        <v>7 Th, 8 Bln</v>
      </c>
      <c r="Y155" s="5" t="s">
        <v>95</v>
      </c>
      <c r="Z155" s="14" t="s">
        <v>127</v>
      </c>
      <c r="AA155" s="5" t="s">
        <v>96</v>
      </c>
      <c r="AB155" s="5" t="s">
        <v>97</v>
      </c>
      <c r="AC155" s="7" t="s">
        <v>4186</v>
      </c>
      <c r="AD155" s="131">
        <v>5</v>
      </c>
      <c r="AE155" s="131">
        <v>14</v>
      </c>
      <c r="AF155" s="7" t="s">
        <v>240</v>
      </c>
      <c r="AG155" s="7" t="s">
        <v>241</v>
      </c>
      <c r="AH155" s="7" t="s">
        <v>241</v>
      </c>
      <c r="AI155" s="7">
        <v>65124</v>
      </c>
      <c r="AJ155" s="7" t="s">
        <v>103</v>
      </c>
      <c r="AK155" s="7" t="s">
        <v>104</v>
      </c>
      <c r="AL155" s="7" t="s">
        <v>4187</v>
      </c>
      <c r="AM155" s="15" t="s">
        <v>127</v>
      </c>
      <c r="AN155" s="15" t="s">
        <v>4188</v>
      </c>
      <c r="AO155" s="8">
        <v>2</v>
      </c>
      <c r="AP155" s="8" t="s">
        <v>146</v>
      </c>
      <c r="AQ155" s="8" t="s">
        <v>127</v>
      </c>
      <c r="AR155" s="8" t="s">
        <v>127</v>
      </c>
      <c r="AS155" s="132" t="s">
        <v>4189</v>
      </c>
      <c r="AT155" s="131" t="s">
        <v>4170</v>
      </c>
      <c r="AU155" s="132" t="s">
        <v>149</v>
      </c>
      <c r="AV155" s="16" t="s">
        <v>112</v>
      </c>
      <c r="AW155" s="56"/>
      <c r="AX155" s="56" t="s">
        <v>323</v>
      </c>
      <c r="AY155" s="56" t="s">
        <v>4190</v>
      </c>
      <c r="AZ155" s="7" t="s">
        <v>4191</v>
      </c>
      <c r="BA155" s="10" t="s">
        <v>94</v>
      </c>
      <c r="BB155" s="52">
        <v>30464</v>
      </c>
      <c r="BC155" s="17" t="s">
        <v>96</v>
      </c>
      <c r="BD155" s="17" t="s">
        <v>4192</v>
      </c>
      <c r="BE155" s="18" t="s">
        <v>118</v>
      </c>
      <c r="BF155" s="7" t="s">
        <v>247</v>
      </c>
      <c r="BG155" s="7" t="s">
        <v>127</v>
      </c>
      <c r="BH155" s="7" t="s">
        <v>479</v>
      </c>
      <c r="BI155" s="7" t="s">
        <v>127</v>
      </c>
      <c r="BJ155" s="19" t="s">
        <v>4193</v>
      </c>
      <c r="BK155" s="20" t="s">
        <v>4194</v>
      </c>
      <c r="BL155" s="58" t="s">
        <v>4195</v>
      </c>
      <c r="BM155" s="7" t="s">
        <v>4196</v>
      </c>
      <c r="BN155" s="22" t="s">
        <v>94</v>
      </c>
      <c r="BO155" s="49">
        <v>30548</v>
      </c>
      <c r="BP155" s="17" t="s">
        <v>96</v>
      </c>
      <c r="BQ155" s="17" t="s">
        <v>4197</v>
      </c>
      <c r="BR155" s="18" t="s">
        <v>153</v>
      </c>
      <c r="BS155" s="7" t="s">
        <v>980</v>
      </c>
      <c r="BT155" s="7" t="s">
        <v>4198</v>
      </c>
      <c r="BU155" s="7" t="s">
        <v>4199</v>
      </c>
      <c r="BV155" s="8" t="s">
        <v>4200</v>
      </c>
      <c r="BW155" s="23" t="s">
        <v>4201</v>
      </c>
      <c r="BX155" s="24" t="s">
        <v>4202</v>
      </c>
      <c r="BY155" s="21" t="s">
        <v>108</v>
      </c>
      <c r="BZ155" s="21" t="s">
        <v>108</v>
      </c>
      <c r="CA155" s="21"/>
      <c r="CB155" s="21"/>
      <c r="CC155" s="21"/>
      <c r="CD155" s="21"/>
      <c r="CE155" s="21" t="s">
        <v>108</v>
      </c>
      <c r="CF155" s="21"/>
      <c r="CG155" s="21" t="s">
        <v>108</v>
      </c>
      <c r="CH155" s="21"/>
      <c r="CI155" s="21"/>
      <c r="CJ155" s="21" t="s">
        <v>108</v>
      </c>
      <c r="CK155" s="21" t="s">
        <v>108</v>
      </c>
      <c r="CL155" s="21" t="s">
        <v>108</v>
      </c>
      <c r="CM155" s="114"/>
      <c r="CN155" s="114"/>
      <c r="CO155" s="114"/>
      <c r="CP155" s="115"/>
    </row>
    <row r="156" spans="1:94" s="116" customFormat="1" ht="23.25" customHeight="1">
      <c r="A156" s="4">
        <v>52</v>
      </c>
      <c r="B156" s="6"/>
      <c r="C156" s="6"/>
      <c r="D156" s="6"/>
      <c r="E156" s="6"/>
      <c r="F156" s="6"/>
      <c r="G156" s="6"/>
      <c r="H156" s="5"/>
      <c r="I156" s="7" t="s">
        <v>86</v>
      </c>
      <c r="J156" s="7" t="s">
        <v>4260</v>
      </c>
      <c r="K156" s="7" t="s">
        <v>4261</v>
      </c>
      <c r="L156" s="5"/>
      <c r="M156" s="5">
        <v>2175</v>
      </c>
      <c r="N156" s="9">
        <v>3187750934</v>
      </c>
      <c r="O156" s="150" t="s">
        <v>11570</v>
      </c>
      <c r="P156" s="10" t="s">
        <v>4262</v>
      </c>
      <c r="Q156" s="389" t="s">
        <v>11460</v>
      </c>
      <c r="R156" s="64" t="s">
        <v>2449</v>
      </c>
      <c r="S156" s="212" t="s">
        <v>12139</v>
      </c>
      <c r="T156" s="8" t="s">
        <v>4263</v>
      </c>
      <c r="U156" s="11" t="s">
        <v>172</v>
      </c>
      <c r="V156" s="12" t="s">
        <v>94</v>
      </c>
      <c r="W156" s="13">
        <v>43442</v>
      </c>
      <c r="X156" s="13" t="str">
        <f t="shared" ca="1" si="1"/>
        <v>7 Th, 9 Bln</v>
      </c>
      <c r="Y156" s="5" t="s">
        <v>95</v>
      </c>
      <c r="Z156" s="14" t="s">
        <v>127</v>
      </c>
      <c r="AA156" s="5" t="s">
        <v>96</v>
      </c>
      <c r="AB156" s="5" t="s">
        <v>97</v>
      </c>
      <c r="AC156" s="7" t="s">
        <v>4264</v>
      </c>
      <c r="AD156" s="131" t="s">
        <v>207</v>
      </c>
      <c r="AE156" s="131" t="s">
        <v>100</v>
      </c>
      <c r="AF156" s="7" t="s">
        <v>4265</v>
      </c>
      <c r="AG156" s="7" t="s">
        <v>178</v>
      </c>
      <c r="AH156" s="7" t="s">
        <v>178</v>
      </c>
      <c r="AI156" s="7"/>
      <c r="AJ156" s="7" t="s">
        <v>103</v>
      </c>
      <c r="AK156" s="7" t="s">
        <v>179</v>
      </c>
      <c r="AL156" s="7" t="s">
        <v>2736</v>
      </c>
      <c r="AM156" s="15" t="s">
        <v>127</v>
      </c>
      <c r="AN156" s="15" t="s">
        <v>4266</v>
      </c>
      <c r="AO156" s="8">
        <v>1</v>
      </c>
      <c r="AP156" s="8" t="s">
        <v>147</v>
      </c>
      <c r="AQ156" s="8" t="s">
        <v>147</v>
      </c>
      <c r="AR156" s="8" t="s">
        <v>147</v>
      </c>
      <c r="AS156" s="132" t="s">
        <v>1177</v>
      </c>
      <c r="AT156" s="131" t="s">
        <v>2593</v>
      </c>
      <c r="AU156" s="132" t="s">
        <v>149</v>
      </c>
      <c r="AV156" s="16" t="s">
        <v>112</v>
      </c>
      <c r="AW156" s="56"/>
      <c r="AX156" s="56" t="s">
        <v>4267</v>
      </c>
      <c r="AY156" s="56" t="s">
        <v>4268</v>
      </c>
      <c r="AZ156" s="7" t="s">
        <v>4269</v>
      </c>
      <c r="BA156" s="10" t="s">
        <v>94</v>
      </c>
      <c r="BB156" s="52">
        <v>33483</v>
      </c>
      <c r="BC156" s="17" t="s">
        <v>737</v>
      </c>
      <c r="BD156" s="17" t="s">
        <v>4270</v>
      </c>
      <c r="BE156" s="18" t="s">
        <v>216</v>
      </c>
      <c r="BF156" s="7" t="s">
        <v>4271</v>
      </c>
      <c r="BG156" s="7" t="s">
        <v>127</v>
      </c>
      <c r="BH156" s="7" t="s">
        <v>127</v>
      </c>
      <c r="BI156" s="7" t="s">
        <v>127</v>
      </c>
      <c r="BJ156" s="19" t="s">
        <v>127</v>
      </c>
      <c r="BK156" s="20" t="s">
        <v>127</v>
      </c>
      <c r="BL156" s="58" t="s">
        <v>4272</v>
      </c>
      <c r="BM156" s="7" t="s">
        <v>4273</v>
      </c>
      <c r="BN156" s="22" t="s">
        <v>544</v>
      </c>
      <c r="BO156" s="49">
        <v>33991</v>
      </c>
      <c r="BP156" s="17" t="s">
        <v>96</v>
      </c>
      <c r="BQ156" s="17" t="s">
        <v>4266</v>
      </c>
      <c r="BR156" s="18" t="s">
        <v>118</v>
      </c>
      <c r="BS156" s="7" t="s">
        <v>503</v>
      </c>
      <c r="BT156" s="7" t="s">
        <v>4274</v>
      </c>
      <c r="BU156" s="7" t="s">
        <v>4275</v>
      </c>
      <c r="BV156" s="8" t="s">
        <v>4276</v>
      </c>
      <c r="BW156" s="23" t="s">
        <v>983</v>
      </c>
      <c r="BX156" s="24" t="s">
        <v>4277</v>
      </c>
      <c r="BY156" s="21" t="s">
        <v>108</v>
      </c>
      <c r="BZ156" s="21" t="s">
        <v>108</v>
      </c>
      <c r="CA156" s="21"/>
      <c r="CB156" s="21"/>
      <c r="CC156" s="21"/>
      <c r="CD156" s="21"/>
      <c r="CE156" s="21" t="s">
        <v>108</v>
      </c>
      <c r="CF156" s="21"/>
      <c r="CG156" s="21" t="s">
        <v>108</v>
      </c>
      <c r="CH156" s="21"/>
      <c r="CI156" s="21"/>
      <c r="CJ156" s="21" t="s">
        <v>108</v>
      </c>
      <c r="CK156" s="21" t="s">
        <v>108</v>
      </c>
      <c r="CL156" s="21" t="s">
        <v>108</v>
      </c>
      <c r="CM156" s="114"/>
      <c r="CN156" s="114"/>
      <c r="CO156" s="114"/>
      <c r="CP156" s="115"/>
    </row>
    <row r="157" spans="1:94" s="27" customFormat="1" ht="23.25" customHeight="1">
      <c r="A157" s="4">
        <v>53</v>
      </c>
      <c r="B157" s="6"/>
      <c r="C157" s="6"/>
      <c r="D157" s="6"/>
      <c r="E157" s="6"/>
      <c r="F157" s="6"/>
      <c r="G157" s="6"/>
      <c r="H157" s="5"/>
      <c r="I157" s="7" t="s">
        <v>2452</v>
      </c>
      <c r="J157" s="7" t="s">
        <v>4325</v>
      </c>
      <c r="K157" s="7" t="s">
        <v>4326</v>
      </c>
      <c r="L157" s="5"/>
      <c r="M157" s="5">
        <v>2180</v>
      </c>
      <c r="N157" s="9">
        <v>3189274555</v>
      </c>
      <c r="O157" s="9" t="s">
        <v>8097</v>
      </c>
      <c r="P157" s="10" t="s">
        <v>4327</v>
      </c>
      <c r="Q157" s="389" t="s">
        <v>4328</v>
      </c>
      <c r="R157" s="64" t="s">
        <v>2449</v>
      </c>
      <c r="S157" s="212" t="s">
        <v>12139</v>
      </c>
      <c r="T157" s="8" t="s">
        <v>4329</v>
      </c>
      <c r="U157" s="11" t="s">
        <v>93</v>
      </c>
      <c r="V157" s="12" t="s">
        <v>544</v>
      </c>
      <c r="W157" s="13">
        <v>43453</v>
      </c>
      <c r="X157" s="13" t="str">
        <f t="shared" ca="1" si="1"/>
        <v>7 Th, 8 Bln</v>
      </c>
      <c r="Y157" s="5" t="s">
        <v>95</v>
      </c>
      <c r="Z157" s="14" t="s">
        <v>108</v>
      </c>
      <c r="AA157" s="5" t="s">
        <v>96</v>
      </c>
      <c r="AB157" s="5" t="s">
        <v>97</v>
      </c>
      <c r="AC157" s="7" t="s">
        <v>4330</v>
      </c>
      <c r="AD157" s="131" t="s">
        <v>207</v>
      </c>
      <c r="AE157" s="131" t="s">
        <v>99</v>
      </c>
      <c r="AF157" s="7" t="s">
        <v>942</v>
      </c>
      <c r="AG157" s="7" t="s">
        <v>547</v>
      </c>
      <c r="AH157" s="7" t="s">
        <v>178</v>
      </c>
      <c r="AI157" s="7">
        <v>65143</v>
      </c>
      <c r="AJ157" s="7" t="s">
        <v>94</v>
      </c>
      <c r="AK157" s="7" t="s">
        <v>104</v>
      </c>
      <c r="AL157" s="7" t="s">
        <v>107</v>
      </c>
      <c r="AM157" s="15" t="s">
        <v>4331</v>
      </c>
      <c r="AN157" s="15" t="s">
        <v>4331</v>
      </c>
      <c r="AO157" s="8">
        <v>4</v>
      </c>
      <c r="AP157" s="8" t="s">
        <v>298</v>
      </c>
      <c r="AQ157" s="8" t="s">
        <v>127</v>
      </c>
      <c r="AR157" s="8" t="s">
        <v>127</v>
      </c>
      <c r="AS157" s="132" t="s">
        <v>3880</v>
      </c>
      <c r="AT157" s="131" t="s">
        <v>4332</v>
      </c>
      <c r="AU157" s="132" t="s">
        <v>149</v>
      </c>
      <c r="AV157" s="16" t="s">
        <v>112</v>
      </c>
      <c r="AW157" s="56"/>
      <c r="AX157" s="56" t="s">
        <v>213</v>
      </c>
      <c r="AY157" s="56" t="s">
        <v>4333</v>
      </c>
      <c r="AZ157" s="7" t="s">
        <v>4334</v>
      </c>
      <c r="BA157" s="10" t="s">
        <v>603</v>
      </c>
      <c r="BB157" s="52">
        <v>30405</v>
      </c>
      <c r="BC157" s="17" t="s">
        <v>737</v>
      </c>
      <c r="BD157" s="17" t="s">
        <v>4331</v>
      </c>
      <c r="BE157" s="18" t="s">
        <v>118</v>
      </c>
      <c r="BF157" s="7" t="s">
        <v>276</v>
      </c>
      <c r="BG157" s="7" t="s">
        <v>4335</v>
      </c>
      <c r="BH157" s="7" t="s">
        <v>4336</v>
      </c>
      <c r="BI157" s="7" t="s">
        <v>4331</v>
      </c>
      <c r="BJ157" s="19" t="s">
        <v>1252</v>
      </c>
      <c r="BK157" s="20" t="s">
        <v>4337</v>
      </c>
      <c r="BL157" s="58" t="s">
        <v>4338</v>
      </c>
      <c r="BM157" s="7" t="s">
        <v>4339</v>
      </c>
      <c r="BN157" s="22" t="s">
        <v>544</v>
      </c>
      <c r="BO157" s="49">
        <v>30150</v>
      </c>
      <c r="BP157" s="17" t="s">
        <v>96</v>
      </c>
      <c r="BQ157" s="17" t="s">
        <v>4340</v>
      </c>
      <c r="BR157" s="18" t="s">
        <v>118</v>
      </c>
      <c r="BS157" s="7" t="s">
        <v>582</v>
      </c>
      <c r="BT157" s="7" t="s">
        <v>127</v>
      </c>
      <c r="BU157" s="7" t="s">
        <v>127</v>
      </c>
      <c r="BV157" s="8" t="s">
        <v>127</v>
      </c>
      <c r="BW157" s="23" t="s">
        <v>127</v>
      </c>
      <c r="BX157" s="24" t="s">
        <v>4341</v>
      </c>
      <c r="BY157" s="21" t="s">
        <v>127</v>
      </c>
      <c r="BZ157" s="21" t="s">
        <v>127</v>
      </c>
      <c r="CA157" s="21">
        <v>45634</v>
      </c>
      <c r="CB157" s="21"/>
      <c r="CC157" s="21" t="s">
        <v>127</v>
      </c>
      <c r="CD157" s="21" t="s">
        <v>118</v>
      </c>
      <c r="CE157" s="21" t="s">
        <v>127</v>
      </c>
      <c r="CF157" s="21" t="s">
        <v>96</v>
      </c>
      <c r="CG157" s="21" t="s">
        <v>127</v>
      </c>
      <c r="CH157" s="21" t="s">
        <v>127</v>
      </c>
      <c r="CI157" s="21" t="s">
        <v>127</v>
      </c>
      <c r="CJ157" s="21" t="s">
        <v>127</v>
      </c>
      <c r="CK157" s="21" t="s">
        <v>127</v>
      </c>
      <c r="CL157" s="21" t="s">
        <v>127</v>
      </c>
      <c r="CM157" s="25"/>
      <c r="CN157" s="25"/>
      <c r="CO157" s="25"/>
      <c r="CP157" s="26"/>
    </row>
    <row r="158" spans="1:94" s="27" customFormat="1" ht="23.25" customHeight="1">
      <c r="A158" s="4">
        <v>54</v>
      </c>
      <c r="B158" s="6"/>
      <c r="C158" s="6"/>
      <c r="D158" s="6"/>
      <c r="E158" s="6"/>
      <c r="F158" s="6"/>
      <c r="G158" s="6"/>
      <c r="H158" s="5"/>
      <c r="I158" s="7" t="s">
        <v>2684</v>
      </c>
      <c r="J158" s="7" t="s">
        <v>4387</v>
      </c>
      <c r="K158" s="7" t="s">
        <v>4388</v>
      </c>
      <c r="L158" s="5"/>
      <c r="M158" s="5">
        <v>2184</v>
      </c>
      <c r="N158" s="9">
        <v>3189508474</v>
      </c>
      <c r="O158" s="9" t="s">
        <v>11571</v>
      </c>
      <c r="P158" s="10" t="s">
        <v>4389</v>
      </c>
      <c r="Q158" s="389" t="s">
        <v>4390</v>
      </c>
      <c r="R158" s="64" t="s">
        <v>2449</v>
      </c>
      <c r="S158" s="212" t="s">
        <v>12139</v>
      </c>
      <c r="T158" s="8" t="s">
        <v>4376</v>
      </c>
      <c r="U158" s="11" t="s">
        <v>172</v>
      </c>
      <c r="V158" s="12" t="s">
        <v>94</v>
      </c>
      <c r="W158" s="13">
        <v>43340</v>
      </c>
      <c r="X158" s="13" t="str">
        <f t="shared" ca="1" si="1"/>
        <v>8 Th, 0 Bln</v>
      </c>
      <c r="Y158" s="5" t="s">
        <v>95</v>
      </c>
      <c r="Z158" s="14" t="s">
        <v>108</v>
      </c>
      <c r="AA158" s="5" t="s">
        <v>96</v>
      </c>
      <c r="AB158" s="5" t="s">
        <v>97</v>
      </c>
      <c r="AC158" s="7" t="s">
        <v>4391</v>
      </c>
      <c r="AD158" s="131" t="s">
        <v>827</v>
      </c>
      <c r="AE158" s="131" t="s">
        <v>4392</v>
      </c>
      <c r="AF158" s="7" t="s">
        <v>4393</v>
      </c>
      <c r="AG158" s="7" t="s">
        <v>1467</v>
      </c>
      <c r="AH158" s="7" t="s">
        <v>1467</v>
      </c>
      <c r="AI158" s="7">
        <v>65112</v>
      </c>
      <c r="AJ158" s="7" t="s">
        <v>94</v>
      </c>
      <c r="AK158" s="7" t="s">
        <v>179</v>
      </c>
      <c r="AL158" s="7" t="s">
        <v>146</v>
      </c>
      <c r="AM158" s="15" t="s">
        <v>4394</v>
      </c>
      <c r="AN158" s="15" t="s">
        <v>4394</v>
      </c>
      <c r="AO158" s="8">
        <v>1</v>
      </c>
      <c r="AP158" s="8" t="s">
        <v>146</v>
      </c>
      <c r="AQ158" s="8" t="s">
        <v>108</v>
      </c>
      <c r="AR158" s="8" t="s">
        <v>108</v>
      </c>
      <c r="AS158" s="132" t="s">
        <v>4395</v>
      </c>
      <c r="AT158" s="131" t="s">
        <v>3463</v>
      </c>
      <c r="AU158" s="132" t="s">
        <v>182</v>
      </c>
      <c r="AV158" s="16" t="s">
        <v>112</v>
      </c>
      <c r="AW158" s="56"/>
      <c r="AX158" s="56" t="s">
        <v>4396</v>
      </c>
      <c r="AY158" s="56" t="s">
        <v>4397</v>
      </c>
      <c r="AZ158" s="7" t="s">
        <v>4398</v>
      </c>
      <c r="BA158" s="10" t="s">
        <v>4399</v>
      </c>
      <c r="BB158" s="52">
        <v>33006</v>
      </c>
      <c r="BC158" s="17" t="s">
        <v>96</v>
      </c>
      <c r="BD158" s="17" t="s">
        <v>4400</v>
      </c>
      <c r="BE158" s="18" t="s">
        <v>118</v>
      </c>
      <c r="BF158" s="7" t="s">
        <v>327</v>
      </c>
      <c r="BG158" s="7" t="s">
        <v>4401</v>
      </c>
      <c r="BH158" s="7" t="s">
        <v>4402</v>
      </c>
      <c r="BI158" s="7" t="s">
        <v>4403</v>
      </c>
      <c r="BJ158" s="19" t="s">
        <v>3351</v>
      </c>
      <c r="BK158" s="20" t="s">
        <v>4404</v>
      </c>
      <c r="BL158" s="58" t="s">
        <v>4405</v>
      </c>
      <c r="BM158" s="7" t="s">
        <v>4406</v>
      </c>
      <c r="BN158" s="22" t="s">
        <v>94</v>
      </c>
      <c r="BO158" s="49">
        <v>32686</v>
      </c>
      <c r="BP158" s="17" t="s">
        <v>96</v>
      </c>
      <c r="BQ158" s="17" t="s">
        <v>4394</v>
      </c>
      <c r="BR158" s="18" t="s">
        <v>118</v>
      </c>
      <c r="BS158" s="7" t="s">
        <v>126</v>
      </c>
      <c r="BT158" s="7" t="s">
        <v>127</v>
      </c>
      <c r="BU158" s="7" t="s">
        <v>127</v>
      </c>
      <c r="BV158" s="8" t="s">
        <v>127</v>
      </c>
      <c r="BW158" s="23" t="s">
        <v>127</v>
      </c>
      <c r="BX158" s="24" t="s">
        <v>4407</v>
      </c>
      <c r="BY158" s="21" t="s">
        <v>108</v>
      </c>
      <c r="BZ158" s="21" t="s">
        <v>108</v>
      </c>
      <c r="CA158" s="21"/>
      <c r="CB158" s="21"/>
      <c r="CC158" s="21"/>
      <c r="CD158" s="21"/>
      <c r="CE158" s="21" t="s">
        <v>108</v>
      </c>
      <c r="CF158" s="21"/>
      <c r="CG158" s="21" t="s">
        <v>108</v>
      </c>
      <c r="CH158" s="21"/>
      <c r="CI158" s="21"/>
      <c r="CJ158" s="21" t="s">
        <v>108</v>
      </c>
      <c r="CK158" s="21" t="s">
        <v>108</v>
      </c>
      <c r="CL158" s="21" t="s">
        <v>108</v>
      </c>
      <c r="CM158" s="25"/>
      <c r="CN158" s="25"/>
      <c r="CO158" s="25"/>
      <c r="CP158" s="26"/>
    </row>
    <row r="159" spans="1:94" s="27" customFormat="1" ht="23.25" customHeight="1">
      <c r="A159" s="4">
        <v>55</v>
      </c>
      <c r="B159" s="6"/>
      <c r="C159" s="6"/>
      <c r="D159" s="6"/>
      <c r="E159" s="6"/>
      <c r="F159" s="6"/>
      <c r="G159" s="6"/>
      <c r="H159" s="5"/>
      <c r="I159" s="7" t="s">
        <v>86</v>
      </c>
      <c r="J159" s="7" t="s">
        <v>166</v>
      </c>
      <c r="K159" s="7" t="s">
        <v>312</v>
      </c>
      <c r="L159" s="5"/>
      <c r="M159" s="5">
        <v>2187</v>
      </c>
      <c r="N159" s="9">
        <v>3189721833</v>
      </c>
      <c r="O159" s="9" t="s">
        <v>7797</v>
      </c>
      <c r="P159" s="10" t="s">
        <v>4439</v>
      </c>
      <c r="Q159" s="389" t="s">
        <v>4440</v>
      </c>
      <c r="R159" s="64" t="s">
        <v>2449</v>
      </c>
      <c r="S159" s="212" t="s">
        <v>12139</v>
      </c>
      <c r="T159" s="8" t="s">
        <v>4441</v>
      </c>
      <c r="U159" s="11" t="s">
        <v>172</v>
      </c>
      <c r="V159" s="12" t="s">
        <v>94</v>
      </c>
      <c r="W159" s="13">
        <v>43292</v>
      </c>
      <c r="X159" s="13" t="str">
        <f t="shared" ca="1" si="1"/>
        <v>8 Th, 2 Bln</v>
      </c>
      <c r="Y159" s="5" t="s">
        <v>95</v>
      </c>
      <c r="Z159" s="14" t="s">
        <v>108</v>
      </c>
      <c r="AA159" s="5" t="s">
        <v>96</v>
      </c>
      <c r="AB159" s="5" t="s">
        <v>97</v>
      </c>
      <c r="AC159" s="7" t="s">
        <v>4442</v>
      </c>
      <c r="AD159" s="131" t="s">
        <v>2892</v>
      </c>
      <c r="AE159" s="131" t="s">
        <v>2892</v>
      </c>
      <c r="AF159" s="7" t="s">
        <v>1395</v>
      </c>
      <c r="AG159" s="7" t="s">
        <v>140</v>
      </c>
      <c r="AH159" s="7" t="s">
        <v>141</v>
      </c>
      <c r="AI159" s="7"/>
      <c r="AJ159" s="7" t="s">
        <v>142</v>
      </c>
      <c r="AK159" s="7" t="s">
        <v>104</v>
      </c>
      <c r="AL159" s="7" t="s">
        <v>4443</v>
      </c>
      <c r="AM159" s="15" t="s">
        <v>4444</v>
      </c>
      <c r="AN159" s="15" t="s">
        <v>4444</v>
      </c>
      <c r="AO159" s="8">
        <v>2</v>
      </c>
      <c r="AP159" s="8" t="s">
        <v>107</v>
      </c>
      <c r="AQ159" s="8" t="s">
        <v>108</v>
      </c>
      <c r="AR159" s="8" t="s">
        <v>108</v>
      </c>
      <c r="AS159" s="132" t="s">
        <v>1177</v>
      </c>
      <c r="AT159" s="131" t="s">
        <v>801</v>
      </c>
      <c r="AU159" s="132" t="s">
        <v>182</v>
      </c>
      <c r="AV159" s="16" t="s">
        <v>112</v>
      </c>
      <c r="AW159" s="56"/>
      <c r="AX159" s="56" t="s">
        <v>1844</v>
      </c>
      <c r="AY159" s="56" t="s">
        <v>4445</v>
      </c>
      <c r="AZ159" s="7" t="s">
        <v>4446</v>
      </c>
      <c r="BA159" s="10" t="s">
        <v>511</v>
      </c>
      <c r="BB159" s="52">
        <v>31890</v>
      </c>
      <c r="BC159" s="17" t="s">
        <v>96</v>
      </c>
      <c r="BD159" s="17" t="s">
        <v>4447</v>
      </c>
      <c r="BE159" s="18" t="s">
        <v>118</v>
      </c>
      <c r="BF159" s="7" t="s">
        <v>276</v>
      </c>
      <c r="BG159" s="7" t="s">
        <v>4448</v>
      </c>
      <c r="BH159" s="7" t="s">
        <v>395</v>
      </c>
      <c r="BI159" s="7"/>
      <c r="BJ159" s="19" t="s">
        <v>4449</v>
      </c>
      <c r="BK159" s="20"/>
      <c r="BL159" s="58" t="s">
        <v>4450</v>
      </c>
      <c r="BM159" s="7" t="s">
        <v>4451</v>
      </c>
      <c r="BN159" s="22" t="s">
        <v>511</v>
      </c>
      <c r="BO159" s="49">
        <v>31983</v>
      </c>
      <c r="BP159" s="17" t="s">
        <v>96</v>
      </c>
      <c r="BQ159" s="17" t="s">
        <v>4444</v>
      </c>
      <c r="BR159" s="18" t="s">
        <v>118</v>
      </c>
      <c r="BS159" s="7" t="s">
        <v>126</v>
      </c>
      <c r="BT159" s="7" t="s">
        <v>127</v>
      </c>
      <c r="BU159" s="7" t="s">
        <v>127</v>
      </c>
      <c r="BV159" s="8" t="s">
        <v>108</v>
      </c>
      <c r="BW159" s="23">
        <v>0</v>
      </c>
      <c r="BX159" s="24"/>
      <c r="BY159" s="21" t="s">
        <v>108</v>
      </c>
      <c r="BZ159" s="21" t="s">
        <v>108</v>
      </c>
      <c r="CA159" s="21"/>
      <c r="CB159" s="21"/>
      <c r="CC159" s="21"/>
      <c r="CD159" s="21"/>
      <c r="CE159" s="21" t="s">
        <v>108</v>
      </c>
      <c r="CF159" s="21"/>
      <c r="CG159" s="21" t="s">
        <v>108</v>
      </c>
      <c r="CH159" s="21"/>
      <c r="CI159" s="21"/>
      <c r="CJ159" s="21" t="s">
        <v>108</v>
      </c>
      <c r="CK159" s="21" t="s">
        <v>108</v>
      </c>
      <c r="CL159" s="21" t="s">
        <v>108</v>
      </c>
      <c r="CM159" s="25"/>
      <c r="CN159" s="25"/>
      <c r="CO159" s="25"/>
      <c r="CP159" s="26"/>
    </row>
    <row r="160" spans="1:94" s="27" customFormat="1" ht="23.25" customHeight="1">
      <c r="A160" s="4">
        <v>56</v>
      </c>
      <c r="B160" s="6"/>
      <c r="C160" s="6"/>
      <c r="D160" s="6"/>
      <c r="E160" s="6"/>
      <c r="F160" s="6"/>
      <c r="G160" s="6"/>
      <c r="H160" s="5"/>
      <c r="I160" s="7" t="s">
        <v>86</v>
      </c>
      <c r="J160" s="7" t="s">
        <v>402</v>
      </c>
      <c r="K160" s="7" t="s">
        <v>4486</v>
      </c>
      <c r="L160" s="5"/>
      <c r="M160" s="5">
        <v>2190</v>
      </c>
      <c r="N160" s="9">
        <v>3187596108</v>
      </c>
      <c r="O160" s="9" t="s">
        <v>11572</v>
      </c>
      <c r="P160" s="10" t="s">
        <v>4487</v>
      </c>
      <c r="Q160" s="389" t="s">
        <v>4488</v>
      </c>
      <c r="R160" s="64" t="s">
        <v>2449</v>
      </c>
      <c r="S160" s="212" t="s">
        <v>12139</v>
      </c>
      <c r="T160" s="8" t="s">
        <v>4489</v>
      </c>
      <c r="U160" s="11" t="s">
        <v>93</v>
      </c>
      <c r="V160" s="12" t="s">
        <v>94</v>
      </c>
      <c r="W160" s="13">
        <v>43332</v>
      </c>
      <c r="X160" s="13" t="str">
        <f t="shared" ca="1" si="1"/>
        <v>8 Th, 0 Bln</v>
      </c>
      <c r="Y160" s="5" t="s">
        <v>95</v>
      </c>
      <c r="Z160" s="14" t="s">
        <v>108</v>
      </c>
      <c r="AA160" s="5" t="s">
        <v>96</v>
      </c>
      <c r="AB160" s="5" t="s">
        <v>97</v>
      </c>
      <c r="AC160" s="7" t="s">
        <v>4490</v>
      </c>
      <c r="AD160" s="131">
        <v>5</v>
      </c>
      <c r="AE160" s="131">
        <v>6</v>
      </c>
      <c r="AF160" s="7" t="s">
        <v>1840</v>
      </c>
      <c r="AG160" s="7" t="s">
        <v>178</v>
      </c>
      <c r="AH160" s="7" t="s">
        <v>178</v>
      </c>
      <c r="AI160" s="7"/>
      <c r="AJ160" s="7" t="s">
        <v>94</v>
      </c>
      <c r="AK160" s="7" t="s">
        <v>104</v>
      </c>
      <c r="AL160" s="7" t="s">
        <v>4491</v>
      </c>
      <c r="AM160" s="15" t="s">
        <v>4492</v>
      </c>
      <c r="AN160" s="15" t="s">
        <v>4492</v>
      </c>
      <c r="AO160" s="8">
        <v>1</v>
      </c>
      <c r="AP160" s="8" t="s">
        <v>147</v>
      </c>
      <c r="AQ160" s="8" t="s">
        <v>147</v>
      </c>
      <c r="AR160" s="8" t="s">
        <v>147</v>
      </c>
      <c r="AS160" s="132" t="s">
        <v>3290</v>
      </c>
      <c r="AT160" s="131" t="s">
        <v>2593</v>
      </c>
      <c r="AU160" s="132" t="s">
        <v>149</v>
      </c>
      <c r="AV160" s="16" t="s">
        <v>212</v>
      </c>
      <c r="AW160" s="56"/>
      <c r="AX160" s="56" t="s">
        <v>323</v>
      </c>
      <c r="AY160" s="56" t="s">
        <v>4493</v>
      </c>
      <c r="AZ160" s="7" t="s">
        <v>4494</v>
      </c>
      <c r="BA160" s="10" t="s">
        <v>94</v>
      </c>
      <c r="BB160" s="52">
        <v>33405</v>
      </c>
      <c r="BC160" s="17" t="s">
        <v>96</v>
      </c>
      <c r="BD160" s="17" t="s">
        <v>4495</v>
      </c>
      <c r="BE160" s="18" t="s">
        <v>118</v>
      </c>
      <c r="BF160" s="7" t="s">
        <v>119</v>
      </c>
      <c r="BG160" s="7" t="s">
        <v>4496</v>
      </c>
      <c r="BH160" s="7" t="s">
        <v>4497</v>
      </c>
      <c r="BI160" s="7"/>
      <c r="BJ160" s="19" t="s">
        <v>190</v>
      </c>
      <c r="BK160" s="20" t="s">
        <v>4498</v>
      </c>
      <c r="BL160" s="58" t="s">
        <v>4499</v>
      </c>
      <c r="BM160" s="7" t="s">
        <v>4500</v>
      </c>
      <c r="BN160" s="22" t="s">
        <v>94</v>
      </c>
      <c r="BO160" s="49">
        <v>34532</v>
      </c>
      <c r="BP160" s="17" t="s">
        <v>96</v>
      </c>
      <c r="BQ160" s="17" t="s">
        <v>4492</v>
      </c>
      <c r="BR160" s="18" t="s">
        <v>118</v>
      </c>
      <c r="BS160" s="7" t="s">
        <v>126</v>
      </c>
      <c r="BT160" s="7" t="s">
        <v>162</v>
      </c>
      <c r="BU160" s="7" t="s">
        <v>162</v>
      </c>
      <c r="BV160" s="8" t="s">
        <v>108</v>
      </c>
      <c r="BW160" s="23">
        <v>0</v>
      </c>
      <c r="BX160" s="24" t="s">
        <v>4501</v>
      </c>
      <c r="BY160" s="21" t="s">
        <v>108</v>
      </c>
      <c r="BZ160" s="21" t="s">
        <v>108</v>
      </c>
      <c r="CA160" s="21"/>
      <c r="CB160" s="21"/>
      <c r="CC160" s="21"/>
      <c r="CD160" s="21"/>
      <c r="CE160" s="21" t="s">
        <v>108</v>
      </c>
      <c r="CF160" s="21"/>
      <c r="CG160" s="21" t="s">
        <v>108</v>
      </c>
      <c r="CH160" s="21"/>
      <c r="CI160" s="21"/>
      <c r="CJ160" s="21" t="s">
        <v>108</v>
      </c>
      <c r="CK160" s="21" t="s">
        <v>108</v>
      </c>
      <c r="CL160" s="21" t="s">
        <v>108</v>
      </c>
      <c r="CM160" s="25"/>
      <c r="CN160" s="25"/>
      <c r="CO160" s="25"/>
      <c r="CP160" s="26"/>
    </row>
    <row r="161" spans="1:94" s="27" customFormat="1" ht="23.25" customHeight="1">
      <c r="A161" s="4">
        <v>57</v>
      </c>
      <c r="B161" s="6"/>
      <c r="C161" s="6"/>
      <c r="D161" s="6"/>
      <c r="E161" s="6"/>
      <c r="F161" s="6"/>
      <c r="G161" s="6"/>
      <c r="H161" s="5"/>
      <c r="I161" s="7" t="s">
        <v>2452</v>
      </c>
      <c r="J161" s="7" t="s">
        <v>1218</v>
      </c>
      <c r="K161" s="7" t="s">
        <v>4502</v>
      </c>
      <c r="L161" s="5"/>
      <c r="M161" s="5">
        <v>2191</v>
      </c>
      <c r="N161" s="9">
        <v>3199934441</v>
      </c>
      <c r="O161" s="150" t="s">
        <v>11573</v>
      </c>
      <c r="P161" s="10" t="s">
        <v>4503</v>
      </c>
      <c r="Q161" s="389" t="s">
        <v>11461</v>
      </c>
      <c r="R161" s="64" t="s">
        <v>2449</v>
      </c>
      <c r="S161" s="212" t="s">
        <v>12139</v>
      </c>
      <c r="T161" s="8" t="s">
        <v>4504</v>
      </c>
      <c r="U161" s="11" t="s">
        <v>93</v>
      </c>
      <c r="V161" s="12" t="s">
        <v>94</v>
      </c>
      <c r="W161" s="13">
        <v>43508</v>
      </c>
      <c r="X161" s="13" t="str">
        <f t="shared" ca="1" si="1"/>
        <v>7 Th, 7 Bln</v>
      </c>
      <c r="Y161" s="5" t="s">
        <v>95</v>
      </c>
      <c r="Z161" s="14" t="s">
        <v>108</v>
      </c>
      <c r="AA161" s="5" t="s">
        <v>96</v>
      </c>
      <c r="AB161" s="5" t="s">
        <v>97</v>
      </c>
      <c r="AC161" s="7" t="s">
        <v>4505</v>
      </c>
      <c r="AD161" s="131">
        <v>17</v>
      </c>
      <c r="AE161" s="131">
        <v>11</v>
      </c>
      <c r="AF161" s="7" t="s">
        <v>4506</v>
      </c>
      <c r="AG161" s="7" t="s">
        <v>4507</v>
      </c>
      <c r="AH161" s="7" t="s">
        <v>141</v>
      </c>
      <c r="AI161" s="7">
        <v>65162</v>
      </c>
      <c r="AJ161" s="7" t="s">
        <v>4508</v>
      </c>
      <c r="AK161" s="7" t="s">
        <v>104</v>
      </c>
      <c r="AL161" s="7" t="s">
        <v>4509</v>
      </c>
      <c r="AM161" s="15" t="s">
        <v>4510</v>
      </c>
      <c r="AN161" s="15" t="s">
        <v>4510</v>
      </c>
      <c r="AO161" s="8">
        <v>1</v>
      </c>
      <c r="AP161" s="8" t="s">
        <v>107</v>
      </c>
      <c r="AQ161" s="8" t="s">
        <v>127</v>
      </c>
      <c r="AR161" s="8" t="s">
        <v>127</v>
      </c>
      <c r="AS161" s="132" t="s">
        <v>2508</v>
      </c>
      <c r="AT161" s="131" t="s">
        <v>2593</v>
      </c>
      <c r="AU161" s="132" t="s">
        <v>182</v>
      </c>
      <c r="AV161" s="16" t="s">
        <v>112</v>
      </c>
      <c r="AW161" s="56"/>
      <c r="AX161" s="56" t="s">
        <v>734</v>
      </c>
      <c r="AY161" s="56" t="s">
        <v>4511</v>
      </c>
      <c r="AZ161" s="7" t="s">
        <v>4512</v>
      </c>
      <c r="BA161" s="10" t="s">
        <v>94</v>
      </c>
      <c r="BB161" s="52">
        <v>33378</v>
      </c>
      <c r="BC161" s="17" t="s">
        <v>96</v>
      </c>
      <c r="BD161" s="17" t="s">
        <v>4510</v>
      </c>
      <c r="BE161" s="18" t="s">
        <v>118</v>
      </c>
      <c r="BF161" s="7" t="s">
        <v>4513</v>
      </c>
      <c r="BG161" s="7" t="s">
        <v>328</v>
      </c>
      <c r="BH161" s="7" t="s">
        <v>4514</v>
      </c>
      <c r="BI161" s="7" t="s">
        <v>127</v>
      </c>
      <c r="BJ161" s="19" t="s">
        <v>1528</v>
      </c>
      <c r="BK161" s="20" t="s">
        <v>4515</v>
      </c>
      <c r="BL161" s="58" t="s">
        <v>4516</v>
      </c>
      <c r="BM161" s="7" t="s">
        <v>4517</v>
      </c>
      <c r="BN161" s="22" t="s">
        <v>544</v>
      </c>
      <c r="BO161" s="49">
        <v>34387</v>
      </c>
      <c r="BP161" s="17" t="s">
        <v>96</v>
      </c>
      <c r="BQ161" s="17" t="s">
        <v>4518</v>
      </c>
      <c r="BR161" s="18" t="s">
        <v>216</v>
      </c>
      <c r="BS161" s="7" t="s">
        <v>4519</v>
      </c>
      <c r="BT161" s="7" t="s">
        <v>4520</v>
      </c>
      <c r="BU161" s="7" t="s">
        <v>4521</v>
      </c>
      <c r="BV161" s="8" t="s">
        <v>127</v>
      </c>
      <c r="BW161" s="23" t="s">
        <v>1528</v>
      </c>
      <c r="BX161" s="24" t="s">
        <v>127</v>
      </c>
      <c r="BY161" s="21" t="s">
        <v>108</v>
      </c>
      <c r="BZ161" s="21" t="s">
        <v>108</v>
      </c>
      <c r="CA161" s="21"/>
      <c r="CB161" s="21"/>
      <c r="CC161" s="21"/>
      <c r="CD161" s="21"/>
      <c r="CE161" s="21" t="s">
        <v>108</v>
      </c>
      <c r="CF161" s="21"/>
      <c r="CG161" s="21" t="s">
        <v>108</v>
      </c>
      <c r="CH161" s="21"/>
      <c r="CI161" s="21"/>
      <c r="CJ161" s="21" t="s">
        <v>108</v>
      </c>
      <c r="CK161" s="21" t="s">
        <v>108</v>
      </c>
      <c r="CL161" s="21" t="s">
        <v>108</v>
      </c>
      <c r="CM161" s="25"/>
      <c r="CN161" s="25"/>
      <c r="CO161" s="25"/>
      <c r="CP161" s="26"/>
    </row>
    <row r="162" spans="1:94" s="27" customFormat="1" ht="23.25" customHeight="1">
      <c r="A162" s="4">
        <v>58</v>
      </c>
      <c r="B162" s="6"/>
      <c r="C162" s="6"/>
      <c r="D162" s="6"/>
      <c r="E162" s="6"/>
      <c r="F162" s="6"/>
      <c r="G162" s="6"/>
      <c r="H162" s="5"/>
      <c r="I162" s="7" t="s">
        <v>2452</v>
      </c>
      <c r="J162" s="7" t="s">
        <v>4545</v>
      </c>
      <c r="K162" s="7" t="s">
        <v>4546</v>
      </c>
      <c r="L162" s="5"/>
      <c r="M162" s="5">
        <v>2193</v>
      </c>
      <c r="N162" s="9">
        <v>3189110634</v>
      </c>
      <c r="O162" s="9" t="s">
        <v>11575</v>
      </c>
      <c r="P162" s="10" t="s">
        <v>4547</v>
      </c>
      <c r="Q162" s="389" t="s">
        <v>4548</v>
      </c>
      <c r="R162" s="64" t="s">
        <v>2449</v>
      </c>
      <c r="S162" s="212" t="s">
        <v>12139</v>
      </c>
      <c r="T162" s="8" t="s">
        <v>4549</v>
      </c>
      <c r="U162" s="11" t="s">
        <v>93</v>
      </c>
      <c r="V162" s="12" t="s">
        <v>1787</v>
      </c>
      <c r="W162" s="13">
        <v>43224</v>
      </c>
      <c r="X162" s="13" t="str">
        <f t="shared" ca="1" si="1"/>
        <v>8 Th, 4 Bln</v>
      </c>
      <c r="Y162" s="5" t="s">
        <v>95</v>
      </c>
      <c r="Z162" s="14" t="s">
        <v>108</v>
      </c>
      <c r="AA162" s="5" t="s">
        <v>96</v>
      </c>
      <c r="AB162" s="5" t="s">
        <v>97</v>
      </c>
      <c r="AC162" s="7" t="s">
        <v>4550</v>
      </c>
      <c r="AD162" s="131" t="s">
        <v>1789</v>
      </c>
      <c r="AE162" s="131" t="s">
        <v>175</v>
      </c>
      <c r="AF162" s="7" t="s">
        <v>177</v>
      </c>
      <c r="AG162" s="7" t="s">
        <v>178</v>
      </c>
      <c r="AH162" s="7" t="s">
        <v>178</v>
      </c>
      <c r="AI162" s="7">
        <v>65153</v>
      </c>
      <c r="AJ162" s="7" t="s">
        <v>103</v>
      </c>
      <c r="AK162" s="7" t="s">
        <v>386</v>
      </c>
      <c r="AL162" s="7" t="s">
        <v>107</v>
      </c>
      <c r="AM162" s="15" t="s">
        <v>4551</v>
      </c>
      <c r="AN162" s="15" t="s">
        <v>4551</v>
      </c>
      <c r="AO162" s="8">
        <v>2</v>
      </c>
      <c r="AP162" s="8" t="s">
        <v>107</v>
      </c>
      <c r="AQ162" s="8" t="s">
        <v>147</v>
      </c>
      <c r="AR162" s="8" t="s">
        <v>147</v>
      </c>
      <c r="AS162" s="132" t="s">
        <v>2461</v>
      </c>
      <c r="AT162" s="131" t="s">
        <v>2574</v>
      </c>
      <c r="AU162" s="132" t="s">
        <v>149</v>
      </c>
      <c r="AV162" s="16" t="s">
        <v>112</v>
      </c>
      <c r="AW162" s="56"/>
      <c r="AX162" s="56" t="s">
        <v>114</v>
      </c>
      <c r="AY162" s="56" t="s">
        <v>4552</v>
      </c>
      <c r="AZ162" s="7" t="s">
        <v>4553</v>
      </c>
      <c r="BA162" s="10" t="s">
        <v>4554</v>
      </c>
      <c r="BB162" s="52">
        <v>31192</v>
      </c>
      <c r="BC162" s="17" t="s">
        <v>96</v>
      </c>
      <c r="BD162" s="17" t="s">
        <v>4551</v>
      </c>
      <c r="BE162" s="18" t="s">
        <v>153</v>
      </c>
      <c r="BF162" s="7" t="s">
        <v>4555</v>
      </c>
      <c r="BG162" s="7" t="s">
        <v>4556</v>
      </c>
      <c r="BH162" s="7" t="s">
        <v>4557</v>
      </c>
      <c r="BI162" s="7"/>
      <c r="BJ162" s="19" t="s">
        <v>190</v>
      </c>
      <c r="BK162" s="20" t="s">
        <v>4558</v>
      </c>
      <c r="BL162" s="58" t="s">
        <v>4559</v>
      </c>
      <c r="BM162" s="7" t="s">
        <v>4560</v>
      </c>
      <c r="BN162" s="22" t="s">
        <v>94</v>
      </c>
      <c r="BO162" s="49">
        <v>32167</v>
      </c>
      <c r="BP162" s="17" t="s">
        <v>96</v>
      </c>
      <c r="BQ162" s="17" t="s">
        <v>4561</v>
      </c>
      <c r="BR162" s="18" t="s">
        <v>118</v>
      </c>
      <c r="BS162" s="7" t="s">
        <v>790</v>
      </c>
      <c r="BT162" s="7" t="s">
        <v>452</v>
      </c>
      <c r="BU162" s="7" t="s">
        <v>4562</v>
      </c>
      <c r="BV162" s="8" t="s">
        <v>108</v>
      </c>
      <c r="BW162" s="23">
        <v>0</v>
      </c>
      <c r="BX162" s="24" t="s">
        <v>4563</v>
      </c>
      <c r="BY162" s="21" t="s">
        <v>108</v>
      </c>
      <c r="BZ162" s="21" t="s">
        <v>108</v>
      </c>
      <c r="CA162" s="21"/>
      <c r="CB162" s="21"/>
      <c r="CC162" s="21"/>
      <c r="CD162" s="21"/>
      <c r="CE162" s="21" t="s">
        <v>108</v>
      </c>
      <c r="CF162" s="21"/>
      <c r="CG162" s="21" t="s">
        <v>108</v>
      </c>
      <c r="CH162" s="21"/>
      <c r="CI162" s="21"/>
      <c r="CJ162" s="21" t="s">
        <v>108</v>
      </c>
      <c r="CK162" s="21" t="s">
        <v>108</v>
      </c>
      <c r="CL162" s="21" t="s">
        <v>108</v>
      </c>
      <c r="CM162" s="25"/>
      <c r="CN162" s="25"/>
      <c r="CO162" s="25"/>
      <c r="CP162" s="26"/>
    </row>
    <row r="163" spans="1:94" s="27" customFormat="1" ht="23.25" customHeight="1">
      <c r="A163" s="4">
        <v>59</v>
      </c>
      <c r="B163" s="28"/>
      <c r="C163" s="28"/>
      <c r="D163" s="28"/>
      <c r="E163" s="28"/>
      <c r="F163" s="28"/>
      <c r="G163" s="28"/>
      <c r="H163" s="29"/>
      <c r="I163" s="30" t="s">
        <v>2452</v>
      </c>
      <c r="J163" s="30" t="s">
        <v>287</v>
      </c>
      <c r="K163" s="30" t="s">
        <v>4622</v>
      </c>
      <c r="L163" s="29"/>
      <c r="M163" s="29">
        <v>2197</v>
      </c>
      <c r="N163" s="92">
        <v>3176639441</v>
      </c>
      <c r="O163" s="92" t="s">
        <v>6165</v>
      </c>
      <c r="P163" s="32" t="s">
        <v>4623</v>
      </c>
      <c r="Q163" s="390" t="s">
        <v>4624</v>
      </c>
      <c r="R163" s="64" t="s">
        <v>2449</v>
      </c>
      <c r="S163" s="212" t="s">
        <v>12139</v>
      </c>
      <c r="T163" s="31" t="s">
        <v>4625</v>
      </c>
      <c r="U163" s="33" t="s">
        <v>172</v>
      </c>
      <c r="V163" s="34" t="s">
        <v>395</v>
      </c>
      <c r="W163" s="35">
        <v>43073</v>
      </c>
      <c r="X163" s="35" t="str">
        <f t="shared" ca="1" si="1"/>
        <v>8 Th, 9 Bln</v>
      </c>
      <c r="Y163" s="29" t="s">
        <v>425</v>
      </c>
      <c r="Z163" s="36" t="s">
        <v>2932</v>
      </c>
      <c r="AA163" s="29" t="s">
        <v>96</v>
      </c>
      <c r="AB163" s="29" t="s">
        <v>97</v>
      </c>
      <c r="AC163" s="30" t="s">
        <v>4626</v>
      </c>
      <c r="AD163" s="129" t="s">
        <v>137</v>
      </c>
      <c r="AE163" s="129">
        <v>12</v>
      </c>
      <c r="AF163" s="30" t="s">
        <v>921</v>
      </c>
      <c r="AG163" s="30" t="s">
        <v>687</v>
      </c>
      <c r="AH163" s="30" t="s">
        <v>141</v>
      </c>
      <c r="AI163" s="30">
        <v>65151</v>
      </c>
      <c r="AJ163" s="30" t="s">
        <v>142</v>
      </c>
      <c r="AK163" s="30" t="s">
        <v>104</v>
      </c>
      <c r="AL163" s="30" t="s">
        <v>298</v>
      </c>
      <c r="AM163" s="37" t="s">
        <v>4627</v>
      </c>
      <c r="AN163" s="37" t="s">
        <v>4628</v>
      </c>
      <c r="AO163" s="31">
        <v>2</v>
      </c>
      <c r="AP163" s="31" t="s">
        <v>107</v>
      </c>
      <c r="AQ163" s="31" t="s">
        <v>147</v>
      </c>
      <c r="AR163" s="31" t="s">
        <v>147</v>
      </c>
      <c r="AS163" s="130" t="s">
        <v>4629</v>
      </c>
      <c r="AT163" s="129" t="s">
        <v>3463</v>
      </c>
      <c r="AU163" s="130" t="s">
        <v>111</v>
      </c>
      <c r="AV163" s="38" t="s">
        <v>112</v>
      </c>
      <c r="AW163" s="123"/>
      <c r="AX163" s="123" t="s">
        <v>4630</v>
      </c>
      <c r="AY163" s="123" t="s">
        <v>4631</v>
      </c>
      <c r="AZ163" s="30" t="s">
        <v>4632</v>
      </c>
      <c r="BA163" s="32" t="s">
        <v>519</v>
      </c>
      <c r="BB163" s="53">
        <v>32289</v>
      </c>
      <c r="BC163" s="39" t="s">
        <v>96</v>
      </c>
      <c r="BD163" s="39" t="s">
        <v>4627</v>
      </c>
      <c r="BE163" s="40" t="s">
        <v>118</v>
      </c>
      <c r="BF163" s="30" t="s">
        <v>1571</v>
      </c>
      <c r="BG163" s="30" t="s">
        <v>4633</v>
      </c>
      <c r="BH163" s="30" t="s">
        <v>4634</v>
      </c>
      <c r="BI163" s="30" t="s">
        <v>4635</v>
      </c>
      <c r="BJ163" s="41" t="s">
        <v>4636</v>
      </c>
      <c r="BK163" s="111" t="s">
        <v>4637</v>
      </c>
      <c r="BL163" s="124" t="s">
        <v>4638</v>
      </c>
      <c r="BM163" s="30" t="s">
        <v>4639</v>
      </c>
      <c r="BN163" s="125" t="s">
        <v>1967</v>
      </c>
      <c r="BO163" s="50">
        <v>32796</v>
      </c>
      <c r="BP163" s="39" t="s">
        <v>96</v>
      </c>
      <c r="BQ163" s="39" t="s">
        <v>4628</v>
      </c>
      <c r="BR163" s="40" t="s">
        <v>118</v>
      </c>
      <c r="BS163" s="30" t="s">
        <v>126</v>
      </c>
      <c r="BT163" s="30" t="s">
        <v>4640</v>
      </c>
      <c r="BU163" s="30" t="s">
        <v>4626</v>
      </c>
      <c r="BV163" s="31" t="s">
        <v>4628</v>
      </c>
      <c r="BW163" s="126" t="s">
        <v>3407</v>
      </c>
      <c r="BX163" s="127" t="s">
        <v>4641</v>
      </c>
      <c r="BY163" s="47" t="s">
        <v>108</v>
      </c>
      <c r="BZ163" s="47" t="s">
        <v>108</v>
      </c>
      <c r="CA163" s="47"/>
      <c r="CB163" s="47"/>
      <c r="CC163" s="47"/>
      <c r="CD163" s="47"/>
      <c r="CE163" s="47" t="s">
        <v>108</v>
      </c>
      <c r="CF163" s="47"/>
      <c r="CG163" s="47" t="s">
        <v>108</v>
      </c>
      <c r="CH163" s="47"/>
      <c r="CI163" s="47"/>
      <c r="CJ163" s="47" t="s">
        <v>108</v>
      </c>
      <c r="CK163" s="47" t="s">
        <v>108</v>
      </c>
      <c r="CL163" s="47" t="s">
        <v>108</v>
      </c>
      <c r="CM163" s="25"/>
      <c r="CN163" s="25"/>
      <c r="CO163" s="25"/>
      <c r="CP163" s="26"/>
    </row>
    <row r="164" spans="1:94" s="27" customFormat="1" ht="23.25" customHeight="1">
      <c r="A164" s="4">
        <v>60</v>
      </c>
      <c r="B164" s="6"/>
      <c r="C164" s="6"/>
      <c r="D164" s="6"/>
      <c r="E164" s="6"/>
      <c r="F164" s="6"/>
      <c r="G164" s="6"/>
      <c r="H164" s="5"/>
      <c r="I164" s="7" t="s">
        <v>2452</v>
      </c>
      <c r="J164" s="7" t="s">
        <v>166</v>
      </c>
      <c r="K164" s="7" t="s">
        <v>4642</v>
      </c>
      <c r="L164" s="5"/>
      <c r="M164" s="5">
        <v>2198</v>
      </c>
      <c r="N164" s="9">
        <v>3186229336</v>
      </c>
      <c r="O164" s="9" t="s">
        <v>11576</v>
      </c>
      <c r="P164" s="10" t="s">
        <v>4643</v>
      </c>
      <c r="Q164" s="389" t="s">
        <v>4644</v>
      </c>
      <c r="R164" s="64" t="s">
        <v>2449</v>
      </c>
      <c r="S164" s="212" t="s">
        <v>12139</v>
      </c>
      <c r="T164" s="8" t="s">
        <v>4645</v>
      </c>
      <c r="U164" s="11" t="s">
        <v>172</v>
      </c>
      <c r="V164" s="12" t="s">
        <v>94</v>
      </c>
      <c r="W164" s="13">
        <v>43202</v>
      </c>
      <c r="X164" s="13" t="str">
        <f t="shared" ca="1" si="1"/>
        <v>8 Th, 5 Bln</v>
      </c>
      <c r="Y164" s="5" t="s">
        <v>95</v>
      </c>
      <c r="Z164" s="14" t="s">
        <v>108</v>
      </c>
      <c r="AA164" s="5" t="s">
        <v>96</v>
      </c>
      <c r="AB164" s="5" t="s">
        <v>97</v>
      </c>
      <c r="AC164" s="7" t="s">
        <v>4646</v>
      </c>
      <c r="AD164" s="131" t="s">
        <v>3501</v>
      </c>
      <c r="AE164" s="131" t="s">
        <v>175</v>
      </c>
      <c r="AF164" s="7" t="s">
        <v>177</v>
      </c>
      <c r="AG164" s="7" t="s">
        <v>178</v>
      </c>
      <c r="AH164" s="7" t="s">
        <v>178</v>
      </c>
      <c r="AI164" s="7">
        <v>65143</v>
      </c>
      <c r="AJ164" s="7" t="s">
        <v>103</v>
      </c>
      <c r="AK164" s="7" t="s">
        <v>104</v>
      </c>
      <c r="AL164" s="7" t="s">
        <v>616</v>
      </c>
      <c r="AM164" s="15" t="s">
        <v>4647</v>
      </c>
      <c r="AN164" s="15" t="s">
        <v>4647</v>
      </c>
      <c r="AO164" s="8">
        <v>2</v>
      </c>
      <c r="AP164" s="8" t="s">
        <v>107</v>
      </c>
      <c r="AQ164" s="8" t="s">
        <v>108</v>
      </c>
      <c r="AR164" s="8" t="s">
        <v>108</v>
      </c>
      <c r="AS164" s="132" t="s">
        <v>4648</v>
      </c>
      <c r="AT164" s="131" t="s">
        <v>4649</v>
      </c>
      <c r="AU164" s="132" t="s">
        <v>149</v>
      </c>
      <c r="AV164" s="16" t="s">
        <v>112</v>
      </c>
      <c r="AW164" s="56"/>
      <c r="AX164" s="56" t="s">
        <v>2208</v>
      </c>
      <c r="AY164" s="56" t="s">
        <v>4650</v>
      </c>
      <c r="AZ164" s="7" t="s">
        <v>4651</v>
      </c>
      <c r="BA164" s="10" t="s">
        <v>222</v>
      </c>
      <c r="BB164" s="52">
        <v>29913</v>
      </c>
      <c r="BC164" s="17" t="s">
        <v>96</v>
      </c>
      <c r="BD164" s="17" t="s">
        <v>4652</v>
      </c>
      <c r="BE164" s="18" t="s">
        <v>118</v>
      </c>
      <c r="BF164" s="7" t="s">
        <v>471</v>
      </c>
      <c r="BG164" s="7" t="s">
        <v>4653</v>
      </c>
      <c r="BH164" s="7" t="s">
        <v>4654</v>
      </c>
      <c r="BI164" s="7"/>
      <c r="BJ164" s="19" t="s">
        <v>556</v>
      </c>
      <c r="BK164" s="20" t="s">
        <v>4655</v>
      </c>
      <c r="BL164" s="58" t="s">
        <v>4656</v>
      </c>
      <c r="BM164" s="7" t="s">
        <v>4657</v>
      </c>
      <c r="BN164" s="22" t="s">
        <v>94</v>
      </c>
      <c r="BO164" s="49">
        <v>31434</v>
      </c>
      <c r="BP164" s="17" t="s">
        <v>96</v>
      </c>
      <c r="BQ164" s="17" t="s">
        <v>4647</v>
      </c>
      <c r="BR164" s="18" t="s">
        <v>118</v>
      </c>
      <c r="BS164" s="7" t="s">
        <v>4658</v>
      </c>
      <c r="BT164" s="7" t="s">
        <v>4659</v>
      </c>
      <c r="BU164" s="7" t="s">
        <v>4660</v>
      </c>
      <c r="BV164" s="8" t="s">
        <v>4661</v>
      </c>
      <c r="BW164" s="23" t="s">
        <v>983</v>
      </c>
      <c r="BX164" s="24" t="s">
        <v>4662</v>
      </c>
      <c r="BY164" s="21" t="s">
        <v>4663</v>
      </c>
      <c r="BZ164" s="21" t="s">
        <v>94</v>
      </c>
      <c r="CA164" s="21">
        <v>23887</v>
      </c>
      <c r="CB164" s="21"/>
      <c r="CC164" s="21" t="s">
        <v>4664</v>
      </c>
      <c r="CD164" s="21" t="s">
        <v>216</v>
      </c>
      <c r="CE164" s="21" t="s">
        <v>126</v>
      </c>
      <c r="CF164" s="21" t="s">
        <v>96</v>
      </c>
      <c r="CG164" s="21" t="s">
        <v>4665</v>
      </c>
      <c r="CH164" s="21" t="s">
        <v>3501</v>
      </c>
      <c r="CI164" s="21" t="s">
        <v>175</v>
      </c>
      <c r="CJ164" s="21" t="s">
        <v>177</v>
      </c>
      <c r="CK164" s="21" t="s">
        <v>178</v>
      </c>
      <c r="CL164" s="21" t="s">
        <v>103</v>
      </c>
      <c r="CM164" s="25"/>
      <c r="CN164" s="25"/>
      <c r="CO164" s="25"/>
      <c r="CP164" s="26"/>
    </row>
    <row r="165" spans="1:94" s="116" customFormat="1" ht="22.5" customHeight="1">
      <c r="A165" s="4">
        <v>61</v>
      </c>
      <c r="B165" s="6"/>
      <c r="C165" s="6"/>
      <c r="D165" s="6"/>
      <c r="E165" s="6"/>
      <c r="F165" s="6"/>
      <c r="G165" s="6"/>
      <c r="H165" s="5"/>
      <c r="I165" s="7" t="s">
        <v>2452</v>
      </c>
      <c r="J165" s="7" t="s">
        <v>2541</v>
      </c>
      <c r="K165" s="7" t="s">
        <v>2542</v>
      </c>
      <c r="L165" s="5"/>
      <c r="M165" s="5">
        <v>2087</v>
      </c>
      <c r="N165" s="9">
        <v>3187264961</v>
      </c>
      <c r="O165" s="9" t="s">
        <v>8324</v>
      </c>
      <c r="P165" s="10" t="s">
        <v>2543</v>
      </c>
      <c r="Q165" s="389" t="s">
        <v>2544</v>
      </c>
      <c r="R165" s="8" t="s">
        <v>2450</v>
      </c>
      <c r="S165" s="212" t="s">
        <v>12140</v>
      </c>
      <c r="T165" s="8" t="s">
        <v>2545</v>
      </c>
      <c r="U165" s="11" t="s">
        <v>172</v>
      </c>
      <c r="V165" s="12" t="s">
        <v>94</v>
      </c>
      <c r="W165" s="13">
        <v>43148</v>
      </c>
      <c r="X165" s="13" t="str">
        <f t="shared" ca="1" si="1"/>
        <v>8 Th, 6 Bln</v>
      </c>
      <c r="Y165" s="5" t="s">
        <v>95</v>
      </c>
      <c r="Z165" s="14" t="s">
        <v>108</v>
      </c>
      <c r="AA165" s="5" t="s">
        <v>96</v>
      </c>
      <c r="AB165" s="5" t="s">
        <v>97</v>
      </c>
      <c r="AC165" s="7" t="s">
        <v>2546</v>
      </c>
      <c r="AD165" s="131" t="s">
        <v>1281</v>
      </c>
      <c r="AE165" s="131" t="s">
        <v>265</v>
      </c>
      <c r="AF165" s="7" t="s">
        <v>2159</v>
      </c>
      <c r="AG165" s="7" t="s">
        <v>2159</v>
      </c>
      <c r="AH165" s="7" t="s">
        <v>2159</v>
      </c>
      <c r="AI165" s="7">
        <v>65137</v>
      </c>
      <c r="AJ165" s="7" t="s">
        <v>94</v>
      </c>
      <c r="AK165" s="7" t="s">
        <v>104</v>
      </c>
      <c r="AL165" s="7" t="s">
        <v>2547</v>
      </c>
      <c r="AM165" s="15" t="s">
        <v>2548</v>
      </c>
      <c r="AN165" s="15" t="s">
        <v>2548</v>
      </c>
      <c r="AO165" s="8">
        <v>2</v>
      </c>
      <c r="AP165" s="8" t="s">
        <v>146</v>
      </c>
      <c r="AQ165" s="8" t="s">
        <v>127</v>
      </c>
      <c r="AR165" s="8" t="s">
        <v>127</v>
      </c>
      <c r="AS165" s="132" t="s">
        <v>2549</v>
      </c>
      <c r="AT165" s="131" t="s">
        <v>2550</v>
      </c>
      <c r="AU165" s="132" t="s">
        <v>182</v>
      </c>
      <c r="AV165" s="16" t="s">
        <v>212</v>
      </c>
      <c r="AW165" s="56"/>
      <c r="AX165" s="56" t="s">
        <v>2551</v>
      </c>
      <c r="AY165" s="56" t="s">
        <v>2552</v>
      </c>
      <c r="AZ165" s="7" t="s">
        <v>2553</v>
      </c>
      <c r="BA165" s="10" t="s">
        <v>2554</v>
      </c>
      <c r="BB165" s="52">
        <v>29838</v>
      </c>
      <c r="BC165" s="17" t="s">
        <v>96</v>
      </c>
      <c r="BD165" s="17" t="s">
        <v>2555</v>
      </c>
      <c r="BE165" s="18" t="s">
        <v>118</v>
      </c>
      <c r="BF165" s="7" t="s">
        <v>327</v>
      </c>
      <c r="BG165" s="7" t="s">
        <v>2556</v>
      </c>
      <c r="BH165" s="7" t="s">
        <v>2557</v>
      </c>
      <c r="BI165" s="7" t="s">
        <v>2558</v>
      </c>
      <c r="BJ165" s="19" t="s">
        <v>2559</v>
      </c>
      <c r="BK165" s="20" t="s">
        <v>2560</v>
      </c>
      <c r="BL165" s="58" t="s">
        <v>2561</v>
      </c>
      <c r="BM165" s="7" t="s">
        <v>2562</v>
      </c>
      <c r="BN165" s="22" t="s">
        <v>444</v>
      </c>
      <c r="BO165" s="49">
        <v>32500</v>
      </c>
      <c r="BP165" s="17" t="s">
        <v>96</v>
      </c>
      <c r="BQ165" s="17" t="s">
        <v>2548</v>
      </c>
      <c r="BR165" s="18" t="s">
        <v>153</v>
      </c>
      <c r="BS165" s="7" t="s">
        <v>154</v>
      </c>
      <c r="BT165" s="7" t="s">
        <v>2563</v>
      </c>
      <c r="BU165" s="7" t="s">
        <v>2564</v>
      </c>
      <c r="BV165" s="8" t="s">
        <v>2565</v>
      </c>
      <c r="BW165" s="23" t="s">
        <v>250</v>
      </c>
      <c r="BX165" s="24" t="s">
        <v>2566</v>
      </c>
      <c r="BY165" s="21" t="s">
        <v>162</v>
      </c>
      <c r="BZ165" s="21" t="s">
        <v>127</v>
      </c>
      <c r="CA165" s="21"/>
      <c r="CB165" s="21"/>
      <c r="CC165" s="21" t="s">
        <v>127</v>
      </c>
      <c r="CD165" s="21"/>
      <c r="CE165" s="21" t="s">
        <v>127</v>
      </c>
      <c r="CF165" s="21"/>
      <c r="CG165" s="21" t="s">
        <v>127</v>
      </c>
      <c r="CH165" s="21" t="s">
        <v>127</v>
      </c>
      <c r="CI165" s="21" t="s">
        <v>127</v>
      </c>
      <c r="CJ165" s="21" t="s">
        <v>127</v>
      </c>
      <c r="CK165" s="21" t="s">
        <v>108</v>
      </c>
      <c r="CL165" s="21" t="s">
        <v>127</v>
      </c>
      <c r="CM165" s="114"/>
      <c r="CN165" s="114"/>
      <c r="CO165" s="114"/>
      <c r="CP165" s="115"/>
    </row>
    <row r="166" spans="1:94" s="27" customFormat="1" ht="23.25" customHeight="1">
      <c r="A166" s="4">
        <v>62</v>
      </c>
      <c r="B166" s="6"/>
      <c r="C166" s="6"/>
      <c r="D166" s="6"/>
      <c r="E166" s="6"/>
      <c r="F166" s="6"/>
      <c r="G166" s="6"/>
      <c r="H166" s="5"/>
      <c r="I166" s="7" t="s">
        <v>2452</v>
      </c>
      <c r="J166" s="7" t="s">
        <v>2647</v>
      </c>
      <c r="K166" s="7" t="s">
        <v>2648</v>
      </c>
      <c r="L166" s="5"/>
      <c r="M166" s="5">
        <v>2092</v>
      </c>
      <c r="N166" s="9">
        <v>3199787036</v>
      </c>
      <c r="O166" s="9" t="s">
        <v>11577</v>
      </c>
      <c r="P166" s="10" t="s">
        <v>2649</v>
      </c>
      <c r="Q166" s="389" t="s">
        <v>2650</v>
      </c>
      <c r="R166" s="8" t="s">
        <v>2450</v>
      </c>
      <c r="S166" s="212" t="s">
        <v>12140</v>
      </c>
      <c r="T166" s="8" t="s">
        <v>1341</v>
      </c>
      <c r="U166" s="11" t="s">
        <v>172</v>
      </c>
      <c r="V166" s="12" t="s">
        <v>603</v>
      </c>
      <c r="W166" s="13">
        <v>43578</v>
      </c>
      <c r="X166" s="13" t="str">
        <f t="shared" ca="1" si="1"/>
        <v>7 Th, 4 Bln</v>
      </c>
      <c r="Y166" s="5" t="s">
        <v>95</v>
      </c>
      <c r="Z166" s="14" t="s">
        <v>108</v>
      </c>
      <c r="AA166" s="5" t="s">
        <v>96</v>
      </c>
      <c r="AB166" s="5" t="s">
        <v>97</v>
      </c>
      <c r="AC166" s="7" t="s">
        <v>567</v>
      </c>
      <c r="AD166" s="131">
        <v>2</v>
      </c>
      <c r="AE166" s="131">
        <v>2</v>
      </c>
      <c r="AF166" s="7" t="s">
        <v>178</v>
      </c>
      <c r="AG166" s="7" t="s">
        <v>178</v>
      </c>
      <c r="AH166" s="7" t="s">
        <v>178</v>
      </c>
      <c r="AI166" s="7">
        <v>65142</v>
      </c>
      <c r="AJ166" s="7" t="s">
        <v>103</v>
      </c>
      <c r="AK166" s="7" t="s">
        <v>104</v>
      </c>
      <c r="AL166" s="7" t="s">
        <v>1128</v>
      </c>
      <c r="AM166" s="15" t="s">
        <v>2651</v>
      </c>
      <c r="AN166" s="15" t="s">
        <v>2651</v>
      </c>
      <c r="AO166" s="8">
        <v>1</v>
      </c>
      <c r="AP166" s="8" t="s">
        <v>146</v>
      </c>
      <c r="AQ166" s="8" t="s">
        <v>2652</v>
      </c>
      <c r="AR166" s="8" t="s">
        <v>147</v>
      </c>
      <c r="AS166" s="132" t="s">
        <v>2461</v>
      </c>
      <c r="AT166" s="131" t="s">
        <v>2483</v>
      </c>
      <c r="AU166" s="132" t="s">
        <v>111</v>
      </c>
      <c r="AV166" s="16" t="s">
        <v>112</v>
      </c>
      <c r="AW166" s="56"/>
      <c r="AX166" s="56" t="s">
        <v>2653</v>
      </c>
      <c r="AY166" s="56" t="s">
        <v>2654</v>
      </c>
      <c r="AZ166" s="7" t="s">
        <v>2655</v>
      </c>
      <c r="BA166" s="10" t="s">
        <v>603</v>
      </c>
      <c r="BB166" s="52">
        <v>34272</v>
      </c>
      <c r="BC166" s="17" t="s">
        <v>96</v>
      </c>
      <c r="BD166" s="17" t="s">
        <v>2656</v>
      </c>
      <c r="BE166" s="18" t="s">
        <v>118</v>
      </c>
      <c r="BF166" s="7" t="s">
        <v>195</v>
      </c>
      <c r="BG166" s="7" t="s">
        <v>2657</v>
      </c>
      <c r="BH166" s="7" t="s">
        <v>2658</v>
      </c>
      <c r="BI166" s="7" t="s">
        <v>2656</v>
      </c>
      <c r="BJ166" s="19" t="s">
        <v>2659</v>
      </c>
      <c r="BK166" s="20" t="s">
        <v>2660</v>
      </c>
      <c r="BL166" s="58" t="s">
        <v>2661</v>
      </c>
      <c r="BM166" s="7" t="s">
        <v>2662</v>
      </c>
      <c r="BN166" s="22" t="s">
        <v>603</v>
      </c>
      <c r="BO166" s="49">
        <v>36210</v>
      </c>
      <c r="BP166" s="17" t="s">
        <v>96</v>
      </c>
      <c r="BQ166" s="17" t="s">
        <v>2663</v>
      </c>
      <c r="BR166" s="18" t="s">
        <v>216</v>
      </c>
      <c r="BS166" s="7" t="s">
        <v>126</v>
      </c>
      <c r="BT166" s="7" t="s">
        <v>126</v>
      </c>
      <c r="BU166" s="7" t="s">
        <v>2664</v>
      </c>
      <c r="BV166" s="8" t="s">
        <v>2651</v>
      </c>
      <c r="BW166" s="23">
        <v>0</v>
      </c>
      <c r="BX166" s="24" t="s">
        <v>2665</v>
      </c>
      <c r="BY166" s="21" t="s">
        <v>2666</v>
      </c>
      <c r="BZ166" s="21" t="s">
        <v>603</v>
      </c>
      <c r="CA166" s="21">
        <v>36210</v>
      </c>
      <c r="CB166" s="21"/>
      <c r="CC166" s="21" t="s">
        <v>2651</v>
      </c>
      <c r="CD166" s="21" t="s">
        <v>216</v>
      </c>
      <c r="CE166" s="21" t="s">
        <v>4753</v>
      </c>
      <c r="CF166" s="21" t="s">
        <v>96</v>
      </c>
      <c r="CG166" s="21" t="s">
        <v>567</v>
      </c>
      <c r="CH166" s="21">
        <v>2</v>
      </c>
      <c r="CI166" s="21">
        <v>2</v>
      </c>
      <c r="CJ166" s="21" t="s">
        <v>547</v>
      </c>
      <c r="CK166" s="21" t="s">
        <v>547</v>
      </c>
      <c r="CL166" s="21" t="s">
        <v>94</v>
      </c>
      <c r="CM166" s="25"/>
      <c r="CN166" s="25"/>
      <c r="CO166" s="25"/>
      <c r="CP166" s="26"/>
    </row>
    <row r="167" spans="1:94" s="27" customFormat="1" ht="23.25" customHeight="1">
      <c r="A167" s="4">
        <v>63</v>
      </c>
      <c r="B167" s="28"/>
      <c r="C167" s="28"/>
      <c r="D167" s="28"/>
      <c r="E167" s="28"/>
      <c r="F167" s="28"/>
      <c r="G167" s="28"/>
      <c r="H167" s="29"/>
      <c r="I167" s="30" t="s">
        <v>2452</v>
      </c>
      <c r="J167" s="30" t="s">
        <v>166</v>
      </c>
      <c r="K167" s="30" t="s">
        <v>312</v>
      </c>
      <c r="L167" s="29"/>
      <c r="M167" s="29">
        <v>2097</v>
      </c>
      <c r="N167" s="92">
        <v>3188325913</v>
      </c>
      <c r="O167" s="92" t="s">
        <v>11578</v>
      </c>
      <c r="P167" s="32" t="s">
        <v>2755</v>
      </c>
      <c r="Q167" s="390" t="s">
        <v>2756</v>
      </c>
      <c r="R167" s="8" t="s">
        <v>2450</v>
      </c>
      <c r="S167" s="212" t="s">
        <v>12140</v>
      </c>
      <c r="T167" s="31" t="s">
        <v>2757</v>
      </c>
      <c r="U167" s="33" t="s">
        <v>93</v>
      </c>
      <c r="V167" s="34" t="s">
        <v>94</v>
      </c>
      <c r="W167" s="35">
        <v>43410</v>
      </c>
      <c r="X167" s="35" t="str">
        <f t="shared" ca="1" si="1"/>
        <v>7 Th, 10 Bln</v>
      </c>
      <c r="Y167" s="29" t="s">
        <v>425</v>
      </c>
      <c r="Z167" s="36" t="s">
        <v>2758</v>
      </c>
      <c r="AA167" s="29" t="s">
        <v>96</v>
      </c>
      <c r="AB167" s="29" t="s">
        <v>97</v>
      </c>
      <c r="AC167" s="30" t="s">
        <v>2759</v>
      </c>
      <c r="AD167" s="129" t="s">
        <v>99</v>
      </c>
      <c r="AE167" s="129">
        <v>12</v>
      </c>
      <c r="AF167" s="30" t="s">
        <v>615</v>
      </c>
      <c r="AG167" s="30" t="s">
        <v>178</v>
      </c>
      <c r="AH167" s="30" t="s">
        <v>178</v>
      </c>
      <c r="AI167" s="30">
        <v>65141</v>
      </c>
      <c r="AJ167" s="30" t="s">
        <v>94</v>
      </c>
      <c r="AK167" s="30" t="s">
        <v>179</v>
      </c>
      <c r="AL167" s="30" t="s">
        <v>461</v>
      </c>
      <c r="AM167" s="37" t="s">
        <v>2760</v>
      </c>
      <c r="AN167" s="37" t="s">
        <v>2761</v>
      </c>
      <c r="AO167" s="31">
        <v>1</v>
      </c>
      <c r="AP167" s="31" t="s">
        <v>146</v>
      </c>
      <c r="AQ167" s="31" t="s">
        <v>108</v>
      </c>
      <c r="AR167" s="31" t="s">
        <v>108</v>
      </c>
      <c r="AS167" s="130" t="s">
        <v>2762</v>
      </c>
      <c r="AT167" s="129" t="s">
        <v>2763</v>
      </c>
      <c r="AU167" s="130" t="s">
        <v>111</v>
      </c>
      <c r="AV167" s="38" t="s">
        <v>112</v>
      </c>
      <c r="AW167" s="123"/>
      <c r="AX167" s="123" t="s">
        <v>114</v>
      </c>
      <c r="AY167" s="123" t="s">
        <v>2764</v>
      </c>
      <c r="AZ167" s="30" t="s">
        <v>2765</v>
      </c>
      <c r="BA167" s="32" t="s">
        <v>2631</v>
      </c>
      <c r="BB167" s="53">
        <v>32676</v>
      </c>
      <c r="BC167" s="39" t="s">
        <v>96</v>
      </c>
      <c r="BD167" s="39" t="s">
        <v>2766</v>
      </c>
      <c r="BE167" s="40" t="s">
        <v>118</v>
      </c>
      <c r="BF167" s="30" t="s">
        <v>471</v>
      </c>
      <c r="BG167" s="30" t="s">
        <v>2767</v>
      </c>
      <c r="BH167" s="30" t="s">
        <v>2768</v>
      </c>
      <c r="BI167" s="30"/>
      <c r="BJ167" s="41" t="s">
        <v>2060</v>
      </c>
      <c r="BK167" s="111" t="s">
        <v>2769</v>
      </c>
      <c r="BL167" s="124" t="s">
        <v>2770</v>
      </c>
      <c r="BM167" s="30" t="s">
        <v>2771</v>
      </c>
      <c r="BN167" s="125" t="s">
        <v>519</v>
      </c>
      <c r="BO167" s="50">
        <v>32835</v>
      </c>
      <c r="BP167" s="39" t="s">
        <v>96</v>
      </c>
      <c r="BQ167" s="39" t="s">
        <v>2761</v>
      </c>
      <c r="BR167" s="40" t="s">
        <v>153</v>
      </c>
      <c r="BS167" s="30" t="s">
        <v>247</v>
      </c>
      <c r="BT167" s="30" t="s">
        <v>2772</v>
      </c>
      <c r="BU167" s="30" t="s">
        <v>2773</v>
      </c>
      <c r="BV167" s="31" t="s">
        <v>108</v>
      </c>
      <c r="BW167" s="126" t="s">
        <v>2060</v>
      </c>
      <c r="BX167" s="127" t="s">
        <v>2774</v>
      </c>
      <c r="BY167" s="47" t="s">
        <v>108</v>
      </c>
      <c r="BZ167" s="47" t="s">
        <v>108</v>
      </c>
      <c r="CA167" s="47"/>
      <c r="CB167" s="47"/>
      <c r="CC167" s="47"/>
      <c r="CD167" s="47"/>
      <c r="CE167" s="47" t="s">
        <v>108</v>
      </c>
      <c r="CF167" s="47"/>
      <c r="CG167" s="47" t="s">
        <v>108</v>
      </c>
      <c r="CH167" s="47"/>
      <c r="CI167" s="47"/>
      <c r="CJ167" s="47" t="s">
        <v>108</v>
      </c>
      <c r="CK167" s="47" t="s">
        <v>108</v>
      </c>
      <c r="CL167" s="47" t="s">
        <v>108</v>
      </c>
      <c r="CM167" s="25"/>
      <c r="CN167" s="25"/>
      <c r="CO167" s="25"/>
      <c r="CP167" s="26"/>
    </row>
    <row r="168" spans="1:94" s="27" customFormat="1" ht="23.25" customHeight="1">
      <c r="A168" s="4">
        <v>64</v>
      </c>
      <c r="B168" s="6"/>
      <c r="C168" s="6"/>
      <c r="D168" s="6"/>
      <c r="E168" s="6"/>
      <c r="F168" s="6"/>
      <c r="G168" s="6"/>
      <c r="H168" s="5"/>
      <c r="I168" s="7" t="s">
        <v>86</v>
      </c>
      <c r="J168" s="7" t="s">
        <v>166</v>
      </c>
      <c r="K168" s="7" t="s">
        <v>2775</v>
      </c>
      <c r="L168" s="5"/>
      <c r="M168" s="5">
        <v>2098</v>
      </c>
      <c r="N168" s="9">
        <v>3184680858</v>
      </c>
      <c r="O168" s="9" t="s">
        <v>11579</v>
      </c>
      <c r="P168" s="10" t="s">
        <v>2776</v>
      </c>
      <c r="Q168" s="389" t="s">
        <v>2777</v>
      </c>
      <c r="R168" s="8" t="s">
        <v>2450</v>
      </c>
      <c r="S168" s="212" t="s">
        <v>12140</v>
      </c>
      <c r="T168" s="8" t="s">
        <v>2757</v>
      </c>
      <c r="U168" s="11" t="s">
        <v>93</v>
      </c>
      <c r="V168" s="12" t="s">
        <v>94</v>
      </c>
      <c r="W168" s="13">
        <v>43409</v>
      </c>
      <c r="X168" s="13" t="str">
        <f t="shared" ca="1" si="1"/>
        <v>7 Th, 10 Bln</v>
      </c>
      <c r="Y168" s="5" t="s">
        <v>95</v>
      </c>
      <c r="Z168" s="14" t="s">
        <v>108</v>
      </c>
      <c r="AA168" s="5" t="s">
        <v>96</v>
      </c>
      <c r="AB168" s="5" t="s">
        <v>97</v>
      </c>
      <c r="AC168" s="7" t="s">
        <v>2778</v>
      </c>
      <c r="AD168" s="131" t="s">
        <v>827</v>
      </c>
      <c r="AE168" s="131" t="s">
        <v>967</v>
      </c>
      <c r="AF168" s="7" t="s">
        <v>891</v>
      </c>
      <c r="AG168" s="7" t="s">
        <v>178</v>
      </c>
      <c r="AH168" s="7" t="s">
        <v>178</v>
      </c>
      <c r="AI168" s="7"/>
      <c r="AJ168" s="7" t="s">
        <v>103</v>
      </c>
      <c r="AK168" s="7" t="s">
        <v>104</v>
      </c>
      <c r="AL168" s="7" t="s">
        <v>665</v>
      </c>
      <c r="AM168" s="15" t="s">
        <v>127</v>
      </c>
      <c r="AN168" s="15" t="s">
        <v>127</v>
      </c>
      <c r="AO168" s="8">
        <v>1</v>
      </c>
      <c r="AP168" s="8" t="s">
        <v>146</v>
      </c>
      <c r="AQ168" s="8" t="s">
        <v>108</v>
      </c>
      <c r="AR168" s="8" t="s">
        <v>108</v>
      </c>
      <c r="AS168" s="132" t="s">
        <v>2779</v>
      </c>
      <c r="AT168" s="131" t="s">
        <v>2780</v>
      </c>
      <c r="AU168" s="132" t="s">
        <v>182</v>
      </c>
      <c r="AV168" s="16" t="s">
        <v>112</v>
      </c>
      <c r="AW168" s="56"/>
      <c r="AX168" s="56" t="s">
        <v>183</v>
      </c>
      <c r="AY168" s="56" t="s">
        <v>2781</v>
      </c>
      <c r="AZ168" s="7" t="s">
        <v>2782</v>
      </c>
      <c r="BA168" s="10" t="s">
        <v>2783</v>
      </c>
      <c r="BB168" s="52">
        <v>33824</v>
      </c>
      <c r="BC168" s="17" t="s">
        <v>96</v>
      </c>
      <c r="BD168" s="17" t="s">
        <v>2784</v>
      </c>
      <c r="BE168" s="18" t="s">
        <v>118</v>
      </c>
      <c r="BF168" s="7" t="s">
        <v>276</v>
      </c>
      <c r="BG168" s="7" t="s">
        <v>2785</v>
      </c>
      <c r="BH168" s="7" t="s">
        <v>2786</v>
      </c>
      <c r="BI168" s="7" t="s">
        <v>2787</v>
      </c>
      <c r="BJ168" s="19" t="s">
        <v>2788</v>
      </c>
      <c r="BK168" s="20" t="s">
        <v>2789</v>
      </c>
      <c r="BL168" s="58" t="s">
        <v>2790</v>
      </c>
      <c r="BM168" s="7" t="s">
        <v>2791</v>
      </c>
      <c r="BN168" s="22" t="s">
        <v>94</v>
      </c>
      <c r="BO168" s="49">
        <v>34095</v>
      </c>
      <c r="BP168" s="17" t="s">
        <v>96</v>
      </c>
      <c r="BQ168" s="17" t="s">
        <v>2792</v>
      </c>
      <c r="BR168" s="18" t="s">
        <v>118</v>
      </c>
      <c r="BS168" s="7" t="s">
        <v>126</v>
      </c>
      <c r="BT168" s="7" t="s">
        <v>127</v>
      </c>
      <c r="BU168" s="7" t="s">
        <v>127</v>
      </c>
      <c r="BV168" s="8" t="s">
        <v>127</v>
      </c>
      <c r="BW168" s="23" t="s">
        <v>127</v>
      </c>
      <c r="BX168" s="24" t="s">
        <v>2793</v>
      </c>
      <c r="BY168" s="21" t="s">
        <v>108</v>
      </c>
      <c r="BZ168" s="21" t="s">
        <v>108</v>
      </c>
      <c r="CA168" s="21"/>
      <c r="CB168" s="21"/>
      <c r="CC168" s="21"/>
      <c r="CD168" s="21"/>
      <c r="CE168" s="21" t="s">
        <v>108</v>
      </c>
      <c r="CF168" s="21"/>
      <c r="CG168" s="21" t="s">
        <v>108</v>
      </c>
      <c r="CH168" s="21"/>
      <c r="CI168" s="21"/>
      <c r="CJ168" s="21" t="s">
        <v>108</v>
      </c>
      <c r="CK168" s="21" t="s">
        <v>108</v>
      </c>
      <c r="CL168" s="21" t="s">
        <v>108</v>
      </c>
      <c r="CM168" s="25"/>
      <c r="CN168" s="25"/>
      <c r="CO168" s="25"/>
      <c r="CP168" s="26"/>
    </row>
    <row r="169" spans="1:94" s="27" customFormat="1" ht="23.25" customHeight="1">
      <c r="A169" s="4">
        <v>65</v>
      </c>
      <c r="B169" s="6"/>
      <c r="C169" s="6"/>
      <c r="D169" s="6"/>
      <c r="E169" s="6"/>
      <c r="F169" s="6"/>
      <c r="G169" s="6"/>
      <c r="H169" s="5"/>
      <c r="I169" s="7" t="s">
        <v>2452</v>
      </c>
      <c r="J169" s="7" t="s">
        <v>747</v>
      </c>
      <c r="K169" s="7" t="s">
        <v>437</v>
      </c>
      <c r="L169" s="5"/>
      <c r="M169" s="5">
        <v>2103</v>
      </c>
      <c r="N169" s="9">
        <v>3195906327</v>
      </c>
      <c r="O169" s="9" t="s">
        <v>5225</v>
      </c>
      <c r="P169" s="10" t="s">
        <v>2888</v>
      </c>
      <c r="Q169" s="389" t="s">
        <v>2889</v>
      </c>
      <c r="R169" s="8" t="s">
        <v>2450</v>
      </c>
      <c r="S169" s="212" t="s">
        <v>12140</v>
      </c>
      <c r="T169" s="8" t="s">
        <v>2890</v>
      </c>
      <c r="U169" s="11" t="s">
        <v>93</v>
      </c>
      <c r="V169" s="12" t="s">
        <v>222</v>
      </c>
      <c r="W169" s="13">
        <v>43626</v>
      </c>
      <c r="X169" s="13" t="str">
        <f t="shared" ref="X169:X199" ca="1" si="2">""&amp;DATEDIF(W169,TODAY(),"y")&amp;" Th, "&amp;DATEDIF(W169,TODAY(),"ym")&amp;" Bln"</f>
        <v>7 Th, 3 Bln</v>
      </c>
      <c r="Y169" s="5" t="s">
        <v>95</v>
      </c>
      <c r="Z169" s="14" t="s">
        <v>108</v>
      </c>
      <c r="AA169" s="5" t="s">
        <v>96</v>
      </c>
      <c r="AB169" s="5" t="s">
        <v>97</v>
      </c>
      <c r="AC169" s="7" t="s">
        <v>2891</v>
      </c>
      <c r="AD169" s="131" t="s">
        <v>2892</v>
      </c>
      <c r="AE169" s="131" t="s">
        <v>2892</v>
      </c>
      <c r="AF169" s="7" t="s">
        <v>942</v>
      </c>
      <c r="AG169" s="7" t="s">
        <v>178</v>
      </c>
      <c r="AH169" s="7" t="s">
        <v>178</v>
      </c>
      <c r="AI169" s="7">
        <v>65143</v>
      </c>
      <c r="AJ169" s="7" t="s">
        <v>94</v>
      </c>
      <c r="AK169" s="7" t="s">
        <v>386</v>
      </c>
      <c r="AL169" s="7" t="s">
        <v>708</v>
      </c>
      <c r="AM169" s="15" t="s">
        <v>2893</v>
      </c>
      <c r="AN169" s="15" t="s">
        <v>2893</v>
      </c>
      <c r="AO169" s="8">
        <v>2</v>
      </c>
      <c r="AP169" s="8" t="s">
        <v>146</v>
      </c>
      <c r="AQ169" s="8" t="s">
        <v>108</v>
      </c>
      <c r="AR169" s="8" t="s">
        <v>108</v>
      </c>
      <c r="AS169" s="132" t="s">
        <v>2461</v>
      </c>
      <c r="AT169" s="131" t="s">
        <v>2894</v>
      </c>
      <c r="AU169" s="132" t="s">
        <v>182</v>
      </c>
      <c r="AV169" s="16" t="s">
        <v>112</v>
      </c>
      <c r="AW169" s="56"/>
      <c r="AX169" s="56" t="s">
        <v>183</v>
      </c>
      <c r="AY169" s="56" t="s">
        <v>2895</v>
      </c>
      <c r="AZ169" s="7" t="s">
        <v>2896</v>
      </c>
      <c r="BA169" s="10" t="s">
        <v>222</v>
      </c>
      <c r="BB169" s="52">
        <v>33699</v>
      </c>
      <c r="BC169" s="17" t="s">
        <v>96</v>
      </c>
      <c r="BD169" s="17" t="s">
        <v>2897</v>
      </c>
      <c r="BE169" s="18" t="s">
        <v>118</v>
      </c>
      <c r="BF169" s="7" t="s">
        <v>276</v>
      </c>
      <c r="BG169" s="7" t="s">
        <v>2898</v>
      </c>
      <c r="BH169" s="7" t="s">
        <v>2899</v>
      </c>
      <c r="BI169" s="7"/>
      <c r="BJ169" s="19" t="s">
        <v>122</v>
      </c>
      <c r="BK169" s="20" t="s">
        <v>2900</v>
      </c>
      <c r="BL169" s="58" t="s">
        <v>2901</v>
      </c>
      <c r="BM169" s="7" t="s">
        <v>2902</v>
      </c>
      <c r="BN169" s="22" t="s">
        <v>971</v>
      </c>
      <c r="BO169" s="49">
        <v>33770</v>
      </c>
      <c r="BP169" s="17" t="s">
        <v>96</v>
      </c>
      <c r="BQ169" s="17" t="s">
        <v>2893</v>
      </c>
      <c r="BR169" s="18" t="s">
        <v>118</v>
      </c>
      <c r="BS169" s="7" t="s">
        <v>126</v>
      </c>
      <c r="BT169" s="7" t="s">
        <v>2903</v>
      </c>
      <c r="BU169" s="7" t="s">
        <v>94</v>
      </c>
      <c r="BV169" s="8" t="s">
        <v>108</v>
      </c>
      <c r="BW169" s="23" t="s">
        <v>122</v>
      </c>
      <c r="BX169" s="24" t="s">
        <v>2904</v>
      </c>
      <c r="BY169" s="21" t="s">
        <v>108</v>
      </c>
      <c r="BZ169" s="21" t="s">
        <v>108</v>
      </c>
      <c r="CA169" s="21"/>
      <c r="CB169" s="21"/>
      <c r="CC169" s="21"/>
      <c r="CD169" s="21"/>
      <c r="CE169" s="21" t="s">
        <v>108</v>
      </c>
      <c r="CF169" s="21"/>
      <c r="CG169" s="21" t="s">
        <v>108</v>
      </c>
      <c r="CH169" s="21"/>
      <c r="CI169" s="21"/>
      <c r="CJ169" s="21" t="s">
        <v>108</v>
      </c>
      <c r="CK169" s="21" t="s">
        <v>108</v>
      </c>
      <c r="CL169" s="21" t="s">
        <v>108</v>
      </c>
      <c r="CM169" s="25"/>
      <c r="CN169" s="25"/>
      <c r="CO169" s="25"/>
      <c r="CP169" s="26"/>
    </row>
    <row r="170" spans="1:94" s="27" customFormat="1" ht="23.25" customHeight="1">
      <c r="A170" s="4">
        <v>66</v>
      </c>
      <c r="B170" s="6"/>
      <c r="C170" s="6"/>
      <c r="D170" s="6"/>
      <c r="E170" s="6"/>
      <c r="F170" s="6"/>
      <c r="G170" s="6"/>
      <c r="H170" s="5"/>
      <c r="I170" s="7" t="s">
        <v>86</v>
      </c>
      <c r="J170" s="7" t="s">
        <v>257</v>
      </c>
      <c r="K170" s="7" t="s">
        <v>2950</v>
      </c>
      <c r="L170" s="5"/>
      <c r="M170" s="5">
        <v>2107</v>
      </c>
      <c r="N170" s="9">
        <v>3197331360</v>
      </c>
      <c r="O170" s="9" t="s">
        <v>11580</v>
      </c>
      <c r="P170" s="10" t="s">
        <v>2951</v>
      </c>
      <c r="Q170" s="389" t="s">
        <v>2952</v>
      </c>
      <c r="R170" s="8" t="s">
        <v>2450</v>
      </c>
      <c r="S170" s="212" t="s">
        <v>12140</v>
      </c>
      <c r="T170" s="8" t="s">
        <v>2953</v>
      </c>
      <c r="U170" s="11" t="s">
        <v>172</v>
      </c>
      <c r="V170" s="12" t="s">
        <v>444</v>
      </c>
      <c r="W170" s="13">
        <v>43505</v>
      </c>
      <c r="X170" s="13" t="str">
        <f t="shared" ca="1" si="2"/>
        <v>7 Th, 7 Bln</v>
      </c>
      <c r="Y170" s="5" t="s">
        <v>95</v>
      </c>
      <c r="Z170" s="14" t="s">
        <v>108</v>
      </c>
      <c r="AA170" s="5" t="s">
        <v>96</v>
      </c>
      <c r="AB170" s="5" t="s">
        <v>97</v>
      </c>
      <c r="AC170" s="7" t="s">
        <v>2954</v>
      </c>
      <c r="AD170" s="131" t="s">
        <v>175</v>
      </c>
      <c r="AE170" s="131" t="s">
        <v>265</v>
      </c>
      <c r="AF170" s="7" t="s">
        <v>177</v>
      </c>
      <c r="AG170" s="7" t="s">
        <v>178</v>
      </c>
      <c r="AH170" s="7" t="s">
        <v>178</v>
      </c>
      <c r="AI170" s="7"/>
      <c r="AJ170" s="7" t="s">
        <v>103</v>
      </c>
      <c r="AK170" s="7" t="s">
        <v>104</v>
      </c>
      <c r="AL170" s="7" t="s">
        <v>2955</v>
      </c>
      <c r="AM170" s="15" t="s">
        <v>2956</v>
      </c>
      <c r="AN170" s="15" t="s">
        <v>2957</v>
      </c>
      <c r="AO170" s="8">
        <v>1</v>
      </c>
      <c r="AP170" s="8" t="s">
        <v>147</v>
      </c>
      <c r="AQ170" s="8" t="s">
        <v>108</v>
      </c>
      <c r="AR170" s="8" t="s">
        <v>108</v>
      </c>
      <c r="AS170" s="132" t="s">
        <v>2958</v>
      </c>
      <c r="AT170" s="131" t="s">
        <v>801</v>
      </c>
      <c r="AU170" s="132" t="s">
        <v>111</v>
      </c>
      <c r="AV170" s="16" t="s">
        <v>212</v>
      </c>
      <c r="AW170" s="56"/>
      <c r="AX170" s="56" t="s">
        <v>114</v>
      </c>
      <c r="AY170" s="56" t="s">
        <v>2959</v>
      </c>
      <c r="AZ170" s="7" t="s">
        <v>2960</v>
      </c>
      <c r="BA170" s="10" t="s">
        <v>2961</v>
      </c>
      <c r="BB170" s="52">
        <v>31177</v>
      </c>
      <c r="BC170" s="17" t="s">
        <v>96</v>
      </c>
      <c r="BD170" s="17" t="s">
        <v>2956</v>
      </c>
      <c r="BE170" s="18" t="s">
        <v>118</v>
      </c>
      <c r="BF170" s="7" t="s">
        <v>2962</v>
      </c>
      <c r="BG170" s="7" t="s">
        <v>2963</v>
      </c>
      <c r="BH170" s="7" t="s">
        <v>2964</v>
      </c>
      <c r="BI170" s="7" t="s">
        <v>2965</v>
      </c>
      <c r="BJ170" s="19" t="s">
        <v>2966</v>
      </c>
      <c r="BK170" s="20" t="s">
        <v>2967</v>
      </c>
      <c r="BL170" s="58" t="s">
        <v>2968</v>
      </c>
      <c r="BM170" s="7" t="s">
        <v>2969</v>
      </c>
      <c r="BN170" s="22" t="s">
        <v>444</v>
      </c>
      <c r="BO170" s="49">
        <v>31553</v>
      </c>
      <c r="BP170" s="17" t="s">
        <v>96</v>
      </c>
      <c r="BQ170" s="17" t="s">
        <v>2957</v>
      </c>
      <c r="BR170" s="18" t="s">
        <v>153</v>
      </c>
      <c r="BS170" s="7" t="s">
        <v>126</v>
      </c>
      <c r="BT170" s="7" t="s">
        <v>127</v>
      </c>
      <c r="BU170" s="7" t="s">
        <v>127</v>
      </c>
      <c r="BV170" s="8" t="s">
        <v>127</v>
      </c>
      <c r="BW170" s="23" t="s">
        <v>127</v>
      </c>
      <c r="BX170" s="24" t="s">
        <v>2970</v>
      </c>
      <c r="BY170" s="21" t="s">
        <v>108</v>
      </c>
      <c r="BZ170" s="21" t="s">
        <v>108</v>
      </c>
      <c r="CA170" s="21"/>
      <c r="CB170" s="21"/>
      <c r="CC170" s="21"/>
      <c r="CD170" s="21"/>
      <c r="CE170" s="21" t="s">
        <v>108</v>
      </c>
      <c r="CF170" s="21"/>
      <c r="CG170" s="21" t="s">
        <v>108</v>
      </c>
      <c r="CH170" s="21"/>
      <c r="CI170" s="21"/>
      <c r="CJ170" s="21" t="s">
        <v>108</v>
      </c>
      <c r="CK170" s="21" t="s">
        <v>108</v>
      </c>
      <c r="CL170" s="21" t="s">
        <v>108</v>
      </c>
      <c r="CM170" s="25"/>
      <c r="CN170" s="25"/>
      <c r="CO170" s="25"/>
      <c r="CP170" s="26"/>
    </row>
    <row r="171" spans="1:94" s="27" customFormat="1" ht="23.25" customHeight="1">
      <c r="A171" s="4">
        <v>67</v>
      </c>
      <c r="B171" s="6"/>
      <c r="C171" s="6"/>
      <c r="D171" s="6"/>
      <c r="E171" s="6"/>
      <c r="F171" s="6"/>
      <c r="G171" s="6"/>
      <c r="H171" s="5"/>
      <c r="I171" s="7" t="s">
        <v>2452</v>
      </c>
      <c r="J171" s="7" t="s">
        <v>2994</v>
      </c>
      <c r="K171" s="7" t="s">
        <v>2995</v>
      </c>
      <c r="L171" s="5"/>
      <c r="M171" s="5">
        <v>2109</v>
      </c>
      <c r="N171" s="9">
        <v>3189577920</v>
      </c>
      <c r="O171" s="9" t="s">
        <v>5792</v>
      </c>
      <c r="P171" s="10" t="s">
        <v>2996</v>
      </c>
      <c r="Q171" s="389" t="s">
        <v>2997</v>
      </c>
      <c r="R171" s="8" t="s">
        <v>2450</v>
      </c>
      <c r="S171" s="212" t="s">
        <v>12140</v>
      </c>
      <c r="T171" s="8" t="s">
        <v>2998</v>
      </c>
      <c r="U171" s="11" t="s">
        <v>93</v>
      </c>
      <c r="V171" s="12" t="s">
        <v>2999</v>
      </c>
      <c r="W171" s="13">
        <v>43270</v>
      </c>
      <c r="X171" s="13" t="str">
        <f t="shared" ca="1" si="2"/>
        <v>8 Th, 2 Bln</v>
      </c>
      <c r="Y171" s="5" t="s">
        <v>95</v>
      </c>
      <c r="Z171" s="14" t="s">
        <v>108</v>
      </c>
      <c r="AA171" s="5" t="s">
        <v>96</v>
      </c>
      <c r="AB171" s="5" t="s">
        <v>97</v>
      </c>
      <c r="AC171" s="7" t="s">
        <v>3000</v>
      </c>
      <c r="AD171" s="131" t="s">
        <v>137</v>
      </c>
      <c r="AE171" s="131">
        <v>12</v>
      </c>
      <c r="AF171" s="7" t="s">
        <v>686</v>
      </c>
      <c r="AG171" s="7" t="s">
        <v>687</v>
      </c>
      <c r="AH171" s="7" t="s">
        <v>141</v>
      </c>
      <c r="AI171" s="7">
        <v>65151</v>
      </c>
      <c r="AJ171" s="7" t="s">
        <v>94</v>
      </c>
      <c r="AK171" s="7" t="s">
        <v>386</v>
      </c>
      <c r="AL171" s="7" t="s">
        <v>1204</v>
      </c>
      <c r="AM171" s="15" t="s">
        <v>3001</v>
      </c>
      <c r="AN171" s="15" t="s">
        <v>3001</v>
      </c>
      <c r="AO171" s="8">
        <v>2</v>
      </c>
      <c r="AP171" s="8" t="s">
        <v>146</v>
      </c>
      <c r="AQ171" s="8" t="s">
        <v>147</v>
      </c>
      <c r="AR171" s="8" t="s">
        <v>147</v>
      </c>
      <c r="AS171" s="132" t="s">
        <v>2508</v>
      </c>
      <c r="AT171" s="131" t="s">
        <v>3002</v>
      </c>
      <c r="AU171" s="132" t="s">
        <v>182</v>
      </c>
      <c r="AV171" s="16" t="s">
        <v>112</v>
      </c>
      <c r="AW171" s="56"/>
      <c r="AX171" s="56" t="s">
        <v>114</v>
      </c>
      <c r="AY171" s="56" t="s">
        <v>3003</v>
      </c>
      <c r="AZ171" s="7" t="s">
        <v>3004</v>
      </c>
      <c r="BA171" s="10" t="s">
        <v>94</v>
      </c>
      <c r="BB171" s="52">
        <v>33081</v>
      </c>
      <c r="BC171" s="17" t="s">
        <v>96</v>
      </c>
      <c r="BD171" s="17" t="s">
        <v>3001</v>
      </c>
      <c r="BE171" s="18" t="s">
        <v>118</v>
      </c>
      <c r="BF171" s="7" t="s">
        <v>471</v>
      </c>
      <c r="BG171" s="7" t="s">
        <v>3005</v>
      </c>
      <c r="BH171" s="7" t="s">
        <v>3006</v>
      </c>
      <c r="BI171" s="7" t="s">
        <v>3007</v>
      </c>
      <c r="BJ171" s="19">
        <v>10000000</v>
      </c>
      <c r="BK171" s="20" t="s">
        <v>3008</v>
      </c>
      <c r="BL171" s="58" t="s">
        <v>3009</v>
      </c>
      <c r="BM171" s="7" t="s">
        <v>3010</v>
      </c>
      <c r="BN171" s="22" t="s">
        <v>537</v>
      </c>
      <c r="BO171" s="49">
        <v>32015</v>
      </c>
      <c r="BP171" s="17" t="s">
        <v>96</v>
      </c>
      <c r="BQ171" s="17" t="s">
        <v>3011</v>
      </c>
      <c r="BR171" s="18" t="s">
        <v>118</v>
      </c>
      <c r="BS171" s="7" t="s">
        <v>126</v>
      </c>
      <c r="BT171" s="7" t="s">
        <v>127</v>
      </c>
      <c r="BU171" s="7" t="s">
        <v>127</v>
      </c>
      <c r="BV171" s="8" t="s">
        <v>127</v>
      </c>
      <c r="BW171" s="23" t="s">
        <v>127</v>
      </c>
      <c r="BX171" s="24" t="s">
        <v>3012</v>
      </c>
      <c r="BY171" s="21" t="s">
        <v>3013</v>
      </c>
      <c r="BZ171" s="21" t="s">
        <v>94</v>
      </c>
      <c r="CA171" s="21">
        <v>34508</v>
      </c>
      <c r="CB171" s="21"/>
      <c r="CC171" s="21" t="s">
        <v>3014</v>
      </c>
      <c r="CD171" s="21" t="s">
        <v>216</v>
      </c>
      <c r="CE171" s="21" t="s">
        <v>2393</v>
      </c>
      <c r="CF171" s="21" t="s">
        <v>96</v>
      </c>
      <c r="CG171" s="21" t="s">
        <v>3015</v>
      </c>
      <c r="CH171" s="21" t="s">
        <v>384</v>
      </c>
      <c r="CI171" s="21" t="s">
        <v>137</v>
      </c>
      <c r="CJ171" s="21" t="s">
        <v>295</v>
      </c>
      <c r="CK171" s="21" t="s">
        <v>178</v>
      </c>
      <c r="CL171" s="21" t="s">
        <v>94</v>
      </c>
      <c r="CM171" s="25"/>
      <c r="CN171" s="25"/>
      <c r="CO171" s="25"/>
      <c r="CP171" s="26"/>
    </row>
    <row r="172" spans="1:94" s="27" customFormat="1" ht="23.25" customHeight="1">
      <c r="A172" s="4">
        <v>68</v>
      </c>
      <c r="B172" s="6"/>
      <c r="C172" s="6"/>
      <c r="D172" s="6"/>
      <c r="E172" s="6"/>
      <c r="F172" s="6"/>
      <c r="G172" s="6"/>
      <c r="H172" s="5"/>
      <c r="I172" s="7" t="s">
        <v>2452</v>
      </c>
      <c r="J172" s="7" t="s">
        <v>166</v>
      </c>
      <c r="K172" s="7" t="s">
        <v>312</v>
      </c>
      <c r="L172" s="5"/>
      <c r="M172" s="5">
        <v>2110</v>
      </c>
      <c r="N172" s="9">
        <v>3192340066</v>
      </c>
      <c r="O172" s="9" t="s">
        <v>11581</v>
      </c>
      <c r="P172" s="10" t="s">
        <v>3016</v>
      </c>
      <c r="Q172" s="389" t="s">
        <v>3017</v>
      </c>
      <c r="R172" s="8" t="s">
        <v>2450</v>
      </c>
      <c r="S172" s="212" t="s">
        <v>12140</v>
      </c>
      <c r="T172" s="8" t="s">
        <v>1022</v>
      </c>
      <c r="U172" s="11" t="s">
        <v>172</v>
      </c>
      <c r="V172" s="12" t="s">
        <v>94</v>
      </c>
      <c r="W172" s="13">
        <v>43575</v>
      </c>
      <c r="X172" s="13" t="str">
        <f t="shared" ca="1" si="2"/>
        <v>7 Th, 4 Bln</v>
      </c>
      <c r="Y172" s="5" t="s">
        <v>95</v>
      </c>
      <c r="Z172" s="14" t="s">
        <v>162</v>
      </c>
      <c r="AA172" s="5" t="s">
        <v>96</v>
      </c>
      <c r="AB172" s="5" t="s">
        <v>97</v>
      </c>
      <c r="AC172" s="7" t="s">
        <v>3018</v>
      </c>
      <c r="AD172" s="131" t="s">
        <v>137</v>
      </c>
      <c r="AE172" s="131" t="s">
        <v>207</v>
      </c>
      <c r="AF172" s="7" t="s">
        <v>319</v>
      </c>
      <c r="AG172" s="7" t="s">
        <v>140</v>
      </c>
      <c r="AH172" s="7" t="s">
        <v>141</v>
      </c>
      <c r="AI172" s="7">
        <v>65152</v>
      </c>
      <c r="AJ172" s="7" t="s">
        <v>94</v>
      </c>
      <c r="AK172" s="7" t="s">
        <v>104</v>
      </c>
      <c r="AL172" s="7" t="s">
        <v>1679</v>
      </c>
      <c r="AM172" s="15" t="s">
        <v>3019</v>
      </c>
      <c r="AN172" s="15" t="s">
        <v>3020</v>
      </c>
      <c r="AO172" s="8">
        <v>2</v>
      </c>
      <c r="AP172" s="8" t="s">
        <v>107</v>
      </c>
      <c r="AQ172" s="8" t="s">
        <v>162</v>
      </c>
      <c r="AR172" s="8" t="s">
        <v>162</v>
      </c>
      <c r="AS172" s="132" t="s">
        <v>3021</v>
      </c>
      <c r="AT172" s="131" t="s">
        <v>3022</v>
      </c>
      <c r="AU172" s="132" t="s">
        <v>111</v>
      </c>
      <c r="AV172" s="16" t="s">
        <v>112</v>
      </c>
      <c r="AW172" s="56"/>
      <c r="AX172" s="56" t="s">
        <v>114</v>
      </c>
      <c r="AY172" s="56" t="s">
        <v>3023</v>
      </c>
      <c r="AZ172" s="7" t="s">
        <v>3024</v>
      </c>
      <c r="BA172" s="10" t="s">
        <v>603</v>
      </c>
      <c r="BB172" s="52">
        <v>29512</v>
      </c>
      <c r="BC172" s="17" t="s">
        <v>96</v>
      </c>
      <c r="BD172" s="17" t="s">
        <v>3020</v>
      </c>
      <c r="BE172" s="18" t="s">
        <v>216</v>
      </c>
      <c r="BF172" s="7" t="s">
        <v>247</v>
      </c>
      <c r="BG172" s="7" t="s">
        <v>3025</v>
      </c>
      <c r="BH172" s="7" t="s">
        <v>3026</v>
      </c>
      <c r="BI172" s="7" t="s">
        <v>3019</v>
      </c>
      <c r="BJ172" s="19" t="s">
        <v>1727</v>
      </c>
      <c r="BK172" s="20" t="s">
        <v>3019</v>
      </c>
      <c r="BL172" s="58" t="s">
        <v>3027</v>
      </c>
      <c r="BM172" s="7" t="s">
        <v>3028</v>
      </c>
      <c r="BN172" s="22" t="s">
        <v>94</v>
      </c>
      <c r="BO172" s="49">
        <v>30759</v>
      </c>
      <c r="BP172" s="17" t="s">
        <v>96</v>
      </c>
      <c r="BQ172" s="17" t="s">
        <v>3020</v>
      </c>
      <c r="BR172" s="18" t="s">
        <v>216</v>
      </c>
      <c r="BS172" s="7" t="s">
        <v>126</v>
      </c>
      <c r="BT172" s="7" t="s">
        <v>3029</v>
      </c>
      <c r="BU172" s="7" t="s">
        <v>162</v>
      </c>
      <c r="BV172" s="8" t="s">
        <v>162</v>
      </c>
      <c r="BW172" s="23" t="s">
        <v>190</v>
      </c>
      <c r="BX172" s="24" t="s">
        <v>3030</v>
      </c>
      <c r="BY172" s="21" t="s">
        <v>3031</v>
      </c>
      <c r="BZ172" s="21" t="s">
        <v>395</v>
      </c>
      <c r="CA172" s="21">
        <v>29258</v>
      </c>
      <c r="CB172" s="21"/>
      <c r="CC172" s="21" t="s">
        <v>3032</v>
      </c>
      <c r="CD172" s="21" t="s">
        <v>216</v>
      </c>
      <c r="CE172" s="21" t="s">
        <v>126</v>
      </c>
      <c r="CF172" s="21" t="s">
        <v>96</v>
      </c>
      <c r="CG172" s="21" t="s">
        <v>139</v>
      </c>
      <c r="CH172" s="21" t="s">
        <v>318</v>
      </c>
      <c r="CI172" s="21">
        <v>11</v>
      </c>
      <c r="CJ172" s="21" t="s">
        <v>139</v>
      </c>
      <c r="CK172" s="21" t="s">
        <v>140</v>
      </c>
      <c r="CL172" s="21" t="s">
        <v>94</v>
      </c>
      <c r="CM172" s="25"/>
      <c r="CN172" s="25"/>
      <c r="CO172" s="25"/>
      <c r="CP172" s="26"/>
    </row>
    <row r="173" spans="1:94" s="27" customFormat="1" ht="23.25" customHeight="1">
      <c r="A173" s="4">
        <v>69</v>
      </c>
      <c r="B173" s="6"/>
      <c r="C173" s="6"/>
      <c r="D173" s="6"/>
      <c r="E173" s="6"/>
      <c r="F173" s="6"/>
      <c r="G173" s="6"/>
      <c r="H173" s="5"/>
      <c r="I173" s="7" t="s">
        <v>2452</v>
      </c>
      <c r="J173" s="7" t="s">
        <v>287</v>
      </c>
      <c r="K173" s="7" t="s">
        <v>3051</v>
      </c>
      <c r="L173" s="5"/>
      <c r="M173" s="5">
        <v>2112</v>
      </c>
      <c r="N173" s="9">
        <v>3182329838</v>
      </c>
      <c r="O173" s="9" t="s">
        <v>11582</v>
      </c>
      <c r="P173" s="10" t="s">
        <v>3052</v>
      </c>
      <c r="Q173" s="389" t="s">
        <v>3053</v>
      </c>
      <c r="R173" s="8" t="s">
        <v>2450</v>
      </c>
      <c r="S173" s="212" t="s">
        <v>12140</v>
      </c>
      <c r="T173" s="8" t="s">
        <v>3054</v>
      </c>
      <c r="U173" s="11" t="s">
        <v>172</v>
      </c>
      <c r="V173" s="12" t="s">
        <v>94</v>
      </c>
      <c r="W173" s="13">
        <v>43276</v>
      </c>
      <c r="X173" s="13" t="str">
        <f t="shared" ca="1" si="2"/>
        <v>8 Th, 2 Bln</v>
      </c>
      <c r="Y173" s="5" t="s">
        <v>95</v>
      </c>
      <c r="Z173" s="14" t="s">
        <v>108</v>
      </c>
      <c r="AA173" s="5" t="s">
        <v>96</v>
      </c>
      <c r="AB173" s="5" t="s">
        <v>97</v>
      </c>
      <c r="AC173" s="7" t="s">
        <v>3055</v>
      </c>
      <c r="AD173" s="131" t="s">
        <v>546</v>
      </c>
      <c r="AE173" s="131" t="s">
        <v>293</v>
      </c>
      <c r="AF173" s="7" t="s">
        <v>385</v>
      </c>
      <c r="AG173" s="7" t="s">
        <v>178</v>
      </c>
      <c r="AH173" s="7" t="s">
        <v>178</v>
      </c>
      <c r="AI173" s="7">
        <v>65145</v>
      </c>
      <c r="AJ173" s="7" t="s">
        <v>94</v>
      </c>
      <c r="AK173" s="7" t="s">
        <v>179</v>
      </c>
      <c r="AL173" s="7" t="s">
        <v>1128</v>
      </c>
      <c r="AM173" s="15" t="s">
        <v>3056</v>
      </c>
      <c r="AN173" s="15" t="s">
        <v>3057</v>
      </c>
      <c r="AO173" s="8">
        <v>1</v>
      </c>
      <c r="AP173" s="8" t="s">
        <v>146</v>
      </c>
      <c r="AQ173" s="8" t="s">
        <v>108</v>
      </c>
      <c r="AR173" s="8" t="s">
        <v>108</v>
      </c>
      <c r="AS173" s="132" t="s">
        <v>2508</v>
      </c>
      <c r="AT173" s="131" t="s">
        <v>2574</v>
      </c>
      <c r="AU173" s="132" t="s">
        <v>182</v>
      </c>
      <c r="AV173" s="16" t="s">
        <v>112</v>
      </c>
      <c r="AW173" s="56"/>
      <c r="AX173" s="56" t="s">
        <v>183</v>
      </c>
      <c r="AY173" s="56" t="s">
        <v>3058</v>
      </c>
      <c r="AZ173" s="7" t="s">
        <v>3059</v>
      </c>
      <c r="BA173" s="10" t="s">
        <v>94</v>
      </c>
      <c r="BB173" s="52">
        <v>33431</v>
      </c>
      <c r="BC173" s="17" t="s">
        <v>96</v>
      </c>
      <c r="BD173" s="17" t="s">
        <v>3056</v>
      </c>
      <c r="BE173" s="18" t="s">
        <v>118</v>
      </c>
      <c r="BF173" s="7" t="s">
        <v>327</v>
      </c>
      <c r="BG173" s="7" t="s">
        <v>3060</v>
      </c>
      <c r="BH173" s="7" t="s">
        <v>3061</v>
      </c>
      <c r="BI173" s="7" t="s">
        <v>127</v>
      </c>
      <c r="BJ173" s="19" t="s">
        <v>3062</v>
      </c>
      <c r="BK173" s="20" t="s">
        <v>3063</v>
      </c>
      <c r="BL173" s="58" t="s">
        <v>3064</v>
      </c>
      <c r="BM173" s="7" t="s">
        <v>3065</v>
      </c>
      <c r="BN173" s="22" t="s">
        <v>2016</v>
      </c>
      <c r="BO173" s="49">
        <v>33658</v>
      </c>
      <c r="BP173" s="17" t="s">
        <v>96</v>
      </c>
      <c r="BQ173" s="17" t="s">
        <v>3057</v>
      </c>
      <c r="BR173" s="18" t="s">
        <v>118</v>
      </c>
      <c r="BS173" s="7" t="s">
        <v>126</v>
      </c>
      <c r="BT173" s="7" t="s">
        <v>452</v>
      </c>
      <c r="BU173" s="7" t="s">
        <v>3066</v>
      </c>
      <c r="BV173" s="8" t="s">
        <v>108</v>
      </c>
      <c r="BW173" s="23">
        <v>0</v>
      </c>
      <c r="BX173" s="24" t="s">
        <v>3067</v>
      </c>
      <c r="BY173" s="21" t="s">
        <v>3068</v>
      </c>
      <c r="BZ173" s="21" t="s">
        <v>94</v>
      </c>
      <c r="CA173" s="21">
        <v>25313</v>
      </c>
      <c r="CB173" s="21"/>
      <c r="CC173" s="21" t="s">
        <v>3069</v>
      </c>
      <c r="CD173" s="21" t="s">
        <v>216</v>
      </c>
      <c r="CE173" s="21" t="s">
        <v>108</v>
      </c>
      <c r="CF173" s="21" t="s">
        <v>96</v>
      </c>
      <c r="CG173" s="21" t="s">
        <v>3066</v>
      </c>
      <c r="CH173" s="21" t="s">
        <v>546</v>
      </c>
      <c r="CI173" s="21" t="s">
        <v>293</v>
      </c>
      <c r="CJ173" s="21" t="s">
        <v>385</v>
      </c>
      <c r="CK173" s="21" t="s">
        <v>178</v>
      </c>
      <c r="CL173" s="21" t="s">
        <v>94</v>
      </c>
      <c r="CM173" s="25"/>
      <c r="CN173" s="25"/>
      <c r="CO173" s="25"/>
      <c r="CP173" s="26"/>
    </row>
    <row r="174" spans="1:94" s="27" customFormat="1" ht="23.25" customHeight="1">
      <c r="A174" s="4">
        <v>70</v>
      </c>
      <c r="B174" s="6"/>
      <c r="C174" s="6"/>
      <c r="D174" s="6"/>
      <c r="E174" s="6"/>
      <c r="F174" s="6"/>
      <c r="G174" s="6"/>
      <c r="H174" s="5"/>
      <c r="I174" s="7" t="s">
        <v>2452</v>
      </c>
      <c r="J174" s="7" t="s">
        <v>166</v>
      </c>
      <c r="K174" s="7" t="s">
        <v>3143</v>
      </c>
      <c r="L174" s="5"/>
      <c r="M174" s="5">
        <v>2117</v>
      </c>
      <c r="N174" s="9">
        <v>3176119918</v>
      </c>
      <c r="O174" s="9" t="s">
        <v>11298</v>
      </c>
      <c r="P174" s="10" t="s">
        <v>3144</v>
      </c>
      <c r="Q174" s="389" t="s">
        <v>3145</v>
      </c>
      <c r="R174" s="8" t="s">
        <v>2450</v>
      </c>
      <c r="S174" s="212" t="s">
        <v>12140</v>
      </c>
      <c r="T174" s="8" t="s">
        <v>3146</v>
      </c>
      <c r="U174" s="11" t="s">
        <v>172</v>
      </c>
      <c r="V174" s="12" t="s">
        <v>94</v>
      </c>
      <c r="W174" s="13">
        <v>43091</v>
      </c>
      <c r="X174" s="13" t="str">
        <f t="shared" ca="1" si="2"/>
        <v>8 Th, 8 Bln</v>
      </c>
      <c r="Y174" s="5" t="s">
        <v>95</v>
      </c>
      <c r="Z174" s="14" t="s">
        <v>108</v>
      </c>
      <c r="AA174" s="5" t="s">
        <v>96</v>
      </c>
      <c r="AB174" s="5" t="s">
        <v>97</v>
      </c>
      <c r="AC174" s="7" t="s">
        <v>3147</v>
      </c>
      <c r="AD174" s="131">
        <v>15</v>
      </c>
      <c r="AE174" s="131">
        <v>1</v>
      </c>
      <c r="AF174" s="7" t="s">
        <v>177</v>
      </c>
      <c r="AG174" s="7" t="s">
        <v>178</v>
      </c>
      <c r="AH174" s="7" t="s">
        <v>178</v>
      </c>
      <c r="AI174" s="7">
        <v>65143</v>
      </c>
      <c r="AJ174" s="7" t="s">
        <v>94</v>
      </c>
      <c r="AK174" s="7" t="s">
        <v>179</v>
      </c>
      <c r="AL174" s="7" t="s">
        <v>1679</v>
      </c>
      <c r="AM174" s="15" t="s">
        <v>3148</v>
      </c>
      <c r="AN174" s="15" t="s">
        <v>3149</v>
      </c>
      <c r="AO174" s="8">
        <v>2</v>
      </c>
      <c r="AP174" s="8" t="s">
        <v>146</v>
      </c>
      <c r="AQ174" s="8" t="s">
        <v>108</v>
      </c>
      <c r="AR174" s="8" t="s">
        <v>108</v>
      </c>
      <c r="AS174" s="132" t="s">
        <v>2720</v>
      </c>
      <c r="AT174" s="131" t="s">
        <v>3150</v>
      </c>
      <c r="AU174" s="132" t="s">
        <v>182</v>
      </c>
      <c r="AV174" s="16" t="s">
        <v>112</v>
      </c>
      <c r="AW174" s="56"/>
      <c r="AX174" s="56" t="s">
        <v>114</v>
      </c>
      <c r="AY174" s="56" t="s">
        <v>3151</v>
      </c>
      <c r="AZ174" s="7" t="s">
        <v>3152</v>
      </c>
      <c r="BA174" s="10" t="s">
        <v>3153</v>
      </c>
      <c r="BB174" s="52">
        <v>32023</v>
      </c>
      <c r="BC174" s="17" t="s">
        <v>96</v>
      </c>
      <c r="BD174" s="17" t="s">
        <v>3148</v>
      </c>
      <c r="BE174" s="18" t="s">
        <v>118</v>
      </c>
      <c r="BF174" s="7" t="s">
        <v>247</v>
      </c>
      <c r="BG174" s="7" t="s">
        <v>3154</v>
      </c>
      <c r="BH174" s="7" t="s">
        <v>3155</v>
      </c>
      <c r="BI174" s="7" t="s">
        <v>3148</v>
      </c>
      <c r="BJ174" s="19" t="s">
        <v>2659</v>
      </c>
      <c r="BK174" s="20" t="s">
        <v>3156</v>
      </c>
      <c r="BL174" s="58" t="s">
        <v>3157</v>
      </c>
      <c r="BM174" s="7" t="s">
        <v>3158</v>
      </c>
      <c r="BN174" s="22" t="s">
        <v>971</v>
      </c>
      <c r="BO174" s="49">
        <v>32034</v>
      </c>
      <c r="BP174" s="17" t="s">
        <v>96</v>
      </c>
      <c r="BQ174" s="17" t="s">
        <v>3159</v>
      </c>
      <c r="BR174" s="18" t="s">
        <v>118</v>
      </c>
      <c r="BS174" s="7" t="s">
        <v>126</v>
      </c>
      <c r="BT174" s="7" t="s">
        <v>452</v>
      </c>
      <c r="BU174" s="7" t="s">
        <v>3160</v>
      </c>
      <c r="BV174" s="8" t="s">
        <v>108</v>
      </c>
      <c r="BW174" s="23" t="s">
        <v>127</v>
      </c>
      <c r="BX174" s="24" t="s">
        <v>3161</v>
      </c>
      <c r="BY174" s="21" t="s">
        <v>108</v>
      </c>
      <c r="BZ174" s="21" t="s">
        <v>108</v>
      </c>
      <c r="CA174" s="21"/>
      <c r="CB174" s="21"/>
      <c r="CC174" s="21"/>
      <c r="CD174" s="21"/>
      <c r="CE174" s="21" t="s">
        <v>108</v>
      </c>
      <c r="CF174" s="21"/>
      <c r="CG174" s="21" t="s">
        <v>108</v>
      </c>
      <c r="CH174" s="21"/>
      <c r="CI174" s="21"/>
      <c r="CJ174" s="21" t="s">
        <v>108</v>
      </c>
      <c r="CK174" s="21" t="s">
        <v>108</v>
      </c>
      <c r="CL174" s="21" t="s">
        <v>108</v>
      </c>
      <c r="CM174" s="25"/>
      <c r="CN174" s="25"/>
      <c r="CO174" s="25"/>
      <c r="CP174" s="26"/>
    </row>
    <row r="175" spans="1:94" s="27" customFormat="1" ht="23.25" customHeight="1">
      <c r="A175" s="4">
        <v>71</v>
      </c>
      <c r="B175" s="6"/>
      <c r="C175" s="6"/>
      <c r="D175" s="6"/>
      <c r="E175" s="6"/>
      <c r="F175" s="6"/>
      <c r="G175" s="6"/>
      <c r="H175" s="5"/>
      <c r="I175" s="7" t="s">
        <v>2452</v>
      </c>
      <c r="J175" s="7" t="s">
        <v>11492</v>
      </c>
      <c r="K175" s="7" t="s">
        <v>3224</v>
      </c>
      <c r="L175" s="5"/>
      <c r="M175" s="5">
        <v>2121</v>
      </c>
      <c r="N175" s="9">
        <v>3194999707</v>
      </c>
      <c r="O175" s="9" t="s">
        <v>11583</v>
      </c>
      <c r="P175" s="10" t="s">
        <v>3225</v>
      </c>
      <c r="Q175" s="389" t="s">
        <v>3226</v>
      </c>
      <c r="R175" s="8" t="s">
        <v>2450</v>
      </c>
      <c r="S175" s="212" t="s">
        <v>12140</v>
      </c>
      <c r="T175" s="8" t="s">
        <v>3227</v>
      </c>
      <c r="U175" s="11" t="s">
        <v>93</v>
      </c>
      <c r="V175" s="12" t="s">
        <v>94</v>
      </c>
      <c r="W175" s="13">
        <v>43648</v>
      </c>
      <c r="X175" s="13" t="str">
        <f t="shared" ca="1" si="2"/>
        <v>7 Th, 2 Bln</v>
      </c>
      <c r="Y175" s="5" t="s">
        <v>95</v>
      </c>
      <c r="Z175" s="14" t="s">
        <v>108</v>
      </c>
      <c r="AA175" s="5" t="s">
        <v>96</v>
      </c>
      <c r="AB175" s="5" t="s">
        <v>97</v>
      </c>
      <c r="AC175" s="7" t="s">
        <v>3228</v>
      </c>
      <c r="AD175" s="131" t="s">
        <v>827</v>
      </c>
      <c r="AE175" s="131" t="s">
        <v>3229</v>
      </c>
      <c r="AF175" s="7" t="s">
        <v>1174</v>
      </c>
      <c r="AG175" s="7" t="s">
        <v>241</v>
      </c>
      <c r="AH175" s="7" t="s">
        <v>241</v>
      </c>
      <c r="AI175" s="7">
        <v>65121</v>
      </c>
      <c r="AJ175" s="7" t="s">
        <v>94</v>
      </c>
      <c r="AK175" s="7" t="s">
        <v>104</v>
      </c>
      <c r="AL175" s="7" t="s">
        <v>2461</v>
      </c>
      <c r="AM175" s="15">
        <v>0</v>
      </c>
      <c r="AN175" s="15" t="s">
        <v>3230</v>
      </c>
      <c r="AO175" s="8">
        <v>1</v>
      </c>
      <c r="AP175" s="8" t="s">
        <v>146</v>
      </c>
      <c r="AQ175" s="8" t="s">
        <v>108</v>
      </c>
      <c r="AR175" s="8" t="s">
        <v>108</v>
      </c>
      <c r="AS175" s="132" t="s">
        <v>2482</v>
      </c>
      <c r="AT175" s="131" t="s">
        <v>3231</v>
      </c>
      <c r="AU175" s="132" t="s">
        <v>111</v>
      </c>
      <c r="AV175" s="16" t="s">
        <v>112</v>
      </c>
      <c r="AW175" s="56"/>
      <c r="AX175" s="56" t="s">
        <v>183</v>
      </c>
      <c r="AY175" s="56" t="s">
        <v>3232</v>
      </c>
      <c r="AZ175" s="7" t="s">
        <v>3233</v>
      </c>
      <c r="BA175" s="10" t="s">
        <v>2631</v>
      </c>
      <c r="BB175" s="52">
        <v>31557</v>
      </c>
      <c r="BC175" s="17" t="s">
        <v>96</v>
      </c>
      <c r="BD175" s="17" t="s">
        <v>3230</v>
      </c>
      <c r="BE175" s="18" t="s">
        <v>118</v>
      </c>
      <c r="BF175" s="7" t="s">
        <v>276</v>
      </c>
      <c r="BG175" s="7" t="s">
        <v>3234</v>
      </c>
      <c r="BH175" s="7" t="s">
        <v>3235</v>
      </c>
      <c r="BI175" s="7"/>
      <c r="BJ175" s="19" t="s">
        <v>1912</v>
      </c>
      <c r="BK175" s="20" t="s">
        <v>3236</v>
      </c>
      <c r="BL175" s="58" t="s">
        <v>3237</v>
      </c>
      <c r="BM175" s="7" t="s">
        <v>3238</v>
      </c>
      <c r="BN175" s="22" t="s">
        <v>519</v>
      </c>
      <c r="BO175" s="49">
        <v>32037</v>
      </c>
      <c r="BP175" s="17" t="s">
        <v>96</v>
      </c>
      <c r="BQ175" s="17" t="s">
        <v>3239</v>
      </c>
      <c r="BR175" s="18" t="s">
        <v>118</v>
      </c>
      <c r="BS175" s="7" t="s">
        <v>126</v>
      </c>
      <c r="BT175" s="7" t="s">
        <v>162</v>
      </c>
      <c r="BU175" s="7" t="s">
        <v>162</v>
      </c>
      <c r="BV175" s="8" t="s">
        <v>108</v>
      </c>
      <c r="BW175" s="23">
        <v>0</v>
      </c>
      <c r="BX175" s="24" t="s">
        <v>3240</v>
      </c>
      <c r="BY175" s="21" t="s">
        <v>108</v>
      </c>
      <c r="BZ175" s="21" t="s">
        <v>108</v>
      </c>
      <c r="CA175" s="21"/>
      <c r="CB175" s="21"/>
      <c r="CC175" s="21"/>
      <c r="CD175" s="21"/>
      <c r="CE175" s="21" t="s">
        <v>108</v>
      </c>
      <c r="CF175" s="21"/>
      <c r="CG175" s="21" t="s">
        <v>108</v>
      </c>
      <c r="CH175" s="21"/>
      <c r="CI175" s="21"/>
      <c r="CJ175" s="21" t="s">
        <v>108</v>
      </c>
      <c r="CK175" s="21" t="s">
        <v>108</v>
      </c>
      <c r="CL175" s="21" t="s">
        <v>108</v>
      </c>
      <c r="CM175" s="25"/>
      <c r="CN175" s="25"/>
      <c r="CO175" s="25"/>
      <c r="CP175" s="26"/>
    </row>
    <row r="176" spans="1:94" s="27" customFormat="1" ht="23.25" customHeight="1">
      <c r="A176" s="4">
        <v>72</v>
      </c>
      <c r="B176" s="6"/>
      <c r="C176" s="6"/>
      <c r="D176" s="6"/>
      <c r="E176" s="6"/>
      <c r="F176" s="6"/>
      <c r="G176" s="6"/>
      <c r="H176" s="5"/>
      <c r="I176" s="7" t="s">
        <v>2452</v>
      </c>
      <c r="J176" s="7" t="s">
        <v>166</v>
      </c>
      <c r="K176" s="7" t="s">
        <v>312</v>
      </c>
      <c r="L176" s="5"/>
      <c r="M176" s="5">
        <v>2130</v>
      </c>
      <c r="N176" s="9">
        <v>3180499682</v>
      </c>
      <c r="O176" s="9" t="s">
        <v>11584</v>
      </c>
      <c r="P176" s="10" t="s">
        <v>3413</v>
      </c>
      <c r="Q176" s="389" t="s">
        <v>3414</v>
      </c>
      <c r="R176" s="8" t="s">
        <v>2450</v>
      </c>
      <c r="S176" s="212" t="s">
        <v>12140</v>
      </c>
      <c r="T176" s="8" t="s">
        <v>3415</v>
      </c>
      <c r="U176" s="11" t="s">
        <v>172</v>
      </c>
      <c r="V176" s="12" t="s">
        <v>94</v>
      </c>
      <c r="W176" s="13">
        <v>43390</v>
      </c>
      <c r="X176" s="13" t="str">
        <f t="shared" ca="1" si="2"/>
        <v>7 Th, 10 Bln</v>
      </c>
      <c r="Y176" s="5" t="s">
        <v>95</v>
      </c>
      <c r="Z176" s="14" t="s">
        <v>127</v>
      </c>
      <c r="AA176" s="5" t="s">
        <v>96</v>
      </c>
      <c r="AB176" s="5" t="s">
        <v>97</v>
      </c>
      <c r="AC176" s="7" t="s">
        <v>3416</v>
      </c>
      <c r="AD176" s="131" t="s">
        <v>384</v>
      </c>
      <c r="AE176" s="131">
        <v>18</v>
      </c>
      <c r="AF176" s="7" t="s">
        <v>615</v>
      </c>
      <c r="AG176" s="7" t="s">
        <v>178</v>
      </c>
      <c r="AH176" s="7" t="s">
        <v>178</v>
      </c>
      <c r="AI176" s="7">
        <v>65142</v>
      </c>
      <c r="AJ176" s="7" t="s">
        <v>94</v>
      </c>
      <c r="AK176" s="7" t="s">
        <v>179</v>
      </c>
      <c r="AL176" s="7" t="s">
        <v>3417</v>
      </c>
      <c r="AM176" s="15" t="s">
        <v>127</v>
      </c>
      <c r="AN176" s="15" t="s">
        <v>3418</v>
      </c>
      <c r="AO176" s="8" t="s">
        <v>3419</v>
      </c>
      <c r="AP176" s="8" t="s">
        <v>146</v>
      </c>
      <c r="AQ176" s="8" t="s">
        <v>127</v>
      </c>
      <c r="AR176" s="8" t="s">
        <v>127</v>
      </c>
      <c r="AS176" s="132" t="s">
        <v>3420</v>
      </c>
      <c r="AT176" s="131" t="s">
        <v>2674</v>
      </c>
      <c r="AU176" s="132" t="s">
        <v>182</v>
      </c>
      <c r="AV176" s="16" t="s">
        <v>112</v>
      </c>
      <c r="AW176" s="56"/>
      <c r="AX176" s="56" t="s">
        <v>114</v>
      </c>
      <c r="AY176" s="56" t="s">
        <v>3421</v>
      </c>
      <c r="AZ176" s="7" t="s">
        <v>3422</v>
      </c>
      <c r="BA176" s="10" t="s">
        <v>2267</v>
      </c>
      <c r="BB176" s="52">
        <v>32117</v>
      </c>
      <c r="BC176" s="17" t="s">
        <v>96</v>
      </c>
      <c r="BD176" s="17" t="s">
        <v>3423</v>
      </c>
      <c r="BE176" s="18" t="s">
        <v>153</v>
      </c>
      <c r="BF176" s="7" t="s">
        <v>154</v>
      </c>
      <c r="BG176" s="7" t="s">
        <v>3424</v>
      </c>
      <c r="BH176" s="7" t="s">
        <v>1289</v>
      </c>
      <c r="BI176" s="7" t="s">
        <v>127</v>
      </c>
      <c r="BJ176" s="19">
        <v>5000000</v>
      </c>
      <c r="BK176" s="20" t="s">
        <v>3425</v>
      </c>
      <c r="BL176" s="58" t="s">
        <v>3426</v>
      </c>
      <c r="BM176" s="7" t="s">
        <v>3427</v>
      </c>
      <c r="BN176" s="22" t="s">
        <v>1984</v>
      </c>
      <c r="BO176" s="49">
        <v>34782</v>
      </c>
      <c r="BP176" s="17" t="s">
        <v>96</v>
      </c>
      <c r="BQ176" s="17" t="s">
        <v>3418</v>
      </c>
      <c r="BR176" s="18" t="s">
        <v>118</v>
      </c>
      <c r="BS176" s="7" t="s">
        <v>254</v>
      </c>
      <c r="BT176" s="7" t="s">
        <v>127</v>
      </c>
      <c r="BU176" s="7" t="s">
        <v>127</v>
      </c>
      <c r="BV176" s="8" t="s">
        <v>127</v>
      </c>
      <c r="BW176" s="23" t="s">
        <v>127</v>
      </c>
      <c r="BX176" s="24" t="s">
        <v>3428</v>
      </c>
      <c r="BY176" s="21" t="s">
        <v>127</v>
      </c>
      <c r="BZ176" s="21" t="s">
        <v>127</v>
      </c>
      <c r="CA176" s="21"/>
      <c r="CB176" s="21"/>
      <c r="CC176" s="21" t="s">
        <v>127</v>
      </c>
      <c r="CD176" s="21" t="s">
        <v>118</v>
      </c>
      <c r="CE176" s="21" t="s">
        <v>127</v>
      </c>
      <c r="CF176" s="21" t="s">
        <v>96</v>
      </c>
      <c r="CG176" s="21" t="s">
        <v>127</v>
      </c>
      <c r="CH176" s="21" t="s">
        <v>127</v>
      </c>
      <c r="CI176" s="21" t="s">
        <v>127</v>
      </c>
      <c r="CJ176" s="21" t="s">
        <v>127</v>
      </c>
      <c r="CK176" s="21" t="s">
        <v>127</v>
      </c>
      <c r="CL176" s="21" t="s">
        <v>127</v>
      </c>
      <c r="CM176" s="25"/>
      <c r="CN176" s="25"/>
      <c r="CO176" s="25"/>
      <c r="CP176" s="26"/>
    </row>
    <row r="177" spans="1:94" s="27" customFormat="1" ht="23.25" customHeight="1">
      <c r="A177" s="4">
        <v>73</v>
      </c>
      <c r="B177" s="6"/>
      <c r="C177" s="6"/>
      <c r="D177" s="6"/>
      <c r="E177" s="6"/>
      <c r="F177" s="6"/>
      <c r="G177" s="6"/>
      <c r="H177" s="5"/>
      <c r="I177" s="7" t="s">
        <v>2452</v>
      </c>
      <c r="J177" s="7" t="s">
        <v>3429</v>
      </c>
      <c r="K177" s="7" t="s">
        <v>3430</v>
      </c>
      <c r="L177" s="5"/>
      <c r="M177" s="5">
        <v>2131</v>
      </c>
      <c r="N177" s="9">
        <v>3181272093</v>
      </c>
      <c r="O177" s="9" t="s">
        <v>10527</v>
      </c>
      <c r="P177" s="10" t="s">
        <v>3431</v>
      </c>
      <c r="Q177" s="389" t="s">
        <v>3432</v>
      </c>
      <c r="R177" s="8" t="s">
        <v>2450</v>
      </c>
      <c r="S177" s="212" t="s">
        <v>12140</v>
      </c>
      <c r="T177" s="8" t="s">
        <v>3433</v>
      </c>
      <c r="U177" s="11" t="s">
        <v>93</v>
      </c>
      <c r="V177" s="12" t="s">
        <v>94</v>
      </c>
      <c r="W177" s="13">
        <v>43262</v>
      </c>
      <c r="X177" s="13" t="str">
        <f t="shared" ca="1" si="2"/>
        <v>8 Th, 3 Bln</v>
      </c>
      <c r="Y177" s="5" t="s">
        <v>95</v>
      </c>
      <c r="Z177" s="14" t="s">
        <v>108</v>
      </c>
      <c r="AA177" s="5" t="s">
        <v>96</v>
      </c>
      <c r="AB177" s="5" t="s">
        <v>97</v>
      </c>
      <c r="AC177" s="7" t="s">
        <v>3434</v>
      </c>
      <c r="AD177" s="131">
        <v>6</v>
      </c>
      <c r="AE177" s="131">
        <v>6</v>
      </c>
      <c r="AF177" s="7" t="s">
        <v>2927</v>
      </c>
      <c r="AG177" s="7" t="s">
        <v>241</v>
      </c>
      <c r="AH177" s="7" t="s">
        <v>241</v>
      </c>
      <c r="AI177" s="7">
        <v>65141</v>
      </c>
      <c r="AJ177" s="7" t="s">
        <v>103</v>
      </c>
      <c r="AK177" s="7" t="s">
        <v>104</v>
      </c>
      <c r="AL177" s="7" t="s">
        <v>3435</v>
      </c>
      <c r="AM177" s="15" t="s">
        <v>3436</v>
      </c>
      <c r="AN177" s="15" t="s">
        <v>3436</v>
      </c>
      <c r="AO177" s="8">
        <v>2</v>
      </c>
      <c r="AP177" s="8" t="s">
        <v>107</v>
      </c>
      <c r="AQ177" s="8" t="s">
        <v>108</v>
      </c>
      <c r="AR177" s="8" t="s">
        <v>108</v>
      </c>
      <c r="AS177" s="132" t="s">
        <v>3437</v>
      </c>
      <c r="AT177" s="131" t="s">
        <v>2803</v>
      </c>
      <c r="AU177" s="132" t="s">
        <v>182</v>
      </c>
      <c r="AV177" s="16" t="s">
        <v>112</v>
      </c>
      <c r="AW177" s="56"/>
      <c r="AX177" s="56" t="s">
        <v>183</v>
      </c>
      <c r="AY177" s="56" t="s">
        <v>3438</v>
      </c>
      <c r="AZ177" s="7" t="s">
        <v>3439</v>
      </c>
      <c r="BA177" s="10" t="s">
        <v>1161</v>
      </c>
      <c r="BB177" s="52">
        <v>31992</v>
      </c>
      <c r="BC177" s="17" t="s">
        <v>96</v>
      </c>
      <c r="BD177" s="17" t="s">
        <v>3440</v>
      </c>
      <c r="BE177" s="18" t="s">
        <v>153</v>
      </c>
      <c r="BF177" s="7" t="s">
        <v>247</v>
      </c>
      <c r="BG177" s="7" t="s">
        <v>3441</v>
      </c>
      <c r="BH177" s="7" t="s">
        <v>3442</v>
      </c>
      <c r="BI177" s="7"/>
      <c r="BJ177" s="19">
        <v>50000000</v>
      </c>
      <c r="BK177" s="20" t="s">
        <v>3443</v>
      </c>
      <c r="BL177" s="58" t="s">
        <v>3444</v>
      </c>
      <c r="BM177" s="7" t="s">
        <v>3445</v>
      </c>
      <c r="BN177" s="22" t="s">
        <v>94</v>
      </c>
      <c r="BO177" s="49">
        <v>33072</v>
      </c>
      <c r="BP177" s="17" t="s">
        <v>96</v>
      </c>
      <c r="BQ177" s="17" t="s">
        <v>3436</v>
      </c>
      <c r="BR177" s="18" t="s">
        <v>118</v>
      </c>
      <c r="BS177" s="7" t="s">
        <v>790</v>
      </c>
      <c r="BT177" s="7" t="s">
        <v>127</v>
      </c>
      <c r="BU177" s="7" t="s">
        <v>127</v>
      </c>
      <c r="BV177" s="8" t="s">
        <v>108</v>
      </c>
      <c r="BW177" s="23" t="s">
        <v>127</v>
      </c>
      <c r="BX177" s="24" t="s">
        <v>3446</v>
      </c>
      <c r="BY177" s="21" t="s">
        <v>108</v>
      </c>
      <c r="BZ177" s="21" t="s">
        <v>108</v>
      </c>
      <c r="CA177" s="21"/>
      <c r="CB177" s="21"/>
      <c r="CC177" s="21"/>
      <c r="CD177" s="21"/>
      <c r="CE177" s="21" t="s">
        <v>108</v>
      </c>
      <c r="CF177" s="21"/>
      <c r="CG177" s="21" t="s">
        <v>108</v>
      </c>
      <c r="CH177" s="21"/>
      <c r="CI177" s="21"/>
      <c r="CJ177" s="21" t="s">
        <v>108</v>
      </c>
      <c r="CK177" s="21" t="s">
        <v>108</v>
      </c>
      <c r="CL177" s="21" t="s">
        <v>108</v>
      </c>
      <c r="CM177" s="25"/>
      <c r="CN177" s="25"/>
      <c r="CO177" s="25"/>
      <c r="CP177" s="26"/>
    </row>
    <row r="178" spans="1:94" s="27" customFormat="1" ht="23.25" customHeight="1">
      <c r="A178" s="4">
        <v>75</v>
      </c>
      <c r="B178" s="6"/>
      <c r="C178" s="6"/>
      <c r="D178" s="6"/>
      <c r="E178" s="6"/>
      <c r="F178" s="6"/>
      <c r="G178" s="6"/>
      <c r="H178" s="5"/>
      <c r="I178" s="7" t="s">
        <v>2452</v>
      </c>
      <c r="J178" s="7" t="s">
        <v>3574</v>
      </c>
      <c r="K178" s="7" t="s">
        <v>3575</v>
      </c>
      <c r="L178" s="5"/>
      <c r="M178" s="5">
        <v>2139</v>
      </c>
      <c r="N178" s="9">
        <v>3186173485</v>
      </c>
      <c r="O178" s="9" t="s">
        <v>11586</v>
      </c>
      <c r="P178" s="10" t="s">
        <v>3576</v>
      </c>
      <c r="Q178" s="389" t="s">
        <v>3577</v>
      </c>
      <c r="R178" s="8" t="s">
        <v>2450</v>
      </c>
      <c r="S178" s="212" t="s">
        <v>12140</v>
      </c>
      <c r="T178" s="8" t="s">
        <v>3578</v>
      </c>
      <c r="U178" s="11" t="s">
        <v>93</v>
      </c>
      <c r="V178" s="12" t="s">
        <v>94</v>
      </c>
      <c r="W178" s="13">
        <v>43367</v>
      </c>
      <c r="X178" s="13" t="str">
        <f t="shared" ca="1" si="2"/>
        <v>7 Th, 11 Bln</v>
      </c>
      <c r="Y178" s="5" t="s">
        <v>95</v>
      </c>
      <c r="Z178" s="14" t="s">
        <v>162</v>
      </c>
      <c r="AA178" s="5" t="s">
        <v>96</v>
      </c>
      <c r="AB178" s="5" t="s">
        <v>97</v>
      </c>
      <c r="AC178" s="7" t="s">
        <v>3579</v>
      </c>
      <c r="AD178" s="131" t="s">
        <v>294</v>
      </c>
      <c r="AE178" s="131">
        <v>11</v>
      </c>
      <c r="AF178" s="7" t="s">
        <v>615</v>
      </c>
      <c r="AG178" s="7" t="s">
        <v>178</v>
      </c>
      <c r="AH178" s="7" t="s">
        <v>178</v>
      </c>
      <c r="AI178" s="7">
        <v>65142</v>
      </c>
      <c r="AJ178" s="7" t="s">
        <v>103</v>
      </c>
      <c r="AK178" s="7" t="s">
        <v>179</v>
      </c>
      <c r="AL178" s="7" t="s">
        <v>3580</v>
      </c>
      <c r="AM178" s="15" t="s">
        <v>163</v>
      </c>
      <c r="AN178" s="15" t="s">
        <v>3581</v>
      </c>
      <c r="AO178" s="8" t="s">
        <v>3582</v>
      </c>
      <c r="AP178" s="8" t="s">
        <v>3583</v>
      </c>
      <c r="AQ178" s="8" t="s">
        <v>162</v>
      </c>
      <c r="AR178" s="8" t="s">
        <v>162</v>
      </c>
      <c r="AS178" s="132" t="s">
        <v>2206</v>
      </c>
      <c r="AT178" s="131" t="s">
        <v>3584</v>
      </c>
      <c r="AU178" s="132" t="s">
        <v>111</v>
      </c>
      <c r="AV178" s="16" t="s">
        <v>112</v>
      </c>
      <c r="AW178" s="56"/>
      <c r="AX178" s="56" t="s">
        <v>114</v>
      </c>
      <c r="AY178" s="56" t="s">
        <v>3585</v>
      </c>
      <c r="AZ178" s="7" t="s">
        <v>3586</v>
      </c>
      <c r="BA178" s="10" t="s">
        <v>3587</v>
      </c>
      <c r="BB178" s="52">
        <v>29330</v>
      </c>
      <c r="BC178" s="17" t="s">
        <v>96</v>
      </c>
      <c r="BD178" s="17" t="s">
        <v>3588</v>
      </c>
      <c r="BE178" s="18" t="s">
        <v>224</v>
      </c>
      <c r="BF178" s="7" t="s">
        <v>154</v>
      </c>
      <c r="BG178" s="7" t="s">
        <v>761</v>
      </c>
      <c r="BH178" s="7" t="s">
        <v>3589</v>
      </c>
      <c r="BI178" s="7" t="s">
        <v>3590</v>
      </c>
      <c r="BJ178" s="19" t="s">
        <v>3591</v>
      </c>
      <c r="BK178" s="20" t="s">
        <v>3592</v>
      </c>
      <c r="BL178" s="58" t="s">
        <v>3593</v>
      </c>
      <c r="BM178" s="7" t="s">
        <v>3594</v>
      </c>
      <c r="BN178" s="22" t="s">
        <v>2554</v>
      </c>
      <c r="BO178" s="49">
        <v>30770</v>
      </c>
      <c r="BP178" s="17" t="s">
        <v>96</v>
      </c>
      <c r="BQ178" s="17" t="s">
        <v>3581</v>
      </c>
      <c r="BR178" s="18" t="s">
        <v>118</v>
      </c>
      <c r="BS178" s="7" t="s">
        <v>126</v>
      </c>
      <c r="BT178" s="7" t="s">
        <v>162</v>
      </c>
      <c r="BU178" s="7" t="s">
        <v>162</v>
      </c>
      <c r="BV178" s="8" t="s">
        <v>162</v>
      </c>
      <c r="BW178" s="23" t="s">
        <v>163</v>
      </c>
      <c r="BX178" s="24" t="s">
        <v>3595</v>
      </c>
      <c r="BY178" s="21" t="s">
        <v>3596</v>
      </c>
      <c r="BZ178" s="21" t="s">
        <v>2554</v>
      </c>
      <c r="CA178" s="21">
        <v>29330</v>
      </c>
      <c r="CB178" s="21"/>
      <c r="CC178" s="21" t="s">
        <v>3588</v>
      </c>
      <c r="CD178" s="21" t="s">
        <v>224</v>
      </c>
      <c r="CE178" s="21" t="s">
        <v>154</v>
      </c>
      <c r="CF178" s="21" t="s">
        <v>96</v>
      </c>
      <c r="CG178" s="21" t="s">
        <v>3579</v>
      </c>
      <c r="CH178" s="21" t="s">
        <v>294</v>
      </c>
      <c r="CI178" s="21">
        <v>11</v>
      </c>
      <c r="CJ178" s="21" t="s">
        <v>615</v>
      </c>
      <c r="CK178" s="21" t="s">
        <v>178</v>
      </c>
      <c r="CL178" s="21" t="s">
        <v>103</v>
      </c>
      <c r="CM178" s="25"/>
      <c r="CN178" s="25"/>
      <c r="CO178" s="25"/>
      <c r="CP178" s="26"/>
    </row>
    <row r="179" spans="1:94" s="27" customFormat="1" ht="23.25" customHeight="1">
      <c r="A179" s="4">
        <v>76</v>
      </c>
      <c r="B179" s="6"/>
      <c r="C179" s="6"/>
      <c r="D179" s="6"/>
      <c r="E179" s="6"/>
      <c r="F179" s="6"/>
      <c r="G179" s="6"/>
      <c r="H179" s="5"/>
      <c r="I179" s="7" t="s">
        <v>2452</v>
      </c>
      <c r="J179" s="7" t="s">
        <v>1218</v>
      </c>
      <c r="K179" s="7" t="s">
        <v>1218</v>
      </c>
      <c r="L179" s="5"/>
      <c r="M179" s="5">
        <v>2145</v>
      </c>
      <c r="N179" s="9">
        <v>3199750440</v>
      </c>
      <c r="O179" s="150" t="s">
        <v>9529</v>
      </c>
      <c r="P179" s="10" t="s">
        <v>3695</v>
      </c>
      <c r="Q179" s="389" t="s">
        <v>3696</v>
      </c>
      <c r="R179" s="8" t="s">
        <v>2450</v>
      </c>
      <c r="S179" s="212" t="s">
        <v>12140</v>
      </c>
      <c r="T179" s="8" t="s">
        <v>3697</v>
      </c>
      <c r="U179" s="11" t="s">
        <v>93</v>
      </c>
      <c r="V179" s="12" t="s">
        <v>94</v>
      </c>
      <c r="W179" s="13">
        <v>43536</v>
      </c>
      <c r="X179" s="13" t="str">
        <f t="shared" ca="1" si="2"/>
        <v>7 Th, 6 Bln</v>
      </c>
      <c r="Y179" s="5" t="s">
        <v>95</v>
      </c>
      <c r="Z179" s="14" t="s">
        <v>108</v>
      </c>
      <c r="AA179" s="5" t="s">
        <v>96</v>
      </c>
      <c r="AB179" s="5" t="s">
        <v>97</v>
      </c>
      <c r="AC179" s="7" t="s">
        <v>3698</v>
      </c>
      <c r="AD179" s="131">
        <v>10</v>
      </c>
      <c r="AE179" s="131" t="s">
        <v>99</v>
      </c>
      <c r="AF179" s="7" t="s">
        <v>177</v>
      </c>
      <c r="AG179" s="7" t="s">
        <v>178</v>
      </c>
      <c r="AH179" s="7" t="s">
        <v>178</v>
      </c>
      <c r="AI179" s="7">
        <v>65143</v>
      </c>
      <c r="AJ179" s="7" t="s">
        <v>94</v>
      </c>
      <c r="AK179" s="7" t="s">
        <v>179</v>
      </c>
      <c r="AL179" s="7" t="s">
        <v>688</v>
      </c>
      <c r="AM179" s="15" t="s">
        <v>163</v>
      </c>
      <c r="AN179" s="15" t="s">
        <v>3699</v>
      </c>
      <c r="AO179" s="8">
        <v>2</v>
      </c>
      <c r="AP179" s="8" t="s">
        <v>146</v>
      </c>
      <c r="AQ179" s="8" t="s">
        <v>108</v>
      </c>
      <c r="AR179" s="8" t="s">
        <v>108</v>
      </c>
      <c r="AS179" s="132" t="s">
        <v>3700</v>
      </c>
      <c r="AT179" s="131" t="s">
        <v>2593</v>
      </c>
      <c r="AU179" s="132" t="s">
        <v>111</v>
      </c>
      <c r="AV179" s="16" t="s">
        <v>112</v>
      </c>
      <c r="AW179" s="56"/>
      <c r="AX179" s="56" t="s">
        <v>114</v>
      </c>
      <c r="AY179" s="56" t="s">
        <v>3701</v>
      </c>
      <c r="AZ179" s="7" t="s">
        <v>3702</v>
      </c>
      <c r="BA179" s="10" t="s">
        <v>971</v>
      </c>
      <c r="BB179" s="52">
        <v>30993</v>
      </c>
      <c r="BC179" s="17" t="s">
        <v>96</v>
      </c>
      <c r="BD179" s="17" t="s">
        <v>3703</v>
      </c>
      <c r="BE179" s="18" t="s">
        <v>153</v>
      </c>
      <c r="BF179" s="7" t="s">
        <v>925</v>
      </c>
      <c r="BG179" s="7" t="s">
        <v>3704</v>
      </c>
      <c r="BH179" s="7" t="s">
        <v>3705</v>
      </c>
      <c r="BI179" s="7"/>
      <c r="BJ179" s="19" t="s">
        <v>3706</v>
      </c>
      <c r="BK179" s="20" t="s">
        <v>3707</v>
      </c>
      <c r="BL179" s="58" t="s">
        <v>3708</v>
      </c>
      <c r="BM179" s="7" t="s">
        <v>3709</v>
      </c>
      <c r="BN179" s="22" t="s">
        <v>94</v>
      </c>
      <c r="BO179" s="49">
        <v>31933</v>
      </c>
      <c r="BP179" s="17" t="s">
        <v>96</v>
      </c>
      <c r="BQ179" s="17" t="s">
        <v>3699</v>
      </c>
      <c r="BR179" s="18" t="s">
        <v>153</v>
      </c>
      <c r="BS179" s="7" t="s">
        <v>154</v>
      </c>
      <c r="BT179" s="7" t="s">
        <v>761</v>
      </c>
      <c r="BU179" s="7" t="s">
        <v>3710</v>
      </c>
      <c r="BV179" s="8" t="s">
        <v>108</v>
      </c>
      <c r="BW179" s="23" t="s">
        <v>2060</v>
      </c>
      <c r="BX179" s="24" t="s">
        <v>3711</v>
      </c>
      <c r="BY179" s="21" t="s">
        <v>108</v>
      </c>
      <c r="BZ179" s="21" t="s">
        <v>108</v>
      </c>
      <c r="CA179" s="21"/>
      <c r="CB179" s="21"/>
      <c r="CC179" s="21"/>
      <c r="CD179" s="21"/>
      <c r="CE179" s="21" t="s">
        <v>108</v>
      </c>
      <c r="CF179" s="21"/>
      <c r="CG179" s="21" t="s">
        <v>108</v>
      </c>
      <c r="CH179" s="21"/>
      <c r="CI179" s="21"/>
      <c r="CJ179" s="21" t="s">
        <v>108</v>
      </c>
      <c r="CK179" s="21" t="s">
        <v>108</v>
      </c>
      <c r="CL179" s="21" t="s">
        <v>108</v>
      </c>
      <c r="CM179" s="25"/>
      <c r="CN179" s="25"/>
      <c r="CO179" s="25"/>
      <c r="CP179" s="26"/>
    </row>
    <row r="180" spans="1:94" s="27" customFormat="1" ht="23.25" customHeight="1">
      <c r="A180" s="4">
        <v>77</v>
      </c>
      <c r="B180" s="6"/>
      <c r="C180" s="6"/>
      <c r="D180" s="6"/>
      <c r="E180" s="6"/>
      <c r="F180" s="6"/>
      <c r="G180" s="6"/>
      <c r="H180" s="5"/>
      <c r="I180" s="7" t="s">
        <v>2452</v>
      </c>
      <c r="J180" s="7" t="s">
        <v>3757</v>
      </c>
      <c r="K180" s="7" t="s">
        <v>3758</v>
      </c>
      <c r="L180" s="5"/>
      <c r="M180" s="5">
        <v>2148</v>
      </c>
      <c r="N180" s="9">
        <v>3183294376</v>
      </c>
      <c r="O180" s="9" t="s">
        <v>11587</v>
      </c>
      <c r="P180" s="10" t="s">
        <v>3759</v>
      </c>
      <c r="Q180" s="389" t="s">
        <v>3760</v>
      </c>
      <c r="R180" s="8" t="s">
        <v>2450</v>
      </c>
      <c r="S180" s="212" t="s">
        <v>12140</v>
      </c>
      <c r="T180" s="8" t="s">
        <v>3738</v>
      </c>
      <c r="U180" s="11" t="s">
        <v>172</v>
      </c>
      <c r="V180" s="12" t="s">
        <v>3761</v>
      </c>
      <c r="W180" s="13">
        <v>43421</v>
      </c>
      <c r="X180" s="13" t="str">
        <f t="shared" ca="1" si="2"/>
        <v>7 Th, 9 Bln</v>
      </c>
      <c r="Y180" s="5" t="s">
        <v>95</v>
      </c>
      <c r="Z180" s="14" t="s">
        <v>108</v>
      </c>
      <c r="AA180" s="5" t="s">
        <v>96</v>
      </c>
      <c r="AB180" s="5" t="s">
        <v>97</v>
      </c>
      <c r="AC180" s="7" t="s">
        <v>3762</v>
      </c>
      <c r="AD180" s="131" t="s">
        <v>384</v>
      </c>
      <c r="AE180" s="131" t="s">
        <v>207</v>
      </c>
      <c r="AF180" s="7" t="s">
        <v>3763</v>
      </c>
      <c r="AG180" s="7" t="s">
        <v>3764</v>
      </c>
      <c r="AH180" s="7" t="s">
        <v>141</v>
      </c>
      <c r="AI180" s="7">
        <v>50198</v>
      </c>
      <c r="AJ180" s="7" t="s">
        <v>3765</v>
      </c>
      <c r="AK180" s="7" t="s">
        <v>104</v>
      </c>
      <c r="AL180" s="7" t="s">
        <v>3766</v>
      </c>
      <c r="AM180" s="15" t="s">
        <v>127</v>
      </c>
      <c r="AN180" s="15" t="s">
        <v>3767</v>
      </c>
      <c r="AO180" s="8">
        <v>1</v>
      </c>
      <c r="AP180" s="8" t="s">
        <v>147</v>
      </c>
      <c r="AQ180" s="8" t="s">
        <v>147</v>
      </c>
      <c r="AR180" s="8" t="s">
        <v>147</v>
      </c>
      <c r="AS180" s="132" t="s">
        <v>3290</v>
      </c>
      <c r="AT180" s="131" t="s">
        <v>2780</v>
      </c>
      <c r="AU180" s="132" t="s">
        <v>149</v>
      </c>
      <c r="AV180" s="16" t="s">
        <v>112</v>
      </c>
      <c r="AW180" s="56"/>
      <c r="AX180" s="56" t="s">
        <v>183</v>
      </c>
      <c r="AY180" s="56" t="s">
        <v>3768</v>
      </c>
      <c r="AZ180" s="7" t="s">
        <v>3769</v>
      </c>
      <c r="BA180" s="10" t="s">
        <v>3761</v>
      </c>
      <c r="BB180" s="52">
        <v>33954</v>
      </c>
      <c r="BC180" s="17" t="s">
        <v>96</v>
      </c>
      <c r="BD180" s="17" t="s">
        <v>3767</v>
      </c>
      <c r="BE180" s="18" t="s">
        <v>118</v>
      </c>
      <c r="BF180" s="7" t="s">
        <v>1526</v>
      </c>
      <c r="BG180" s="7" t="s">
        <v>3770</v>
      </c>
      <c r="BH180" s="7" t="s">
        <v>3771</v>
      </c>
      <c r="BI180" s="7" t="s">
        <v>127</v>
      </c>
      <c r="BJ180" s="19" t="s">
        <v>3637</v>
      </c>
      <c r="BK180" s="20" t="s">
        <v>3772</v>
      </c>
      <c r="BL180" s="58" t="s">
        <v>3773</v>
      </c>
      <c r="BM180" s="7" t="s">
        <v>3774</v>
      </c>
      <c r="BN180" s="22" t="s">
        <v>3761</v>
      </c>
      <c r="BO180" s="49">
        <v>34259</v>
      </c>
      <c r="BP180" s="17" t="s">
        <v>96</v>
      </c>
      <c r="BQ180" s="17" t="s">
        <v>3775</v>
      </c>
      <c r="BR180" s="18" t="s">
        <v>118</v>
      </c>
      <c r="BS180" s="7" t="s">
        <v>126</v>
      </c>
      <c r="BT180" s="7" t="s">
        <v>452</v>
      </c>
      <c r="BU180" s="7" t="s">
        <v>452</v>
      </c>
      <c r="BV180" s="8" t="s">
        <v>127</v>
      </c>
      <c r="BW180" s="23" t="s">
        <v>3776</v>
      </c>
      <c r="BX180" s="24" t="s">
        <v>3777</v>
      </c>
      <c r="BY180" s="21" t="s">
        <v>108</v>
      </c>
      <c r="BZ180" s="21" t="s">
        <v>108</v>
      </c>
      <c r="CA180" s="21"/>
      <c r="CB180" s="21"/>
      <c r="CC180" s="21"/>
      <c r="CD180" s="21"/>
      <c r="CE180" s="21" t="s">
        <v>108</v>
      </c>
      <c r="CF180" s="21"/>
      <c r="CG180" s="21" t="s">
        <v>108</v>
      </c>
      <c r="CH180" s="21"/>
      <c r="CI180" s="21"/>
      <c r="CJ180" s="21" t="s">
        <v>108</v>
      </c>
      <c r="CK180" s="21" t="s">
        <v>108</v>
      </c>
      <c r="CL180" s="21" t="s">
        <v>108</v>
      </c>
      <c r="CM180" s="25"/>
      <c r="CN180" s="25"/>
      <c r="CO180" s="25"/>
      <c r="CP180" s="26"/>
    </row>
    <row r="181" spans="1:94" s="27" customFormat="1" ht="23.25" customHeight="1">
      <c r="A181" s="4">
        <v>78</v>
      </c>
      <c r="B181" s="6"/>
      <c r="C181" s="6"/>
      <c r="D181" s="6"/>
      <c r="E181" s="6"/>
      <c r="F181" s="6"/>
      <c r="G181" s="6"/>
      <c r="H181" s="5"/>
      <c r="I181" s="7" t="s">
        <v>2452</v>
      </c>
      <c r="J181" s="7" t="s">
        <v>166</v>
      </c>
      <c r="K181" s="7" t="s">
        <v>3815</v>
      </c>
      <c r="L181" s="5"/>
      <c r="M181" s="5">
        <v>2152</v>
      </c>
      <c r="N181" s="9">
        <v>3199562293</v>
      </c>
      <c r="O181" s="9" t="s">
        <v>11588</v>
      </c>
      <c r="P181" s="10" t="s">
        <v>3816</v>
      </c>
      <c r="Q181" s="389" t="s">
        <v>3817</v>
      </c>
      <c r="R181" s="8" t="s">
        <v>2450</v>
      </c>
      <c r="S181" s="212" t="s">
        <v>12140</v>
      </c>
      <c r="T181" s="8" t="s">
        <v>3818</v>
      </c>
      <c r="U181" s="11" t="s">
        <v>93</v>
      </c>
      <c r="V181" s="12" t="s">
        <v>2524</v>
      </c>
      <c r="W181" s="13">
        <v>43535</v>
      </c>
      <c r="X181" s="13" t="str">
        <f t="shared" ca="1" si="2"/>
        <v>7 Th, 6 Bln</v>
      </c>
      <c r="Y181" s="5" t="s">
        <v>95</v>
      </c>
      <c r="Z181" s="14" t="s">
        <v>108</v>
      </c>
      <c r="AA181" s="5" t="s">
        <v>96</v>
      </c>
      <c r="AB181" s="5" t="s">
        <v>97</v>
      </c>
      <c r="AC181" s="7" t="s">
        <v>3819</v>
      </c>
      <c r="AD181" s="131" t="s">
        <v>137</v>
      </c>
      <c r="AE181" s="131" t="s">
        <v>100</v>
      </c>
      <c r="AF181" s="7" t="s">
        <v>319</v>
      </c>
      <c r="AG181" s="7" t="s">
        <v>140</v>
      </c>
      <c r="AH181" s="7" t="s">
        <v>141</v>
      </c>
      <c r="AI181" s="7">
        <v>65152</v>
      </c>
      <c r="AJ181" s="7" t="s">
        <v>142</v>
      </c>
      <c r="AK181" s="7" t="s">
        <v>104</v>
      </c>
      <c r="AL181" s="7" t="s">
        <v>146</v>
      </c>
      <c r="AM181" s="15" t="s">
        <v>127</v>
      </c>
      <c r="AN181" s="15" t="s">
        <v>3820</v>
      </c>
      <c r="AO181" s="8">
        <v>1</v>
      </c>
      <c r="AP181" s="8" t="s">
        <v>147</v>
      </c>
      <c r="AQ181" s="8" t="s">
        <v>147</v>
      </c>
      <c r="AR181" s="8" t="s">
        <v>147</v>
      </c>
      <c r="AS181" s="132" t="s">
        <v>2979</v>
      </c>
      <c r="AT181" s="131" t="s">
        <v>3002</v>
      </c>
      <c r="AU181" s="132" t="s">
        <v>149</v>
      </c>
      <c r="AV181" s="16" t="s">
        <v>112</v>
      </c>
      <c r="AW181" s="56"/>
      <c r="AX181" s="56" t="s">
        <v>183</v>
      </c>
      <c r="AY181" s="56" t="s">
        <v>3821</v>
      </c>
      <c r="AZ181" s="7" t="s">
        <v>3822</v>
      </c>
      <c r="BA181" s="10" t="s">
        <v>2524</v>
      </c>
      <c r="BB181" s="52">
        <v>33404</v>
      </c>
      <c r="BC181" s="17" t="s">
        <v>96</v>
      </c>
      <c r="BD181" s="17" t="s">
        <v>3823</v>
      </c>
      <c r="BE181" s="18" t="s">
        <v>118</v>
      </c>
      <c r="BF181" s="7" t="s">
        <v>247</v>
      </c>
      <c r="BG181" s="7" t="s">
        <v>127</v>
      </c>
      <c r="BH181" s="7" t="s">
        <v>3824</v>
      </c>
      <c r="BI181" s="7" t="s">
        <v>127</v>
      </c>
      <c r="BJ181" s="19">
        <v>3500000</v>
      </c>
      <c r="BK181" s="20" t="s">
        <v>3825</v>
      </c>
      <c r="BL181" s="58" t="s">
        <v>3826</v>
      </c>
      <c r="BM181" s="7" t="s">
        <v>3827</v>
      </c>
      <c r="BN181" s="22" t="s">
        <v>2524</v>
      </c>
      <c r="BO181" s="49">
        <v>33667</v>
      </c>
      <c r="BP181" s="17" t="s">
        <v>96</v>
      </c>
      <c r="BQ181" s="17" t="s">
        <v>3820</v>
      </c>
      <c r="BR181" s="18" t="s">
        <v>153</v>
      </c>
      <c r="BS181" s="7" t="s">
        <v>471</v>
      </c>
      <c r="BT181" s="7" t="s">
        <v>768</v>
      </c>
      <c r="BU181" s="7" t="s">
        <v>3828</v>
      </c>
      <c r="BV181" s="8" t="s">
        <v>3829</v>
      </c>
      <c r="BW181" s="23">
        <v>6800000</v>
      </c>
      <c r="BX181" s="24" t="s">
        <v>3830</v>
      </c>
      <c r="BY181" s="21" t="s">
        <v>3831</v>
      </c>
      <c r="BZ181" s="21" t="s">
        <v>2524</v>
      </c>
      <c r="CA181" s="21">
        <v>34140</v>
      </c>
      <c r="CB181" s="21"/>
      <c r="CC181" s="21" t="s">
        <v>3832</v>
      </c>
      <c r="CD181" s="21" t="s">
        <v>118</v>
      </c>
      <c r="CE181" s="21" t="s">
        <v>247</v>
      </c>
      <c r="CF181" s="21" t="s">
        <v>96</v>
      </c>
      <c r="CG181" s="21" t="s">
        <v>3833</v>
      </c>
      <c r="CH181" s="21" t="s">
        <v>293</v>
      </c>
      <c r="CI181" s="21" t="s">
        <v>100</v>
      </c>
      <c r="CJ181" s="21" t="s">
        <v>1781</v>
      </c>
      <c r="CK181" s="21" t="s">
        <v>1782</v>
      </c>
      <c r="CL181" s="21" t="s">
        <v>3834</v>
      </c>
      <c r="CM181" s="25"/>
      <c r="CN181" s="25"/>
      <c r="CO181" s="25"/>
      <c r="CP181" s="26"/>
    </row>
    <row r="182" spans="1:94" s="27" customFormat="1" ht="23.25" customHeight="1">
      <c r="A182" s="4">
        <v>79</v>
      </c>
      <c r="B182" s="6"/>
      <c r="C182" s="6"/>
      <c r="D182" s="6"/>
      <c r="E182" s="6"/>
      <c r="F182" s="6"/>
      <c r="G182" s="6"/>
      <c r="H182" s="5"/>
      <c r="I182" s="7" t="s">
        <v>86</v>
      </c>
      <c r="J182" s="7" t="s">
        <v>3914</v>
      </c>
      <c r="K182" s="7" t="s">
        <v>3915</v>
      </c>
      <c r="L182" s="5"/>
      <c r="M182" s="5">
        <v>2158</v>
      </c>
      <c r="N182" s="9">
        <v>3180097236</v>
      </c>
      <c r="O182" s="9" t="s">
        <v>11589</v>
      </c>
      <c r="P182" s="10" t="s">
        <v>3916</v>
      </c>
      <c r="Q182" s="389" t="s">
        <v>3917</v>
      </c>
      <c r="R182" s="8" t="s">
        <v>2450</v>
      </c>
      <c r="S182" s="212" t="s">
        <v>12140</v>
      </c>
      <c r="T182" s="8" t="s">
        <v>3918</v>
      </c>
      <c r="U182" s="11" t="s">
        <v>172</v>
      </c>
      <c r="V182" s="12" t="s">
        <v>971</v>
      </c>
      <c r="W182" s="13">
        <v>43253</v>
      </c>
      <c r="X182" s="13" t="str">
        <f t="shared" ca="1" si="2"/>
        <v>8 Th, 3 Bln</v>
      </c>
      <c r="Y182" s="5" t="s">
        <v>95</v>
      </c>
      <c r="Z182" s="14" t="s">
        <v>108</v>
      </c>
      <c r="AA182" s="5" t="s">
        <v>96</v>
      </c>
      <c r="AB182" s="5" t="s">
        <v>97</v>
      </c>
      <c r="AC182" s="7" t="s">
        <v>3919</v>
      </c>
      <c r="AD182" s="131" t="s">
        <v>176</v>
      </c>
      <c r="AE182" s="131" t="s">
        <v>827</v>
      </c>
      <c r="AF182" s="7" t="s">
        <v>319</v>
      </c>
      <c r="AG182" s="7" t="s">
        <v>140</v>
      </c>
      <c r="AH182" s="7" t="s">
        <v>141</v>
      </c>
      <c r="AI182" s="7"/>
      <c r="AJ182" s="7" t="s">
        <v>94</v>
      </c>
      <c r="AK182" s="7" t="s">
        <v>179</v>
      </c>
      <c r="AL182" s="7" t="s">
        <v>3920</v>
      </c>
      <c r="AM182" s="15">
        <v>0</v>
      </c>
      <c r="AN182" s="15">
        <v>0</v>
      </c>
      <c r="AO182" s="8">
        <v>1</v>
      </c>
      <c r="AP182" s="8" t="s">
        <v>146</v>
      </c>
      <c r="AQ182" s="8" t="s">
        <v>108</v>
      </c>
      <c r="AR182" s="8" t="s">
        <v>108</v>
      </c>
      <c r="AS182" s="132" t="s">
        <v>3921</v>
      </c>
      <c r="AT182" s="131" t="s">
        <v>2530</v>
      </c>
      <c r="AU182" s="132" t="s">
        <v>182</v>
      </c>
      <c r="AV182" s="16" t="s">
        <v>112</v>
      </c>
      <c r="AW182" s="56"/>
      <c r="AX182" s="56" t="s">
        <v>183</v>
      </c>
      <c r="AY182" s="56" t="s">
        <v>3922</v>
      </c>
      <c r="AZ182" s="7" t="s">
        <v>3923</v>
      </c>
      <c r="BA182" s="10" t="s">
        <v>1456</v>
      </c>
      <c r="BB182" s="52">
        <v>33366</v>
      </c>
      <c r="BC182" s="17" t="s">
        <v>96</v>
      </c>
      <c r="BD182" s="17" t="s">
        <v>3924</v>
      </c>
      <c r="BE182" s="18" t="s">
        <v>118</v>
      </c>
      <c r="BF182" s="7" t="s">
        <v>471</v>
      </c>
      <c r="BG182" s="7" t="s">
        <v>3925</v>
      </c>
      <c r="BH182" s="7" t="s">
        <v>3926</v>
      </c>
      <c r="BI182" s="7"/>
      <c r="BJ182" s="19">
        <v>12000000</v>
      </c>
      <c r="BK182" s="20" t="s">
        <v>3927</v>
      </c>
      <c r="BL182" s="58" t="s">
        <v>3928</v>
      </c>
      <c r="BM182" s="7" t="s">
        <v>3929</v>
      </c>
      <c r="BN182" s="22" t="s">
        <v>94</v>
      </c>
      <c r="BO182" s="49">
        <v>34445</v>
      </c>
      <c r="BP182" s="17" t="s">
        <v>96</v>
      </c>
      <c r="BQ182" s="17" t="s">
        <v>3930</v>
      </c>
      <c r="BR182" s="18" t="s">
        <v>216</v>
      </c>
      <c r="BS182" s="7" t="s">
        <v>126</v>
      </c>
      <c r="BT182" s="7" t="s">
        <v>127</v>
      </c>
      <c r="BU182" s="7" t="s">
        <v>127</v>
      </c>
      <c r="BV182" s="8" t="s">
        <v>108</v>
      </c>
      <c r="BW182" s="23" t="s">
        <v>127</v>
      </c>
      <c r="BX182" s="24" t="s">
        <v>3931</v>
      </c>
      <c r="BY182" s="21" t="s">
        <v>108</v>
      </c>
      <c r="BZ182" s="21" t="s">
        <v>108</v>
      </c>
      <c r="CA182" s="21"/>
      <c r="CB182" s="21"/>
      <c r="CC182" s="21"/>
      <c r="CD182" s="21"/>
      <c r="CE182" s="21" t="s">
        <v>108</v>
      </c>
      <c r="CF182" s="21"/>
      <c r="CG182" s="21" t="s">
        <v>108</v>
      </c>
      <c r="CH182" s="21"/>
      <c r="CI182" s="21"/>
      <c r="CJ182" s="21" t="s">
        <v>108</v>
      </c>
      <c r="CK182" s="21" t="s">
        <v>108</v>
      </c>
      <c r="CL182" s="21" t="s">
        <v>108</v>
      </c>
      <c r="CM182" s="25"/>
      <c r="CN182" s="25"/>
      <c r="CO182" s="25"/>
      <c r="CP182" s="26"/>
    </row>
    <row r="183" spans="1:94" s="27" customFormat="1" ht="23.25" customHeight="1">
      <c r="A183" s="4">
        <v>80</v>
      </c>
      <c r="B183" s="6"/>
      <c r="C183" s="6"/>
      <c r="D183" s="6"/>
      <c r="E183" s="6"/>
      <c r="F183" s="6"/>
      <c r="G183" s="6"/>
      <c r="H183" s="5"/>
      <c r="I183" s="7" t="s">
        <v>2684</v>
      </c>
      <c r="J183" s="7" t="s">
        <v>4221</v>
      </c>
      <c r="K183" s="7" t="s">
        <v>4222</v>
      </c>
      <c r="L183" s="5"/>
      <c r="M183" s="5">
        <v>2173</v>
      </c>
      <c r="N183" s="9">
        <v>3187143837</v>
      </c>
      <c r="O183" s="9" t="s">
        <v>11590</v>
      </c>
      <c r="P183" s="10" t="s">
        <v>11469</v>
      </c>
      <c r="Q183" s="389" t="s">
        <v>4223</v>
      </c>
      <c r="R183" s="8" t="s">
        <v>2450</v>
      </c>
      <c r="S183" s="212" t="s">
        <v>12140</v>
      </c>
      <c r="T183" s="8" t="s">
        <v>4224</v>
      </c>
      <c r="U183" s="11" t="s">
        <v>172</v>
      </c>
      <c r="V183" s="12" t="s">
        <v>94</v>
      </c>
      <c r="W183" s="13">
        <v>43118</v>
      </c>
      <c r="X183" s="13" t="str">
        <f t="shared" ca="1" si="2"/>
        <v>8 Th, 7 Bln</v>
      </c>
      <c r="Y183" s="5" t="s">
        <v>95</v>
      </c>
      <c r="Z183" s="14" t="s">
        <v>108</v>
      </c>
      <c r="AA183" s="5" t="s">
        <v>96</v>
      </c>
      <c r="AB183" s="5" t="s">
        <v>97</v>
      </c>
      <c r="AC183" s="7" t="s">
        <v>4225</v>
      </c>
      <c r="AD183" s="131" t="s">
        <v>384</v>
      </c>
      <c r="AE183" s="131">
        <v>17</v>
      </c>
      <c r="AF183" s="7" t="s">
        <v>139</v>
      </c>
      <c r="AG183" s="7" t="s">
        <v>140</v>
      </c>
      <c r="AH183" s="7" t="s">
        <v>141</v>
      </c>
      <c r="AI183" s="7">
        <v>65152</v>
      </c>
      <c r="AJ183" s="7" t="s">
        <v>94</v>
      </c>
      <c r="AK183" s="7" t="s">
        <v>104</v>
      </c>
      <c r="AL183" s="7" t="s">
        <v>461</v>
      </c>
      <c r="AM183" s="15" t="s">
        <v>127</v>
      </c>
      <c r="AN183" s="15" t="s">
        <v>4226</v>
      </c>
      <c r="AO183" s="8">
        <v>2</v>
      </c>
      <c r="AP183" s="8" t="s">
        <v>107</v>
      </c>
      <c r="AQ183" s="8" t="s">
        <v>127</v>
      </c>
      <c r="AR183" s="8" t="s">
        <v>127</v>
      </c>
      <c r="AS183" s="132" t="s">
        <v>4227</v>
      </c>
      <c r="AT183" s="131" t="s">
        <v>2593</v>
      </c>
      <c r="AU183" s="132" t="s">
        <v>111</v>
      </c>
      <c r="AV183" s="16" t="s">
        <v>112</v>
      </c>
      <c r="AW183" s="56"/>
      <c r="AX183" s="56" t="s">
        <v>183</v>
      </c>
      <c r="AY183" s="56" t="s">
        <v>4228</v>
      </c>
      <c r="AZ183" s="7" t="s">
        <v>4229</v>
      </c>
      <c r="BA183" s="10" t="s">
        <v>94</v>
      </c>
      <c r="BB183" s="52">
        <v>27973</v>
      </c>
      <c r="BC183" s="17" t="s">
        <v>96</v>
      </c>
      <c r="BD183" s="17" t="s">
        <v>4230</v>
      </c>
      <c r="BE183" s="18" t="s">
        <v>118</v>
      </c>
      <c r="BF183" s="7" t="s">
        <v>554</v>
      </c>
      <c r="BG183" s="7" t="s">
        <v>4231</v>
      </c>
      <c r="BH183" s="7" t="s">
        <v>4232</v>
      </c>
      <c r="BI183" s="7" t="s">
        <v>4233</v>
      </c>
      <c r="BJ183" s="19" t="s">
        <v>4234</v>
      </c>
      <c r="BK183" s="20" t="s">
        <v>4235</v>
      </c>
      <c r="BL183" s="58" t="s">
        <v>4236</v>
      </c>
      <c r="BM183" s="7" t="s">
        <v>4237</v>
      </c>
      <c r="BN183" s="22" t="s">
        <v>502</v>
      </c>
      <c r="BO183" s="49">
        <v>30828</v>
      </c>
      <c r="BP183" s="17" t="s">
        <v>96</v>
      </c>
      <c r="BQ183" s="17" t="s">
        <v>4226</v>
      </c>
      <c r="BR183" s="18" t="s">
        <v>153</v>
      </c>
      <c r="BS183" s="7" t="s">
        <v>4238</v>
      </c>
      <c r="BT183" s="7" t="s">
        <v>4231</v>
      </c>
      <c r="BU183" s="7" t="s">
        <v>4232</v>
      </c>
      <c r="BV183" s="8" t="s">
        <v>4233</v>
      </c>
      <c r="BW183" s="23" t="s">
        <v>2707</v>
      </c>
      <c r="BX183" s="24" t="s">
        <v>4239</v>
      </c>
      <c r="BY183" s="21" t="s">
        <v>108</v>
      </c>
      <c r="BZ183" s="21" t="s">
        <v>108</v>
      </c>
      <c r="CA183" s="21"/>
      <c r="CB183" s="21"/>
      <c r="CC183" s="21"/>
      <c r="CD183" s="21"/>
      <c r="CE183" s="21" t="s">
        <v>108</v>
      </c>
      <c r="CF183" s="21"/>
      <c r="CG183" s="21" t="s">
        <v>108</v>
      </c>
      <c r="CH183" s="21"/>
      <c r="CI183" s="21"/>
      <c r="CJ183" s="21" t="s">
        <v>108</v>
      </c>
      <c r="CK183" s="21" t="s">
        <v>108</v>
      </c>
      <c r="CL183" s="21" t="s">
        <v>108</v>
      </c>
      <c r="CM183" s="25"/>
      <c r="CN183" s="25"/>
      <c r="CO183" s="25"/>
      <c r="CP183" s="26"/>
    </row>
    <row r="184" spans="1:94" s="27" customFormat="1" ht="23.25" customHeight="1">
      <c r="A184" s="4">
        <v>81</v>
      </c>
      <c r="B184" s="6"/>
      <c r="C184" s="6"/>
      <c r="D184" s="6"/>
      <c r="E184" s="6"/>
      <c r="F184" s="6"/>
      <c r="G184" s="6"/>
      <c r="H184" s="5"/>
      <c r="I184" s="7" t="s">
        <v>86</v>
      </c>
      <c r="J184" s="7" t="s">
        <v>3856</v>
      </c>
      <c r="K184" s="7" t="s">
        <v>4240</v>
      </c>
      <c r="L184" s="5"/>
      <c r="M184" s="5">
        <v>2174</v>
      </c>
      <c r="N184" s="9">
        <v>3188101574</v>
      </c>
      <c r="O184" s="9" t="s">
        <v>11591</v>
      </c>
      <c r="P184" s="10" t="s">
        <v>4241</v>
      </c>
      <c r="Q184" s="389" t="s">
        <v>4242</v>
      </c>
      <c r="R184" s="8" t="s">
        <v>2450</v>
      </c>
      <c r="S184" s="212" t="s">
        <v>12140</v>
      </c>
      <c r="T184" s="8" t="s">
        <v>4243</v>
      </c>
      <c r="U184" s="11" t="s">
        <v>172</v>
      </c>
      <c r="V184" s="12" t="s">
        <v>94</v>
      </c>
      <c r="W184" s="13">
        <v>43204</v>
      </c>
      <c r="X184" s="13" t="str">
        <f t="shared" ca="1" si="2"/>
        <v>8 Th, 5 Bln</v>
      </c>
      <c r="Y184" s="5" t="s">
        <v>95</v>
      </c>
      <c r="Z184" s="14" t="s">
        <v>108</v>
      </c>
      <c r="AA184" s="5" t="s">
        <v>96</v>
      </c>
      <c r="AB184" s="5" t="s">
        <v>97</v>
      </c>
      <c r="AC184" s="7" t="s">
        <v>4244</v>
      </c>
      <c r="AD184" s="131" t="s">
        <v>827</v>
      </c>
      <c r="AE184" s="131" t="s">
        <v>175</v>
      </c>
      <c r="AF184" s="7" t="s">
        <v>1976</v>
      </c>
      <c r="AG184" s="7" t="s">
        <v>140</v>
      </c>
      <c r="AH184" s="7" t="s">
        <v>141</v>
      </c>
      <c r="AI184" s="7"/>
      <c r="AJ184" s="7" t="s">
        <v>94</v>
      </c>
      <c r="AK184" s="7" t="s">
        <v>179</v>
      </c>
      <c r="AL184" s="7" t="s">
        <v>665</v>
      </c>
      <c r="AM184" s="15" t="s">
        <v>4245</v>
      </c>
      <c r="AN184" s="15" t="s">
        <v>4246</v>
      </c>
      <c r="AO184" s="8">
        <v>1</v>
      </c>
      <c r="AP184" s="8" t="s">
        <v>146</v>
      </c>
      <c r="AQ184" s="8" t="s">
        <v>108</v>
      </c>
      <c r="AR184" s="8" t="s">
        <v>108</v>
      </c>
      <c r="AS184" s="132" t="s">
        <v>4189</v>
      </c>
      <c r="AT184" s="131" t="s">
        <v>4247</v>
      </c>
      <c r="AU184" s="132" t="s">
        <v>182</v>
      </c>
      <c r="AV184" s="16" t="s">
        <v>112</v>
      </c>
      <c r="AW184" s="56"/>
      <c r="AX184" s="56" t="s">
        <v>114</v>
      </c>
      <c r="AY184" s="56" t="s">
        <v>4248</v>
      </c>
      <c r="AZ184" s="7" t="s">
        <v>4249</v>
      </c>
      <c r="BA184" s="10" t="s">
        <v>971</v>
      </c>
      <c r="BB184" s="52">
        <v>33049</v>
      </c>
      <c r="BC184" s="17" t="s">
        <v>96</v>
      </c>
      <c r="BD184" s="17" t="s">
        <v>4250</v>
      </c>
      <c r="BE184" s="18" t="s">
        <v>216</v>
      </c>
      <c r="BF184" s="7" t="s">
        <v>247</v>
      </c>
      <c r="BG184" s="7" t="s">
        <v>4251</v>
      </c>
      <c r="BH184" s="7" t="s">
        <v>4252</v>
      </c>
      <c r="BI184" s="7" t="s">
        <v>4253</v>
      </c>
      <c r="BJ184" s="19" t="s">
        <v>4254</v>
      </c>
      <c r="BK184" s="20" t="s">
        <v>4255</v>
      </c>
      <c r="BL184" s="58" t="s">
        <v>4256</v>
      </c>
      <c r="BM184" s="7" t="s">
        <v>4257</v>
      </c>
      <c r="BN184" s="22" t="s">
        <v>94</v>
      </c>
      <c r="BO184" s="49">
        <v>33794</v>
      </c>
      <c r="BP184" s="17" t="s">
        <v>96</v>
      </c>
      <c r="BQ184" s="17" t="s">
        <v>4246</v>
      </c>
      <c r="BR184" s="18" t="s">
        <v>118</v>
      </c>
      <c r="BS184" s="7" t="s">
        <v>126</v>
      </c>
      <c r="BT184" s="7" t="s">
        <v>452</v>
      </c>
      <c r="BU184" s="7" t="s">
        <v>4244</v>
      </c>
      <c r="BV184" s="8" t="s">
        <v>108</v>
      </c>
      <c r="BW184" s="23">
        <v>0</v>
      </c>
      <c r="BX184" s="24" t="s">
        <v>4258</v>
      </c>
      <c r="BY184" s="21" t="s">
        <v>4248</v>
      </c>
      <c r="BZ184" s="21" t="s">
        <v>971</v>
      </c>
      <c r="CA184" s="21">
        <v>33049</v>
      </c>
      <c r="CB184" s="21"/>
      <c r="CC184" s="21" t="s">
        <v>4259</v>
      </c>
      <c r="CD184" s="21" t="s">
        <v>216</v>
      </c>
      <c r="CE184" s="21" t="s">
        <v>195</v>
      </c>
      <c r="CF184" s="21" t="s">
        <v>96</v>
      </c>
      <c r="CG184" s="21" t="s">
        <v>4244</v>
      </c>
      <c r="CH184" s="21" t="s">
        <v>827</v>
      </c>
      <c r="CI184" s="21" t="s">
        <v>175</v>
      </c>
      <c r="CJ184" s="21" t="s">
        <v>1976</v>
      </c>
      <c r="CK184" s="21" t="s">
        <v>140</v>
      </c>
      <c r="CL184" s="21" t="s">
        <v>94</v>
      </c>
      <c r="CM184" s="25"/>
      <c r="CN184" s="25"/>
      <c r="CO184" s="25"/>
      <c r="CP184" s="26"/>
    </row>
    <row r="185" spans="1:94" s="27" customFormat="1" ht="23.25" customHeight="1">
      <c r="A185" s="4">
        <v>82</v>
      </c>
      <c r="B185" s="6"/>
      <c r="C185" s="6"/>
      <c r="D185" s="6"/>
      <c r="E185" s="6"/>
      <c r="F185" s="6"/>
      <c r="G185" s="6"/>
      <c r="H185" s="5"/>
      <c r="I185" s="7" t="s">
        <v>2452</v>
      </c>
      <c r="J185" s="7" t="s">
        <v>287</v>
      </c>
      <c r="K185" s="7" t="s">
        <v>4278</v>
      </c>
      <c r="L185" s="5"/>
      <c r="M185" s="5">
        <v>2176</v>
      </c>
      <c r="N185" s="9">
        <v>3186973725</v>
      </c>
      <c r="O185" s="9" t="s">
        <v>11592</v>
      </c>
      <c r="P185" s="10" t="s">
        <v>4279</v>
      </c>
      <c r="Q185" s="389" t="s">
        <v>4280</v>
      </c>
      <c r="R185" s="8" t="s">
        <v>2450</v>
      </c>
      <c r="S185" s="212" t="s">
        <v>12140</v>
      </c>
      <c r="T185" s="8" t="s">
        <v>2689</v>
      </c>
      <c r="U185" s="11" t="s">
        <v>172</v>
      </c>
      <c r="V185" s="12" t="s">
        <v>435</v>
      </c>
      <c r="W185" s="13">
        <v>43460</v>
      </c>
      <c r="X185" s="13" t="str">
        <f t="shared" ca="1" si="2"/>
        <v>7 Th, 8 Bln</v>
      </c>
      <c r="Y185" s="5" t="s">
        <v>95</v>
      </c>
      <c r="Z185" s="14" t="s">
        <v>108</v>
      </c>
      <c r="AA185" s="5" t="s">
        <v>96</v>
      </c>
      <c r="AB185" s="5" t="s">
        <v>97</v>
      </c>
      <c r="AC185" s="7" t="s">
        <v>4281</v>
      </c>
      <c r="AD185" s="131" t="s">
        <v>827</v>
      </c>
      <c r="AE185" s="131" t="s">
        <v>2589</v>
      </c>
      <c r="AF185" s="7" t="s">
        <v>686</v>
      </c>
      <c r="AG185" s="7" t="s">
        <v>687</v>
      </c>
      <c r="AH185" s="7" t="s">
        <v>141</v>
      </c>
      <c r="AI185" s="7">
        <v>65151</v>
      </c>
      <c r="AJ185" s="7" t="s">
        <v>94</v>
      </c>
      <c r="AK185" s="7" t="s">
        <v>104</v>
      </c>
      <c r="AL185" s="7" t="s">
        <v>665</v>
      </c>
      <c r="AM185" s="15" t="s">
        <v>4282</v>
      </c>
      <c r="AN185" s="15" t="s">
        <v>4283</v>
      </c>
      <c r="AO185" s="8" t="s">
        <v>3419</v>
      </c>
      <c r="AP185" s="8" t="s">
        <v>146</v>
      </c>
      <c r="AQ185" s="8" t="s">
        <v>108</v>
      </c>
      <c r="AR185" s="8" t="s">
        <v>108</v>
      </c>
      <c r="AS185" s="132" t="s">
        <v>3864</v>
      </c>
      <c r="AT185" s="131" t="s">
        <v>2483</v>
      </c>
      <c r="AU185" s="132" t="s">
        <v>149</v>
      </c>
      <c r="AV185" s="16" t="s">
        <v>112</v>
      </c>
      <c r="AW185" s="56"/>
      <c r="AX185" s="56" t="s">
        <v>183</v>
      </c>
      <c r="AY185" s="56" t="s">
        <v>4284</v>
      </c>
      <c r="AZ185" s="7" t="s">
        <v>4285</v>
      </c>
      <c r="BA185" s="10" t="s">
        <v>435</v>
      </c>
      <c r="BB185" s="52">
        <v>30565</v>
      </c>
      <c r="BC185" s="17" t="s">
        <v>96</v>
      </c>
      <c r="BD185" s="17" t="s">
        <v>4282</v>
      </c>
      <c r="BE185" s="18" t="s">
        <v>118</v>
      </c>
      <c r="BF185" s="7" t="s">
        <v>247</v>
      </c>
      <c r="BG185" s="7" t="s">
        <v>4286</v>
      </c>
      <c r="BH185" s="7" t="s">
        <v>4287</v>
      </c>
      <c r="BI185" s="7"/>
      <c r="BJ185" s="19" t="s">
        <v>929</v>
      </c>
      <c r="BK185" s="20" t="s">
        <v>4288</v>
      </c>
      <c r="BL185" s="58" t="s">
        <v>4289</v>
      </c>
      <c r="BM185" s="7" t="s">
        <v>4290</v>
      </c>
      <c r="BN185" s="22" t="s">
        <v>435</v>
      </c>
      <c r="BO185" s="49">
        <v>32250</v>
      </c>
      <c r="BP185" s="17" t="s">
        <v>96</v>
      </c>
      <c r="BQ185" s="17" t="s">
        <v>4283</v>
      </c>
      <c r="BR185" s="18" t="s">
        <v>216</v>
      </c>
      <c r="BS185" s="7" t="s">
        <v>126</v>
      </c>
      <c r="BT185" s="7" t="s">
        <v>452</v>
      </c>
      <c r="BU185" s="7" t="s">
        <v>4291</v>
      </c>
      <c r="BV185" s="8" t="s">
        <v>108</v>
      </c>
      <c r="BW185" s="23">
        <v>0</v>
      </c>
      <c r="BX185" s="24" t="s">
        <v>4292</v>
      </c>
      <c r="BY185" s="21" t="s">
        <v>108</v>
      </c>
      <c r="BZ185" s="21" t="s">
        <v>108</v>
      </c>
      <c r="CA185" s="21"/>
      <c r="CB185" s="21"/>
      <c r="CC185" s="21"/>
      <c r="CD185" s="21"/>
      <c r="CE185" s="21" t="s">
        <v>247</v>
      </c>
      <c r="CF185" s="21"/>
      <c r="CG185" s="21" t="s">
        <v>108</v>
      </c>
      <c r="CH185" s="21"/>
      <c r="CI185" s="21"/>
      <c r="CJ185" s="21" t="s">
        <v>108</v>
      </c>
      <c r="CK185" s="21" t="s">
        <v>108</v>
      </c>
      <c r="CL185" s="21" t="s">
        <v>108</v>
      </c>
      <c r="CM185" s="25"/>
      <c r="CN185" s="25"/>
      <c r="CO185" s="25"/>
      <c r="CP185" s="26"/>
    </row>
    <row r="186" spans="1:94" s="116" customFormat="1" ht="23.25" customHeight="1">
      <c r="A186" s="4">
        <v>83</v>
      </c>
      <c r="B186" s="6"/>
      <c r="C186" s="6"/>
      <c r="D186" s="6"/>
      <c r="E186" s="6"/>
      <c r="F186" s="6"/>
      <c r="G186" s="6"/>
      <c r="H186" s="5"/>
      <c r="I186" s="7" t="s">
        <v>86</v>
      </c>
      <c r="J186" s="7" t="s">
        <v>4308</v>
      </c>
      <c r="K186" s="7" t="s">
        <v>4309</v>
      </c>
      <c r="L186" s="5"/>
      <c r="M186" s="5">
        <v>2179</v>
      </c>
      <c r="N186" s="9">
        <v>3187409234</v>
      </c>
      <c r="O186" s="9" t="s">
        <v>10359</v>
      </c>
      <c r="P186" s="10" t="s">
        <v>4310</v>
      </c>
      <c r="Q186" s="389" t="s">
        <v>4311</v>
      </c>
      <c r="R186" s="8" t="s">
        <v>2450</v>
      </c>
      <c r="S186" s="212" t="s">
        <v>12140</v>
      </c>
      <c r="T186" s="8" t="s">
        <v>3263</v>
      </c>
      <c r="U186" s="11" t="s">
        <v>172</v>
      </c>
      <c r="V186" s="12" t="s">
        <v>94</v>
      </c>
      <c r="W186" s="13">
        <v>43414</v>
      </c>
      <c r="X186" s="13" t="str">
        <f t="shared" ca="1" si="2"/>
        <v>7 Th, 10 Bln</v>
      </c>
      <c r="Y186" s="5" t="s">
        <v>95</v>
      </c>
      <c r="Z186" s="14" t="s">
        <v>108</v>
      </c>
      <c r="AA186" s="5" t="s">
        <v>96</v>
      </c>
      <c r="AB186" s="5" t="s">
        <v>97</v>
      </c>
      <c r="AC186" s="7" t="s">
        <v>4312</v>
      </c>
      <c r="AD186" s="131" t="s">
        <v>3229</v>
      </c>
      <c r="AE186" s="131" t="s">
        <v>358</v>
      </c>
      <c r="AF186" s="7" t="s">
        <v>1155</v>
      </c>
      <c r="AG186" s="7" t="s">
        <v>140</v>
      </c>
      <c r="AH186" s="7" t="s">
        <v>141</v>
      </c>
      <c r="AI186" s="7"/>
      <c r="AJ186" s="7" t="s">
        <v>94</v>
      </c>
      <c r="AK186" s="7" t="s">
        <v>104</v>
      </c>
      <c r="AL186" s="7" t="s">
        <v>4313</v>
      </c>
      <c r="AM186" s="15" t="s">
        <v>4314</v>
      </c>
      <c r="AN186" s="15" t="s">
        <v>4314</v>
      </c>
      <c r="AO186" s="8">
        <v>2</v>
      </c>
      <c r="AP186" s="8" t="s">
        <v>146</v>
      </c>
      <c r="AQ186" s="8" t="s">
        <v>108</v>
      </c>
      <c r="AR186" s="8" t="s">
        <v>108</v>
      </c>
      <c r="AS186" s="132" t="s">
        <v>2461</v>
      </c>
      <c r="AT186" s="131" t="s">
        <v>4315</v>
      </c>
      <c r="AU186" s="132" t="s">
        <v>149</v>
      </c>
      <c r="AV186" s="16" t="s">
        <v>212</v>
      </c>
      <c r="AW186" s="56"/>
      <c r="AX186" s="56" t="s">
        <v>114</v>
      </c>
      <c r="AY186" s="56" t="s">
        <v>4316</v>
      </c>
      <c r="AZ186" s="7" t="s">
        <v>4317</v>
      </c>
      <c r="BA186" s="10" t="s">
        <v>94</v>
      </c>
      <c r="BB186" s="52">
        <v>31839</v>
      </c>
      <c r="BC186" s="17" t="s">
        <v>96</v>
      </c>
      <c r="BD186" s="17" t="s">
        <v>4318</v>
      </c>
      <c r="BE186" s="18" t="s">
        <v>118</v>
      </c>
      <c r="BF186" s="7" t="s">
        <v>247</v>
      </c>
      <c r="BG186" s="7" t="s">
        <v>217</v>
      </c>
      <c r="BH186" s="7" t="s">
        <v>4319</v>
      </c>
      <c r="BI186" s="7"/>
      <c r="BJ186" s="19" t="s">
        <v>1639</v>
      </c>
      <c r="BK186" s="20"/>
      <c r="BL186" s="58" t="s">
        <v>4320</v>
      </c>
      <c r="BM186" s="7" t="s">
        <v>4321</v>
      </c>
      <c r="BN186" s="22" t="s">
        <v>94</v>
      </c>
      <c r="BO186" s="49">
        <v>31835</v>
      </c>
      <c r="BP186" s="17" t="s">
        <v>96</v>
      </c>
      <c r="BQ186" s="17" t="s">
        <v>4314</v>
      </c>
      <c r="BR186" s="18" t="s">
        <v>118</v>
      </c>
      <c r="BS186" s="7" t="s">
        <v>119</v>
      </c>
      <c r="BT186" s="7" t="s">
        <v>4322</v>
      </c>
      <c r="BU186" s="7" t="s">
        <v>4323</v>
      </c>
      <c r="BV186" s="8" t="s">
        <v>108</v>
      </c>
      <c r="BW186" s="23" t="s">
        <v>4324</v>
      </c>
      <c r="BX186" s="24"/>
      <c r="BY186" s="21" t="s">
        <v>108</v>
      </c>
      <c r="BZ186" s="21" t="s">
        <v>108</v>
      </c>
      <c r="CA186" s="21"/>
      <c r="CB186" s="21"/>
      <c r="CC186" s="21"/>
      <c r="CD186" s="21"/>
      <c r="CE186" s="21" t="s">
        <v>108</v>
      </c>
      <c r="CF186" s="21"/>
      <c r="CG186" s="21" t="s">
        <v>108</v>
      </c>
      <c r="CH186" s="21"/>
      <c r="CI186" s="21"/>
      <c r="CJ186" s="21" t="s">
        <v>108</v>
      </c>
      <c r="CK186" s="21" t="s">
        <v>108</v>
      </c>
      <c r="CL186" s="21" t="s">
        <v>108</v>
      </c>
      <c r="CM186" s="114"/>
      <c r="CN186" s="114"/>
      <c r="CO186" s="114"/>
      <c r="CP186" s="115"/>
    </row>
    <row r="187" spans="1:94" s="27" customFormat="1" ht="23.25" customHeight="1">
      <c r="A187" s="4">
        <v>84</v>
      </c>
      <c r="B187" s="6"/>
      <c r="C187" s="6"/>
      <c r="D187" s="6"/>
      <c r="E187" s="6"/>
      <c r="F187" s="6"/>
      <c r="G187" s="6"/>
      <c r="H187" s="5"/>
      <c r="I187" s="7" t="s">
        <v>2452</v>
      </c>
      <c r="J187" s="7" t="s">
        <v>3089</v>
      </c>
      <c r="K187" s="7" t="s">
        <v>4470</v>
      </c>
      <c r="L187" s="5"/>
      <c r="M187" s="5">
        <v>2189</v>
      </c>
      <c r="N187" s="9">
        <v>3187433706</v>
      </c>
      <c r="O187" s="9" t="s">
        <v>11593</v>
      </c>
      <c r="P187" s="10" t="s">
        <v>4471</v>
      </c>
      <c r="Q187" s="389" t="s">
        <v>4472</v>
      </c>
      <c r="R187" s="8" t="s">
        <v>2450</v>
      </c>
      <c r="S187" s="212" t="s">
        <v>12140</v>
      </c>
      <c r="T187" s="8" t="s">
        <v>4473</v>
      </c>
      <c r="U187" s="11" t="s">
        <v>172</v>
      </c>
      <c r="V187" s="12" t="s">
        <v>94</v>
      </c>
      <c r="W187" s="13">
        <v>43316</v>
      </c>
      <c r="X187" s="13" t="str">
        <f t="shared" ca="1" si="2"/>
        <v>8 Th, 1 Bln</v>
      </c>
      <c r="Y187" s="5" t="s">
        <v>95</v>
      </c>
      <c r="Z187" s="14" t="s">
        <v>108</v>
      </c>
      <c r="AA187" s="5" t="s">
        <v>96</v>
      </c>
      <c r="AB187" s="5" t="s">
        <v>97</v>
      </c>
      <c r="AC187" s="7" t="s">
        <v>3094</v>
      </c>
      <c r="AD187" s="131" t="s">
        <v>358</v>
      </c>
      <c r="AE187" s="131" t="s">
        <v>2589</v>
      </c>
      <c r="AF187" s="7" t="s">
        <v>178</v>
      </c>
      <c r="AG187" s="7" t="s">
        <v>178</v>
      </c>
      <c r="AH187" s="7" t="s">
        <v>178</v>
      </c>
      <c r="AI187" s="7">
        <v>65141</v>
      </c>
      <c r="AJ187" s="7" t="s">
        <v>103</v>
      </c>
      <c r="AK187" s="7" t="s">
        <v>104</v>
      </c>
      <c r="AL187" s="7" t="s">
        <v>4474</v>
      </c>
      <c r="AM187" s="15" t="s">
        <v>4475</v>
      </c>
      <c r="AN187" s="15" t="s">
        <v>4475</v>
      </c>
      <c r="AO187" s="8">
        <v>1</v>
      </c>
      <c r="AP187" s="8" t="s">
        <v>147</v>
      </c>
      <c r="AQ187" s="8" t="s">
        <v>147</v>
      </c>
      <c r="AR187" s="8" t="s">
        <v>147</v>
      </c>
      <c r="AS187" s="132" t="s">
        <v>2720</v>
      </c>
      <c r="AT187" s="131" t="s">
        <v>4476</v>
      </c>
      <c r="AU187" s="132" t="s">
        <v>149</v>
      </c>
      <c r="AV187" s="16" t="s">
        <v>112</v>
      </c>
      <c r="AW187" s="56"/>
      <c r="AX187" s="56" t="s">
        <v>114</v>
      </c>
      <c r="AY187" s="56" t="s">
        <v>4477</v>
      </c>
      <c r="AZ187" s="7" t="s">
        <v>4478</v>
      </c>
      <c r="BA187" s="10" t="s">
        <v>94</v>
      </c>
      <c r="BB187" s="52">
        <v>33025</v>
      </c>
      <c r="BC187" s="17" t="s">
        <v>96</v>
      </c>
      <c r="BD187" s="17" t="s">
        <v>4479</v>
      </c>
      <c r="BE187" s="18" t="s">
        <v>118</v>
      </c>
      <c r="BF187" s="7" t="s">
        <v>247</v>
      </c>
      <c r="BG187" s="7" t="s">
        <v>4480</v>
      </c>
      <c r="BH187" s="7" t="s">
        <v>4481</v>
      </c>
      <c r="BI187" s="7"/>
      <c r="BJ187" s="19" t="s">
        <v>190</v>
      </c>
      <c r="BK187" s="20" t="s">
        <v>4482</v>
      </c>
      <c r="BL187" s="58" t="s">
        <v>4483</v>
      </c>
      <c r="BM187" s="7" t="s">
        <v>4484</v>
      </c>
      <c r="BN187" s="22" t="s">
        <v>94</v>
      </c>
      <c r="BO187" s="49">
        <v>33463</v>
      </c>
      <c r="BP187" s="17" t="s">
        <v>96</v>
      </c>
      <c r="BQ187" s="17" t="s">
        <v>4475</v>
      </c>
      <c r="BR187" s="18" t="s">
        <v>118</v>
      </c>
      <c r="BS187" s="7" t="s">
        <v>126</v>
      </c>
      <c r="BT187" s="7" t="s">
        <v>162</v>
      </c>
      <c r="BU187" s="7" t="s">
        <v>162</v>
      </c>
      <c r="BV187" s="8" t="s">
        <v>108</v>
      </c>
      <c r="BW187" s="23" t="s">
        <v>163</v>
      </c>
      <c r="BX187" s="24" t="s">
        <v>4485</v>
      </c>
      <c r="BY187" s="21" t="s">
        <v>108</v>
      </c>
      <c r="BZ187" s="21" t="s">
        <v>108</v>
      </c>
      <c r="CA187" s="21"/>
      <c r="CB187" s="21"/>
      <c r="CC187" s="21"/>
      <c r="CD187" s="21"/>
      <c r="CE187" s="21" t="s">
        <v>108</v>
      </c>
      <c r="CF187" s="21"/>
      <c r="CG187" s="21" t="s">
        <v>108</v>
      </c>
      <c r="CH187" s="21"/>
      <c r="CI187" s="21"/>
      <c r="CJ187" s="21" t="s">
        <v>108</v>
      </c>
      <c r="CK187" s="21" t="s">
        <v>108</v>
      </c>
      <c r="CL187" s="21" t="s">
        <v>108</v>
      </c>
      <c r="CM187" s="25"/>
      <c r="CN187" s="25"/>
      <c r="CO187" s="25"/>
      <c r="CP187" s="26"/>
    </row>
    <row r="188" spans="1:94" s="27" customFormat="1" ht="23.25" customHeight="1">
      <c r="A188" s="4">
        <v>85</v>
      </c>
      <c r="B188" s="6"/>
      <c r="C188" s="6"/>
      <c r="D188" s="6"/>
      <c r="E188" s="6"/>
      <c r="F188" s="6"/>
      <c r="G188" s="6"/>
      <c r="H188" s="5"/>
      <c r="I188" s="7" t="s">
        <v>2452</v>
      </c>
      <c r="J188" s="7" t="s">
        <v>402</v>
      </c>
      <c r="K188" s="7" t="s">
        <v>4586</v>
      </c>
      <c r="L188" s="5"/>
      <c r="M188" s="5">
        <v>2195</v>
      </c>
      <c r="N188" s="9">
        <v>3195081613</v>
      </c>
      <c r="O188" s="9" t="s">
        <v>11594</v>
      </c>
      <c r="P188" s="10" t="s">
        <v>4587</v>
      </c>
      <c r="Q188" s="389" t="s">
        <v>4588</v>
      </c>
      <c r="R188" s="8" t="s">
        <v>2450</v>
      </c>
      <c r="S188" s="212" t="s">
        <v>12140</v>
      </c>
      <c r="T188" s="8" t="s">
        <v>4589</v>
      </c>
      <c r="U188" s="11" t="s">
        <v>93</v>
      </c>
      <c r="V188" s="12" t="s">
        <v>94</v>
      </c>
      <c r="W188" s="13">
        <v>43635</v>
      </c>
      <c r="X188" s="13" t="str">
        <f t="shared" ca="1" si="2"/>
        <v>7 Th, 2 Bln</v>
      </c>
      <c r="Y188" s="5" t="s">
        <v>95</v>
      </c>
      <c r="Z188" s="14" t="s">
        <v>108</v>
      </c>
      <c r="AA188" s="5" t="s">
        <v>96</v>
      </c>
      <c r="AB188" s="5" t="s">
        <v>97</v>
      </c>
      <c r="AC188" s="7" t="s">
        <v>4590</v>
      </c>
      <c r="AD188" s="131" t="s">
        <v>966</v>
      </c>
      <c r="AE188" s="131" t="s">
        <v>265</v>
      </c>
      <c r="AF188" s="7" t="s">
        <v>942</v>
      </c>
      <c r="AG188" s="7" t="s">
        <v>178</v>
      </c>
      <c r="AH188" s="7" t="s">
        <v>178</v>
      </c>
      <c r="AI188" s="7">
        <v>65143</v>
      </c>
      <c r="AJ188" s="7" t="s">
        <v>103</v>
      </c>
      <c r="AK188" s="7" t="s">
        <v>104</v>
      </c>
      <c r="AL188" s="7" t="s">
        <v>107</v>
      </c>
      <c r="AM188" s="15" t="s">
        <v>4591</v>
      </c>
      <c r="AN188" s="15" t="s">
        <v>4591</v>
      </c>
      <c r="AO188" s="8">
        <v>1</v>
      </c>
      <c r="AP188" s="8" t="s">
        <v>107</v>
      </c>
      <c r="AQ188" s="8" t="s">
        <v>147</v>
      </c>
      <c r="AR188" s="8" t="s">
        <v>147</v>
      </c>
      <c r="AS188" s="132" t="s">
        <v>2829</v>
      </c>
      <c r="AT188" s="131" t="s">
        <v>2509</v>
      </c>
      <c r="AU188" s="132" t="s">
        <v>182</v>
      </c>
      <c r="AV188" s="16" t="s">
        <v>112</v>
      </c>
      <c r="AW188" s="56"/>
      <c r="AX188" s="56" t="s">
        <v>114</v>
      </c>
      <c r="AY188" s="56" t="s">
        <v>4592</v>
      </c>
      <c r="AZ188" s="7" t="s">
        <v>4593</v>
      </c>
      <c r="BA188" s="10" t="s">
        <v>670</v>
      </c>
      <c r="BB188" s="52">
        <v>33827</v>
      </c>
      <c r="BC188" s="17" t="s">
        <v>96</v>
      </c>
      <c r="BD188" s="17" t="s">
        <v>4591</v>
      </c>
      <c r="BE188" s="18" t="s">
        <v>118</v>
      </c>
      <c r="BF188" s="7" t="s">
        <v>4594</v>
      </c>
      <c r="BG188" s="7" t="s">
        <v>3005</v>
      </c>
      <c r="BH188" s="7" t="s">
        <v>4595</v>
      </c>
      <c r="BI188" s="7" t="s">
        <v>4596</v>
      </c>
      <c r="BJ188" s="19" t="s">
        <v>4597</v>
      </c>
      <c r="BK188" s="20" t="s">
        <v>4598</v>
      </c>
      <c r="BL188" s="58" t="s">
        <v>4599</v>
      </c>
      <c r="BM188" s="7" t="s">
        <v>4600</v>
      </c>
      <c r="BN188" s="22" t="s">
        <v>4601</v>
      </c>
      <c r="BO188" s="49">
        <v>34274</v>
      </c>
      <c r="BP188" s="17" t="s">
        <v>96</v>
      </c>
      <c r="BQ188" s="17" t="s">
        <v>4602</v>
      </c>
      <c r="BR188" s="18" t="s">
        <v>118</v>
      </c>
      <c r="BS188" s="7" t="s">
        <v>1216</v>
      </c>
      <c r="BT188" s="7" t="s">
        <v>452</v>
      </c>
      <c r="BU188" s="7" t="s">
        <v>4603</v>
      </c>
      <c r="BV188" s="8" t="s">
        <v>108</v>
      </c>
      <c r="BW188" s="23">
        <v>0</v>
      </c>
      <c r="BX188" s="24" t="s">
        <v>4604</v>
      </c>
      <c r="BY188" s="21" t="s">
        <v>108</v>
      </c>
      <c r="BZ188" s="21" t="s">
        <v>108</v>
      </c>
      <c r="CA188" s="21"/>
      <c r="CB188" s="21"/>
      <c r="CC188" s="21"/>
      <c r="CD188" s="21"/>
      <c r="CE188" s="21" t="s">
        <v>108</v>
      </c>
      <c r="CF188" s="21"/>
      <c r="CG188" s="21" t="s">
        <v>108</v>
      </c>
      <c r="CH188" s="21"/>
      <c r="CI188" s="21"/>
      <c r="CJ188" s="21" t="s">
        <v>108</v>
      </c>
      <c r="CK188" s="21" t="s">
        <v>108</v>
      </c>
      <c r="CL188" s="21" t="s">
        <v>108</v>
      </c>
      <c r="CM188" s="25"/>
      <c r="CN188" s="25"/>
      <c r="CO188" s="25"/>
      <c r="CP188" s="26"/>
    </row>
    <row r="189" spans="1:94" s="27" customFormat="1" ht="23.25" customHeight="1">
      <c r="A189" s="4">
        <v>86</v>
      </c>
      <c r="B189" s="6"/>
      <c r="C189" s="6"/>
      <c r="D189" s="6"/>
      <c r="E189" s="6"/>
      <c r="F189" s="6"/>
      <c r="G189" s="6"/>
      <c r="H189" s="5"/>
      <c r="I189" s="7" t="s">
        <v>2684</v>
      </c>
      <c r="J189" s="7" t="s">
        <v>4373</v>
      </c>
      <c r="K189" s="7" t="s">
        <v>4605</v>
      </c>
      <c r="L189" s="5"/>
      <c r="M189" s="5">
        <v>2196</v>
      </c>
      <c r="N189" s="9">
        <v>3191610460</v>
      </c>
      <c r="O189" s="9" t="s">
        <v>9707</v>
      </c>
      <c r="P189" s="10" t="s">
        <v>4606</v>
      </c>
      <c r="Q189" s="389" t="s">
        <v>4607</v>
      </c>
      <c r="R189" s="8" t="s">
        <v>2450</v>
      </c>
      <c r="S189" s="212" t="s">
        <v>12140</v>
      </c>
      <c r="T189" s="8" t="s">
        <v>4608</v>
      </c>
      <c r="U189" s="11" t="s">
        <v>93</v>
      </c>
      <c r="V189" s="12" t="s">
        <v>94</v>
      </c>
      <c r="W189" s="13">
        <v>43466</v>
      </c>
      <c r="X189" s="13" t="str">
        <f t="shared" ca="1" si="2"/>
        <v>7 Th, 8 Bln</v>
      </c>
      <c r="Y189" s="5" t="s">
        <v>95</v>
      </c>
      <c r="Z189" s="14" t="s">
        <v>108</v>
      </c>
      <c r="AA189" s="5" t="s">
        <v>96</v>
      </c>
      <c r="AB189" s="5" t="s">
        <v>97</v>
      </c>
      <c r="AC189" s="7" t="s">
        <v>4609</v>
      </c>
      <c r="AD189" s="131" t="s">
        <v>318</v>
      </c>
      <c r="AE189" s="131" t="s">
        <v>207</v>
      </c>
      <c r="AF189" s="7" t="s">
        <v>139</v>
      </c>
      <c r="AG189" s="7" t="s">
        <v>140</v>
      </c>
      <c r="AH189" s="7" t="s">
        <v>141</v>
      </c>
      <c r="AI189" s="7">
        <v>65152</v>
      </c>
      <c r="AJ189" s="7" t="s">
        <v>94</v>
      </c>
      <c r="AK189" s="7" t="s">
        <v>104</v>
      </c>
      <c r="AL189" s="7" t="s">
        <v>665</v>
      </c>
      <c r="AM189" s="15">
        <v>0</v>
      </c>
      <c r="AN189" s="15" t="s">
        <v>4610</v>
      </c>
      <c r="AO189" s="8">
        <v>3</v>
      </c>
      <c r="AP189" s="8" t="s">
        <v>298</v>
      </c>
      <c r="AQ189" s="8" t="s">
        <v>147</v>
      </c>
      <c r="AR189" s="8" t="s">
        <v>147</v>
      </c>
      <c r="AS189" s="132" t="s">
        <v>2614</v>
      </c>
      <c r="AT189" s="131" t="s">
        <v>4611</v>
      </c>
      <c r="AU189" s="132" t="s">
        <v>111</v>
      </c>
      <c r="AV189" s="16" t="s">
        <v>112</v>
      </c>
      <c r="AW189" s="56"/>
      <c r="AX189" s="56" t="s">
        <v>323</v>
      </c>
      <c r="AY189" s="56" t="s">
        <v>4612</v>
      </c>
      <c r="AZ189" s="7" t="s">
        <v>4613</v>
      </c>
      <c r="BA189" s="10" t="s">
        <v>222</v>
      </c>
      <c r="BB189" s="52">
        <v>30517</v>
      </c>
      <c r="BC189" s="17" t="s">
        <v>96</v>
      </c>
      <c r="BD189" s="17" t="s">
        <v>4614</v>
      </c>
      <c r="BE189" s="18" t="s">
        <v>224</v>
      </c>
      <c r="BF189" s="7" t="s">
        <v>554</v>
      </c>
      <c r="BG189" s="7" t="s">
        <v>4615</v>
      </c>
      <c r="BH189" s="7" t="s">
        <v>4616</v>
      </c>
      <c r="BI189" s="7"/>
      <c r="BJ189" s="19">
        <v>4000000</v>
      </c>
      <c r="BK189" s="20" t="s">
        <v>4617</v>
      </c>
      <c r="BL189" s="58" t="s">
        <v>4618</v>
      </c>
      <c r="BM189" s="7" t="s">
        <v>4619</v>
      </c>
      <c r="BN189" s="22" t="s">
        <v>395</v>
      </c>
      <c r="BO189" s="49">
        <v>30943</v>
      </c>
      <c r="BP189" s="17" t="s">
        <v>96</v>
      </c>
      <c r="BQ189" s="17" t="s">
        <v>4610</v>
      </c>
      <c r="BR189" s="18" t="s">
        <v>153</v>
      </c>
      <c r="BS189" s="7" t="s">
        <v>554</v>
      </c>
      <c r="BT189" s="7" t="s">
        <v>4615</v>
      </c>
      <c r="BU189" s="7" t="s">
        <v>4620</v>
      </c>
      <c r="BV189" s="8" t="s">
        <v>108</v>
      </c>
      <c r="BW189" s="23">
        <v>4000000</v>
      </c>
      <c r="BX189" s="24" t="s">
        <v>4621</v>
      </c>
      <c r="BY189" s="21" t="s">
        <v>108</v>
      </c>
      <c r="BZ189" s="21" t="s">
        <v>108</v>
      </c>
      <c r="CA189" s="21"/>
      <c r="CB189" s="21"/>
      <c r="CC189" s="21"/>
      <c r="CD189" s="21"/>
      <c r="CE189" s="21" t="s">
        <v>108</v>
      </c>
      <c r="CF189" s="21"/>
      <c r="CG189" s="21" t="s">
        <v>108</v>
      </c>
      <c r="CH189" s="21"/>
      <c r="CI189" s="21"/>
      <c r="CJ189" s="21" t="s">
        <v>108</v>
      </c>
      <c r="CK189" s="21" t="s">
        <v>108</v>
      </c>
      <c r="CL189" s="21" t="s">
        <v>108</v>
      </c>
      <c r="CM189" s="25"/>
      <c r="CN189" s="25"/>
      <c r="CO189" s="25"/>
      <c r="CP189" s="26"/>
    </row>
    <row r="190" spans="1:94" s="27" customFormat="1" ht="23.25" customHeight="1">
      <c r="A190" s="4">
        <v>87</v>
      </c>
      <c r="B190" s="6"/>
      <c r="C190" s="6"/>
      <c r="D190" s="6"/>
      <c r="E190" s="6"/>
      <c r="F190" s="6"/>
      <c r="G190" s="6"/>
      <c r="H190" s="5"/>
      <c r="I190" s="7" t="s">
        <v>86</v>
      </c>
      <c r="J190" s="7" t="s">
        <v>513</v>
      </c>
      <c r="K190" s="7" t="s">
        <v>4666</v>
      </c>
      <c r="L190" s="5"/>
      <c r="M190" s="5">
        <v>2199</v>
      </c>
      <c r="N190" s="9">
        <v>3188661179</v>
      </c>
      <c r="O190" s="9" t="s">
        <v>11293</v>
      </c>
      <c r="P190" s="10" t="s">
        <v>4667</v>
      </c>
      <c r="Q190" s="389" t="s">
        <v>4668</v>
      </c>
      <c r="R190" s="8" t="s">
        <v>2450</v>
      </c>
      <c r="S190" s="212" t="s">
        <v>12140</v>
      </c>
      <c r="T190" s="8" t="s">
        <v>4669</v>
      </c>
      <c r="U190" s="11" t="s">
        <v>93</v>
      </c>
      <c r="V190" s="12" t="s">
        <v>94</v>
      </c>
      <c r="W190" s="13">
        <v>43399</v>
      </c>
      <c r="X190" s="13" t="str">
        <f t="shared" ca="1" si="2"/>
        <v>7 Th, 10 Bln</v>
      </c>
      <c r="Y190" s="5" t="s">
        <v>95</v>
      </c>
      <c r="Z190" s="14" t="s">
        <v>108</v>
      </c>
      <c r="AA190" s="5" t="s">
        <v>96</v>
      </c>
      <c r="AB190" s="5" t="s">
        <v>97</v>
      </c>
      <c r="AC190" s="7" t="s">
        <v>4670</v>
      </c>
      <c r="AD190" s="131" t="s">
        <v>294</v>
      </c>
      <c r="AE190" s="131" t="s">
        <v>384</v>
      </c>
      <c r="AF190" s="7" t="s">
        <v>1024</v>
      </c>
      <c r="AG190" s="7" t="s">
        <v>178</v>
      </c>
      <c r="AH190" s="7" t="s">
        <v>178</v>
      </c>
      <c r="AI190" s="7"/>
      <c r="AJ190" s="7" t="s">
        <v>94</v>
      </c>
      <c r="AK190" s="7" t="s">
        <v>104</v>
      </c>
      <c r="AL190" s="7" t="s">
        <v>4671</v>
      </c>
      <c r="AM190" s="15" t="s">
        <v>4672</v>
      </c>
      <c r="AN190" s="15" t="s">
        <v>4672</v>
      </c>
      <c r="AO190" s="8">
        <v>3</v>
      </c>
      <c r="AP190" s="8" t="s">
        <v>107</v>
      </c>
      <c r="AQ190" s="8" t="s">
        <v>108</v>
      </c>
      <c r="AR190" s="8" t="s">
        <v>108</v>
      </c>
      <c r="AS190" s="132" t="s">
        <v>3437</v>
      </c>
      <c r="AT190" s="131" t="s">
        <v>2574</v>
      </c>
      <c r="AU190" s="132" t="s">
        <v>182</v>
      </c>
      <c r="AV190" s="16" t="s">
        <v>112</v>
      </c>
      <c r="AW190" s="56"/>
      <c r="AX190" s="56" t="s">
        <v>183</v>
      </c>
      <c r="AY190" s="56" t="s">
        <v>4673</v>
      </c>
      <c r="AZ190" s="7" t="s">
        <v>4674</v>
      </c>
      <c r="BA190" s="10" t="s">
        <v>603</v>
      </c>
      <c r="BB190" s="52">
        <v>30159</v>
      </c>
      <c r="BC190" s="17" t="s">
        <v>96</v>
      </c>
      <c r="BD190" s="17" t="s">
        <v>4675</v>
      </c>
      <c r="BE190" s="18" t="s">
        <v>216</v>
      </c>
      <c r="BF190" s="7" t="s">
        <v>247</v>
      </c>
      <c r="BG190" s="7" t="s">
        <v>4676</v>
      </c>
      <c r="BH190" s="7" t="s">
        <v>4677</v>
      </c>
      <c r="BI190" s="7"/>
      <c r="BJ190" s="19" t="s">
        <v>1727</v>
      </c>
      <c r="BK190" s="20"/>
      <c r="BL190" s="58" t="s">
        <v>4678</v>
      </c>
      <c r="BM190" s="7" t="s">
        <v>4679</v>
      </c>
      <c r="BN190" s="22" t="s">
        <v>94</v>
      </c>
      <c r="BO190" s="49">
        <v>32170</v>
      </c>
      <c r="BP190" s="17" t="s">
        <v>96</v>
      </c>
      <c r="BQ190" s="17" t="s">
        <v>4672</v>
      </c>
      <c r="BR190" s="18" t="s">
        <v>216</v>
      </c>
      <c r="BS190" s="7" t="s">
        <v>126</v>
      </c>
      <c r="BT190" s="7" t="s">
        <v>162</v>
      </c>
      <c r="BU190" s="7" t="s">
        <v>162</v>
      </c>
      <c r="BV190" s="8" t="s">
        <v>162</v>
      </c>
      <c r="BW190" s="23" t="s">
        <v>163</v>
      </c>
      <c r="BX190" s="24" t="s">
        <v>4680</v>
      </c>
      <c r="BY190" s="21" t="s">
        <v>108</v>
      </c>
      <c r="BZ190" s="21" t="s">
        <v>108</v>
      </c>
      <c r="CA190" s="21"/>
      <c r="CB190" s="21"/>
      <c r="CC190" s="21"/>
      <c r="CD190" s="21"/>
      <c r="CE190" s="21" t="s">
        <v>108</v>
      </c>
      <c r="CF190" s="21"/>
      <c r="CG190" s="21" t="s">
        <v>108</v>
      </c>
      <c r="CH190" s="21"/>
      <c r="CI190" s="21"/>
      <c r="CJ190" s="21" t="s">
        <v>108</v>
      </c>
      <c r="CK190" s="21" t="s">
        <v>108</v>
      </c>
      <c r="CL190" s="21" t="s">
        <v>108</v>
      </c>
      <c r="CM190" s="25"/>
      <c r="CN190" s="25"/>
      <c r="CO190" s="25"/>
      <c r="CP190" s="26"/>
    </row>
    <row r="191" spans="1:94" s="27" customFormat="1" ht="23.25" customHeight="1">
      <c r="A191" s="4">
        <v>88</v>
      </c>
      <c r="B191" s="6"/>
      <c r="C191" s="6"/>
      <c r="D191" s="6"/>
      <c r="E191" s="6"/>
      <c r="F191" s="6"/>
      <c r="G191" s="6"/>
      <c r="H191" s="5"/>
      <c r="I191" s="7" t="s">
        <v>86</v>
      </c>
      <c r="J191" s="7" t="s">
        <v>4681</v>
      </c>
      <c r="K191" s="7" t="s">
        <v>4682</v>
      </c>
      <c r="L191" s="5"/>
      <c r="M191" s="5">
        <v>2200</v>
      </c>
      <c r="N191" s="9">
        <v>3184434980</v>
      </c>
      <c r="O191" s="9" t="s">
        <v>6803</v>
      </c>
      <c r="P191" s="10" t="s">
        <v>4683</v>
      </c>
      <c r="Q191" s="389" t="s">
        <v>4684</v>
      </c>
      <c r="R191" s="8" t="s">
        <v>2450</v>
      </c>
      <c r="S191" s="212" t="s">
        <v>12140</v>
      </c>
      <c r="T191" s="8" t="s">
        <v>4685</v>
      </c>
      <c r="U191" s="11" t="s">
        <v>93</v>
      </c>
      <c r="V191" s="12" t="s">
        <v>94</v>
      </c>
      <c r="W191" s="13">
        <v>43343</v>
      </c>
      <c r="X191" s="13" t="str">
        <f t="shared" ca="1" si="2"/>
        <v>8 Th, 0 Bln</v>
      </c>
      <c r="Y191" s="5" t="s">
        <v>95</v>
      </c>
      <c r="Z191" s="14" t="s">
        <v>108</v>
      </c>
      <c r="AA191" s="5" t="s">
        <v>96</v>
      </c>
      <c r="AB191" s="5" t="s">
        <v>97</v>
      </c>
      <c r="AC191" s="7" t="s">
        <v>4686</v>
      </c>
      <c r="AD191" s="131" t="s">
        <v>318</v>
      </c>
      <c r="AE191" s="131">
        <v>12</v>
      </c>
      <c r="AF191" s="7" t="s">
        <v>3957</v>
      </c>
      <c r="AG191" s="7" t="s">
        <v>3503</v>
      </c>
      <c r="AH191" s="7" t="s">
        <v>141</v>
      </c>
      <c r="AI191" s="7"/>
      <c r="AJ191" s="7" t="s">
        <v>142</v>
      </c>
      <c r="AK191" s="7" t="s">
        <v>3958</v>
      </c>
      <c r="AL191" s="7" t="s">
        <v>210</v>
      </c>
      <c r="AM191" s="15" t="s">
        <v>4687</v>
      </c>
      <c r="AN191" s="15" t="s">
        <v>4688</v>
      </c>
      <c r="AO191" s="8">
        <v>2</v>
      </c>
      <c r="AP191" s="8" t="s">
        <v>146</v>
      </c>
      <c r="AQ191" s="8" t="s">
        <v>108</v>
      </c>
      <c r="AR191" s="8" t="s">
        <v>108</v>
      </c>
      <c r="AS191" s="132" t="s">
        <v>2508</v>
      </c>
      <c r="AT191" s="131" t="s">
        <v>2530</v>
      </c>
      <c r="AU191" s="132" t="s">
        <v>149</v>
      </c>
      <c r="AV191" s="16" t="s">
        <v>112</v>
      </c>
      <c r="AW191" s="56"/>
      <c r="AX191" s="56" t="s">
        <v>183</v>
      </c>
      <c r="AY191" s="56" t="s">
        <v>4689</v>
      </c>
      <c r="AZ191" s="7" t="s">
        <v>4690</v>
      </c>
      <c r="BA191" s="10" t="s">
        <v>653</v>
      </c>
      <c r="BB191" s="52">
        <v>32197</v>
      </c>
      <c r="BC191" s="17" t="s">
        <v>96</v>
      </c>
      <c r="BD191" s="17" t="s">
        <v>4688</v>
      </c>
      <c r="BE191" s="18" t="s">
        <v>118</v>
      </c>
      <c r="BF191" s="7" t="s">
        <v>4691</v>
      </c>
      <c r="BG191" s="7" t="s">
        <v>4692</v>
      </c>
      <c r="BH191" s="7" t="s">
        <v>4693</v>
      </c>
      <c r="BI191" s="7"/>
      <c r="BJ191" s="19" t="s">
        <v>122</v>
      </c>
      <c r="BK191" s="20" t="s">
        <v>4694</v>
      </c>
      <c r="BL191" s="58" t="s">
        <v>4695</v>
      </c>
      <c r="BM191" s="7" t="s">
        <v>4696</v>
      </c>
      <c r="BN191" s="22" t="s">
        <v>4697</v>
      </c>
      <c r="BO191" s="49">
        <v>33228</v>
      </c>
      <c r="BP191" s="17" t="s">
        <v>96</v>
      </c>
      <c r="BQ191" s="17" t="s">
        <v>4687</v>
      </c>
      <c r="BR191" s="18" t="s">
        <v>118</v>
      </c>
      <c r="BS191" s="7" t="s">
        <v>4698</v>
      </c>
      <c r="BT191" s="7" t="s">
        <v>4699</v>
      </c>
      <c r="BU191" s="7" t="s">
        <v>4700</v>
      </c>
      <c r="BV191" s="8" t="s">
        <v>108</v>
      </c>
      <c r="BW191" s="23" t="s">
        <v>250</v>
      </c>
      <c r="BX191" s="24" t="s">
        <v>4701</v>
      </c>
      <c r="BY191" s="21" t="s">
        <v>108</v>
      </c>
      <c r="BZ191" s="21" t="s">
        <v>108</v>
      </c>
      <c r="CA191" s="21"/>
      <c r="CB191" s="21"/>
      <c r="CC191" s="21"/>
      <c r="CD191" s="21"/>
      <c r="CE191" s="21" t="s">
        <v>108</v>
      </c>
      <c r="CF191" s="21"/>
      <c r="CG191" s="21" t="s">
        <v>108</v>
      </c>
      <c r="CH191" s="21"/>
      <c r="CI191" s="21"/>
      <c r="CJ191" s="21" t="s">
        <v>108</v>
      </c>
      <c r="CK191" s="21" t="s">
        <v>108</v>
      </c>
      <c r="CL191" s="21" t="s">
        <v>108</v>
      </c>
      <c r="CM191" s="25"/>
      <c r="CN191" s="25"/>
      <c r="CO191" s="25"/>
      <c r="CP191" s="26"/>
    </row>
    <row r="192" spans="1:94" s="122" customFormat="1" ht="23.25" customHeight="1">
      <c r="A192" s="4">
        <v>89</v>
      </c>
      <c r="B192" s="6"/>
      <c r="C192" s="6"/>
      <c r="D192" s="6"/>
      <c r="E192" s="6"/>
      <c r="F192" s="6"/>
      <c r="G192" s="6"/>
      <c r="H192" s="5"/>
      <c r="I192" s="7" t="s">
        <v>2452</v>
      </c>
      <c r="J192" s="7" t="s">
        <v>166</v>
      </c>
      <c r="K192" s="7" t="s">
        <v>4714</v>
      </c>
      <c r="L192" s="5"/>
      <c r="M192" s="5">
        <v>2202</v>
      </c>
      <c r="N192" s="9">
        <v>3186401084</v>
      </c>
      <c r="O192" s="9" t="s">
        <v>11595</v>
      </c>
      <c r="P192" s="10" t="s">
        <v>4715</v>
      </c>
      <c r="Q192" s="389" t="s">
        <v>11462</v>
      </c>
      <c r="R192" s="8" t="s">
        <v>2450</v>
      </c>
      <c r="S192" s="212" t="s">
        <v>12140</v>
      </c>
      <c r="T192" s="8" t="s">
        <v>4716</v>
      </c>
      <c r="U192" s="11" t="s">
        <v>172</v>
      </c>
      <c r="V192" s="12" t="s">
        <v>544</v>
      </c>
      <c r="W192" s="13">
        <v>43461</v>
      </c>
      <c r="X192" s="13" t="str">
        <f t="shared" ca="1" si="2"/>
        <v>7 Th, 8 Bln</v>
      </c>
      <c r="Y192" s="5" t="s">
        <v>95</v>
      </c>
      <c r="Z192" s="14" t="s">
        <v>108</v>
      </c>
      <c r="AA192" s="5" t="s">
        <v>96</v>
      </c>
      <c r="AB192" s="5" t="s">
        <v>97</v>
      </c>
      <c r="AC192" s="7" t="s">
        <v>4717</v>
      </c>
      <c r="AD192" s="131" t="s">
        <v>176</v>
      </c>
      <c r="AE192" s="131" t="s">
        <v>265</v>
      </c>
      <c r="AF192" s="7" t="s">
        <v>4718</v>
      </c>
      <c r="AG192" s="7" t="s">
        <v>4719</v>
      </c>
      <c r="AH192" s="7" t="s">
        <v>141</v>
      </c>
      <c r="AI192" s="7">
        <v>65326</v>
      </c>
      <c r="AJ192" s="7" t="s">
        <v>4720</v>
      </c>
      <c r="AK192" s="7" t="s">
        <v>179</v>
      </c>
      <c r="AL192" s="7" t="s">
        <v>4721</v>
      </c>
      <c r="AM192" s="15">
        <v>0</v>
      </c>
      <c r="AN192" s="15" t="s">
        <v>4722</v>
      </c>
      <c r="AO192" s="8">
        <v>1</v>
      </c>
      <c r="AP192" s="8" t="s">
        <v>146</v>
      </c>
      <c r="AQ192" s="8" t="s">
        <v>147</v>
      </c>
      <c r="AR192" s="8" t="s">
        <v>147</v>
      </c>
      <c r="AS192" s="132" t="s">
        <v>4723</v>
      </c>
      <c r="AT192" s="131" t="s">
        <v>4724</v>
      </c>
      <c r="AU192" s="132" t="s">
        <v>149</v>
      </c>
      <c r="AV192" s="16" t="s">
        <v>112</v>
      </c>
      <c r="AW192" s="56"/>
      <c r="AX192" s="56" t="s">
        <v>114</v>
      </c>
      <c r="AY192" s="56" t="s">
        <v>4725</v>
      </c>
      <c r="AZ192" s="7" t="s">
        <v>4726</v>
      </c>
      <c r="BA192" s="10" t="s">
        <v>2961</v>
      </c>
      <c r="BB192" s="52">
        <v>31544</v>
      </c>
      <c r="BC192" s="17" t="s">
        <v>96</v>
      </c>
      <c r="BD192" s="17" t="s">
        <v>4722</v>
      </c>
      <c r="BE192" s="18" t="s">
        <v>118</v>
      </c>
      <c r="BF192" s="7" t="s">
        <v>327</v>
      </c>
      <c r="BG192" s="7" t="s">
        <v>328</v>
      </c>
      <c r="BH192" s="7" t="s">
        <v>4727</v>
      </c>
      <c r="BI192" s="7">
        <v>0</v>
      </c>
      <c r="BJ192" s="19" t="s">
        <v>1296</v>
      </c>
      <c r="BK192" s="20" t="s">
        <v>4728</v>
      </c>
      <c r="BL192" s="58" t="s">
        <v>4729</v>
      </c>
      <c r="BM192" s="7" t="s">
        <v>4730</v>
      </c>
      <c r="BN192" s="22" t="s">
        <v>4731</v>
      </c>
      <c r="BO192" s="49">
        <v>30336</v>
      </c>
      <c r="BP192" s="17" t="s">
        <v>96</v>
      </c>
      <c r="BQ192" s="17" t="s">
        <v>4732</v>
      </c>
      <c r="BR192" s="18" t="s">
        <v>3623</v>
      </c>
      <c r="BS192" s="7" t="s">
        <v>126</v>
      </c>
      <c r="BT192" s="7" t="s">
        <v>127</v>
      </c>
      <c r="BU192" s="7" t="s">
        <v>127</v>
      </c>
      <c r="BV192" s="8" t="s">
        <v>127</v>
      </c>
      <c r="BW192" s="23" t="s">
        <v>127</v>
      </c>
      <c r="BX192" s="24" t="s">
        <v>4733</v>
      </c>
      <c r="BY192" s="21" t="s">
        <v>127</v>
      </c>
      <c r="BZ192" s="21" t="s">
        <v>127</v>
      </c>
      <c r="CA192" s="21"/>
      <c r="CB192" s="21"/>
      <c r="CC192" s="21"/>
      <c r="CD192" s="21"/>
      <c r="CE192" s="21" t="s">
        <v>108</v>
      </c>
      <c r="CF192" s="21"/>
      <c r="CG192" s="21" t="s">
        <v>108</v>
      </c>
      <c r="CH192" s="21"/>
      <c r="CI192" s="21"/>
      <c r="CJ192" s="21" t="s">
        <v>108</v>
      </c>
      <c r="CK192" s="21" t="s">
        <v>108</v>
      </c>
      <c r="CL192" s="21" t="s">
        <v>108</v>
      </c>
      <c r="CM192" s="120"/>
      <c r="CN192" s="120"/>
      <c r="CO192" s="120"/>
      <c r="CP192" s="121"/>
    </row>
    <row r="193" spans="1:94" s="27" customFormat="1" ht="23.25" customHeight="1">
      <c r="A193" s="4">
        <v>90</v>
      </c>
      <c r="B193" s="6"/>
      <c r="C193" s="6"/>
      <c r="D193" s="6"/>
      <c r="E193" s="6"/>
      <c r="F193" s="6"/>
      <c r="G193" s="6"/>
      <c r="H193" s="5"/>
      <c r="I193" s="7" t="s">
        <v>2452</v>
      </c>
      <c r="J193" s="7" t="s">
        <v>561</v>
      </c>
      <c r="K193" s="7" t="s">
        <v>403</v>
      </c>
      <c r="L193" s="5"/>
      <c r="M193" s="5">
        <v>2203</v>
      </c>
      <c r="N193" s="9">
        <v>3184983141</v>
      </c>
      <c r="O193" s="9" t="s">
        <v>11596</v>
      </c>
      <c r="P193" s="10" t="s">
        <v>4734</v>
      </c>
      <c r="Q193" s="389" t="s">
        <v>11463</v>
      </c>
      <c r="R193" s="8" t="s">
        <v>2450</v>
      </c>
      <c r="S193" s="212" t="s">
        <v>12140</v>
      </c>
      <c r="T193" s="8" t="s">
        <v>4735</v>
      </c>
      <c r="U193" s="11" t="s">
        <v>93</v>
      </c>
      <c r="V193" s="12" t="s">
        <v>94</v>
      </c>
      <c r="W193" s="13">
        <v>43343</v>
      </c>
      <c r="X193" s="13" t="str">
        <f t="shared" ca="1" si="2"/>
        <v>8 Th, 0 Bln</v>
      </c>
      <c r="Y193" s="5" t="s">
        <v>95</v>
      </c>
      <c r="Z193" s="14" t="s">
        <v>108</v>
      </c>
      <c r="AA193" s="5" t="s">
        <v>96</v>
      </c>
      <c r="AB193" s="5" t="s">
        <v>97</v>
      </c>
      <c r="AC193" s="7" t="s">
        <v>4736</v>
      </c>
      <c r="AD193" s="131" t="s">
        <v>99</v>
      </c>
      <c r="AE193" s="131">
        <v>12</v>
      </c>
      <c r="AF193" s="7" t="s">
        <v>139</v>
      </c>
      <c r="AG193" s="7" t="s">
        <v>732</v>
      </c>
      <c r="AH193" s="7" t="s">
        <v>141</v>
      </c>
      <c r="AI193" s="7">
        <v>65152</v>
      </c>
      <c r="AJ193" s="7" t="s">
        <v>4508</v>
      </c>
      <c r="AK193" s="7" t="s">
        <v>179</v>
      </c>
      <c r="AL193" s="7" t="s">
        <v>4737</v>
      </c>
      <c r="AM193" s="15" t="s">
        <v>4738</v>
      </c>
      <c r="AN193" s="15" t="s">
        <v>4738</v>
      </c>
      <c r="AO193" s="8">
        <v>4</v>
      </c>
      <c r="AP193" s="8" t="s">
        <v>298</v>
      </c>
      <c r="AQ193" s="8" t="s">
        <v>108</v>
      </c>
      <c r="AR193" s="8" t="s">
        <v>108</v>
      </c>
      <c r="AS193" s="132" t="s">
        <v>3880</v>
      </c>
      <c r="AT193" s="131" t="s">
        <v>4739</v>
      </c>
      <c r="AU193" s="132" t="s">
        <v>111</v>
      </c>
      <c r="AV193" s="16" t="s">
        <v>112</v>
      </c>
      <c r="AW193" s="56"/>
      <c r="AX193" s="56" t="s">
        <v>734</v>
      </c>
      <c r="AY193" s="56" t="s">
        <v>4740</v>
      </c>
      <c r="AZ193" s="7" t="s">
        <v>4741</v>
      </c>
      <c r="BA193" s="10" t="s">
        <v>395</v>
      </c>
      <c r="BB193" s="52">
        <v>29093</v>
      </c>
      <c r="BC193" s="17" t="s">
        <v>96</v>
      </c>
      <c r="BD193" s="17" t="s">
        <v>4742</v>
      </c>
      <c r="BE193" s="18" t="s">
        <v>216</v>
      </c>
      <c r="BF193" s="7" t="s">
        <v>574</v>
      </c>
      <c r="BG193" s="7" t="s">
        <v>4743</v>
      </c>
      <c r="BH193" s="7" t="s">
        <v>4744</v>
      </c>
      <c r="BI193" s="7"/>
      <c r="BJ193" s="19" t="s">
        <v>4745</v>
      </c>
      <c r="BK193" s="20" t="s">
        <v>4746</v>
      </c>
      <c r="BL193" s="58" t="s">
        <v>4747</v>
      </c>
      <c r="BM193" s="7" t="s">
        <v>4748</v>
      </c>
      <c r="BN193" s="22" t="s">
        <v>395</v>
      </c>
      <c r="BO193" s="49">
        <v>29303</v>
      </c>
      <c r="BP193" s="17" t="s">
        <v>96</v>
      </c>
      <c r="BQ193" s="17" t="s">
        <v>4738</v>
      </c>
      <c r="BR193" s="18" t="s">
        <v>153</v>
      </c>
      <c r="BS193" s="7" t="s">
        <v>925</v>
      </c>
      <c r="BT193" s="7" t="s">
        <v>4749</v>
      </c>
      <c r="BU193" s="7" t="s">
        <v>4750</v>
      </c>
      <c r="BV193" s="8" t="s">
        <v>4751</v>
      </c>
      <c r="BW193" s="23" t="s">
        <v>2788</v>
      </c>
      <c r="BX193" s="24" t="s">
        <v>4746</v>
      </c>
      <c r="BY193" s="21" t="s">
        <v>108</v>
      </c>
      <c r="BZ193" s="21" t="s">
        <v>108</v>
      </c>
      <c r="CA193" s="21"/>
      <c r="CB193" s="21"/>
      <c r="CC193" s="21"/>
      <c r="CD193" s="21"/>
      <c r="CE193" s="21" t="s">
        <v>108</v>
      </c>
      <c r="CF193" s="21" t="s">
        <v>108</v>
      </c>
      <c r="CG193" s="21"/>
      <c r="CH193" s="21"/>
      <c r="CI193" s="21" t="s">
        <v>108</v>
      </c>
      <c r="CJ193" s="21" t="s">
        <v>108</v>
      </c>
      <c r="CK193" s="21" t="s">
        <v>108</v>
      </c>
      <c r="CL193" s="21"/>
      <c r="CM193" s="25"/>
      <c r="CN193" s="25"/>
      <c r="CO193" s="25"/>
      <c r="CP193" s="26"/>
    </row>
    <row r="194" spans="1:94" s="27" customFormat="1" ht="23.25" customHeight="1">
      <c r="A194" s="4">
        <v>91</v>
      </c>
      <c r="B194" s="6"/>
      <c r="C194" s="6"/>
      <c r="D194" s="6"/>
      <c r="E194" s="6"/>
      <c r="F194" s="6"/>
      <c r="G194" s="6"/>
      <c r="H194" s="5"/>
      <c r="I194" s="7" t="s">
        <v>86</v>
      </c>
      <c r="J194" s="7" t="s">
        <v>166</v>
      </c>
      <c r="K194" s="7" t="s">
        <v>2840</v>
      </c>
      <c r="L194" s="5"/>
      <c r="M194" s="5">
        <v>2101</v>
      </c>
      <c r="N194" s="9">
        <v>3196454784</v>
      </c>
      <c r="O194" s="9" t="s">
        <v>11597</v>
      </c>
      <c r="P194" s="10" t="s">
        <v>2841</v>
      </c>
      <c r="Q194" s="389" t="s">
        <v>2842</v>
      </c>
      <c r="R194" s="8" t="s">
        <v>2451</v>
      </c>
      <c r="S194" s="212" t="s">
        <v>12141</v>
      </c>
      <c r="T194" s="8" t="s">
        <v>2843</v>
      </c>
      <c r="U194" s="11" t="s">
        <v>93</v>
      </c>
      <c r="V194" s="12" t="s">
        <v>94</v>
      </c>
      <c r="W194" s="13">
        <v>43609</v>
      </c>
      <c r="X194" s="13" t="str">
        <f t="shared" ca="1" si="2"/>
        <v>7 Th, 3 Bln</v>
      </c>
      <c r="Y194" s="5" t="s">
        <v>95</v>
      </c>
      <c r="Z194" s="14" t="s">
        <v>108</v>
      </c>
      <c r="AA194" s="5" t="s">
        <v>96</v>
      </c>
      <c r="AB194" s="5" t="s">
        <v>97</v>
      </c>
      <c r="AC194" s="7" t="s">
        <v>2844</v>
      </c>
      <c r="AD194" s="131" t="s">
        <v>2589</v>
      </c>
      <c r="AE194" s="131" t="s">
        <v>358</v>
      </c>
      <c r="AF194" s="7" t="s">
        <v>177</v>
      </c>
      <c r="AG194" s="7" t="s">
        <v>178</v>
      </c>
      <c r="AH194" s="7" t="s">
        <v>178</v>
      </c>
      <c r="AI194" s="7"/>
      <c r="AJ194" s="7" t="s">
        <v>94</v>
      </c>
      <c r="AK194" s="7" t="s">
        <v>179</v>
      </c>
      <c r="AL194" s="7" t="s">
        <v>688</v>
      </c>
      <c r="AM194" s="15" t="s">
        <v>2845</v>
      </c>
      <c r="AN194" s="15" t="s">
        <v>2846</v>
      </c>
      <c r="AO194" s="8">
        <v>2</v>
      </c>
      <c r="AP194" s="8" t="s">
        <v>146</v>
      </c>
      <c r="AQ194" s="8" t="s">
        <v>108</v>
      </c>
      <c r="AR194" s="8" t="s">
        <v>108</v>
      </c>
      <c r="AS194" s="132" t="s">
        <v>2847</v>
      </c>
      <c r="AT194" s="131" t="s">
        <v>2848</v>
      </c>
      <c r="AU194" s="132" t="s">
        <v>182</v>
      </c>
      <c r="AV194" s="16" t="s">
        <v>112</v>
      </c>
      <c r="AW194" s="56"/>
      <c r="AX194" s="56" t="s">
        <v>114</v>
      </c>
      <c r="AY194" s="56" t="s">
        <v>2849</v>
      </c>
      <c r="AZ194" s="7" t="s">
        <v>2850</v>
      </c>
      <c r="BA194" s="10" t="s">
        <v>511</v>
      </c>
      <c r="BB194" s="52">
        <v>30366</v>
      </c>
      <c r="BC194" s="17" t="s">
        <v>96</v>
      </c>
      <c r="BD194" s="17" t="s">
        <v>2845</v>
      </c>
      <c r="BE194" s="18" t="s">
        <v>118</v>
      </c>
      <c r="BF194" s="7" t="s">
        <v>247</v>
      </c>
      <c r="BG194" s="7" t="s">
        <v>1326</v>
      </c>
      <c r="BH194" s="7" t="s">
        <v>1326</v>
      </c>
      <c r="BI194" s="7" t="s">
        <v>1326</v>
      </c>
      <c r="BJ194" s="19" t="s">
        <v>1116</v>
      </c>
      <c r="BK194" s="20" t="s">
        <v>1326</v>
      </c>
      <c r="BL194" s="58" t="s">
        <v>2851</v>
      </c>
      <c r="BM194" s="7" t="s">
        <v>2852</v>
      </c>
      <c r="BN194" s="22" t="s">
        <v>94</v>
      </c>
      <c r="BO194" s="49">
        <v>31544</v>
      </c>
      <c r="BP194" s="17" t="s">
        <v>96</v>
      </c>
      <c r="BQ194" s="17" t="s">
        <v>2846</v>
      </c>
      <c r="BR194" s="18" t="s">
        <v>118</v>
      </c>
      <c r="BS194" s="7" t="s">
        <v>276</v>
      </c>
      <c r="BT194" s="7" t="s">
        <v>2853</v>
      </c>
      <c r="BU194" s="7" t="s">
        <v>2854</v>
      </c>
      <c r="BV194" s="8" t="s">
        <v>1326</v>
      </c>
      <c r="BW194" s="23" t="s">
        <v>2855</v>
      </c>
      <c r="BX194" s="24" t="s">
        <v>2856</v>
      </c>
      <c r="BY194" s="21" t="s">
        <v>108</v>
      </c>
      <c r="BZ194" s="21" t="s">
        <v>108</v>
      </c>
      <c r="CA194" s="21"/>
      <c r="CB194" s="21"/>
      <c r="CC194" s="21"/>
      <c r="CD194" s="21"/>
      <c r="CE194" s="21" t="s">
        <v>108</v>
      </c>
      <c r="CF194" s="21"/>
      <c r="CG194" s="21" t="s">
        <v>108</v>
      </c>
      <c r="CH194" s="21"/>
      <c r="CI194" s="21"/>
      <c r="CJ194" s="21" t="s">
        <v>108</v>
      </c>
      <c r="CK194" s="21" t="s">
        <v>108</v>
      </c>
      <c r="CL194" s="21" t="s">
        <v>108</v>
      </c>
      <c r="CM194" s="25"/>
      <c r="CN194" s="25"/>
      <c r="CO194" s="25"/>
      <c r="CP194" s="26"/>
    </row>
    <row r="195" spans="1:94" s="27" customFormat="1" ht="23.25" customHeight="1">
      <c r="A195" s="4">
        <v>92</v>
      </c>
      <c r="B195" s="28"/>
      <c r="C195" s="28"/>
      <c r="D195" s="28"/>
      <c r="E195" s="28"/>
      <c r="F195" s="28"/>
      <c r="G195" s="28"/>
      <c r="H195" s="29"/>
      <c r="I195" s="30" t="s">
        <v>2452</v>
      </c>
      <c r="J195" s="30" t="s">
        <v>166</v>
      </c>
      <c r="K195" s="30" t="s">
        <v>2857</v>
      </c>
      <c r="L195" s="29"/>
      <c r="M195" s="29">
        <v>2102</v>
      </c>
      <c r="N195" s="92">
        <v>3180902064</v>
      </c>
      <c r="O195" s="92" t="s">
        <v>11598</v>
      </c>
      <c r="P195" s="32" t="s">
        <v>2858</v>
      </c>
      <c r="Q195" s="390" t="s">
        <v>2859</v>
      </c>
      <c r="R195" s="8" t="s">
        <v>2451</v>
      </c>
      <c r="S195" s="212" t="s">
        <v>12141</v>
      </c>
      <c r="T195" s="31" t="s">
        <v>2860</v>
      </c>
      <c r="U195" s="33" t="s">
        <v>172</v>
      </c>
      <c r="V195" s="34" t="s">
        <v>94</v>
      </c>
      <c r="W195" s="35">
        <v>43414</v>
      </c>
      <c r="X195" s="35" t="str">
        <f t="shared" ca="1" si="2"/>
        <v>7 Th, 10 Bln</v>
      </c>
      <c r="Y195" s="29" t="s">
        <v>425</v>
      </c>
      <c r="Z195" s="36" t="s">
        <v>2861</v>
      </c>
      <c r="AA195" s="29" t="s">
        <v>96</v>
      </c>
      <c r="AB195" s="29" t="s">
        <v>97</v>
      </c>
      <c r="AC195" s="30" t="s">
        <v>2862</v>
      </c>
      <c r="AD195" s="129" t="s">
        <v>318</v>
      </c>
      <c r="AE195" s="129" t="s">
        <v>294</v>
      </c>
      <c r="AF195" s="30" t="s">
        <v>521</v>
      </c>
      <c r="AG195" s="30" t="s">
        <v>178</v>
      </c>
      <c r="AH195" s="30" t="s">
        <v>178</v>
      </c>
      <c r="AI195" s="30">
        <v>65141</v>
      </c>
      <c r="AJ195" s="30" t="s">
        <v>103</v>
      </c>
      <c r="AK195" s="30" t="s">
        <v>104</v>
      </c>
      <c r="AL195" s="30" t="s">
        <v>2863</v>
      </c>
      <c r="AM195" s="37" t="s">
        <v>2864</v>
      </c>
      <c r="AN195" s="37" t="s">
        <v>2865</v>
      </c>
      <c r="AO195" s="31">
        <v>1</v>
      </c>
      <c r="AP195" s="31" t="s">
        <v>146</v>
      </c>
      <c r="AQ195" s="31" t="s">
        <v>127</v>
      </c>
      <c r="AR195" s="31" t="s">
        <v>127</v>
      </c>
      <c r="AS195" s="130" t="s">
        <v>2694</v>
      </c>
      <c r="AT195" s="129" t="s">
        <v>2780</v>
      </c>
      <c r="AU195" s="130" t="s">
        <v>182</v>
      </c>
      <c r="AV195" s="38" t="s">
        <v>112</v>
      </c>
      <c r="AW195" s="123"/>
      <c r="AX195" s="123" t="s">
        <v>114</v>
      </c>
      <c r="AY195" s="123" t="s">
        <v>2866</v>
      </c>
      <c r="AZ195" s="30" t="s">
        <v>2867</v>
      </c>
      <c r="BA195" s="32" t="s">
        <v>395</v>
      </c>
      <c r="BB195" s="53">
        <v>31879</v>
      </c>
      <c r="BC195" s="39" t="s">
        <v>96</v>
      </c>
      <c r="BD195" s="39" t="s">
        <v>2868</v>
      </c>
      <c r="BE195" s="40" t="s">
        <v>118</v>
      </c>
      <c r="BF195" s="30" t="s">
        <v>332</v>
      </c>
      <c r="BG195" s="30" t="s">
        <v>2869</v>
      </c>
      <c r="BH195" s="30" t="s">
        <v>2870</v>
      </c>
      <c r="BI195" s="30" t="s">
        <v>2871</v>
      </c>
      <c r="BJ195" s="41" t="s">
        <v>2872</v>
      </c>
      <c r="BK195" s="111" t="s">
        <v>2873</v>
      </c>
      <c r="BL195" s="124" t="s">
        <v>2874</v>
      </c>
      <c r="BM195" s="30" t="s">
        <v>2875</v>
      </c>
      <c r="BN195" s="125" t="s">
        <v>395</v>
      </c>
      <c r="BO195" s="50">
        <v>31929</v>
      </c>
      <c r="BP195" s="39" t="s">
        <v>96</v>
      </c>
      <c r="BQ195" s="39" t="s">
        <v>2865</v>
      </c>
      <c r="BR195" s="40" t="s">
        <v>153</v>
      </c>
      <c r="BS195" s="30" t="s">
        <v>2876</v>
      </c>
      <c r="BT195" s="30" t="s">
        <v>2877</v>
      </c>
      <c r="BU195" s="30" t="s">
        <v>2878</v>
      </c>
      <c r="BV195" s="31" t="s">
        <v>2879</v>
      </c>
      <c r="BW195" s="126" t="s">
        <v>2880</v>
      </c>
      <c r="BX195" s="127" t="s">
        <v>2881</v>
      </c>
      <c r="BY195" s="47" t="s">
        <v>2882</v>
      </c>
      <c r="BZ195" s="47" t="s">
        <v>395</v>
      </c>
      <c r="CA195" s="47">
        <v>22380</v>
      </c>
      <c r="CB195" s="47"/>
      <c r="CC195" s="47" t="s">
        <v>2883</v>
      </c>
      <c r="CD195" s="47" t="s">
        <v>224</v>
      </c>
      <c r="CE195" s="47" t="s">
        <v>154</v>
      </c>
      <c r="CF195" s="47" t="s">
        <v>96</v>
      </c>
      <c r="CG195" s="47" t="s">
        <v>2884</v>
      </c>
      <c r="CH195" s="47" t="s">
        <v>100</v>
      </c>
      <c r="CI195" s="47" t="s">
        <v>293</v>
      </c>
      <c r="CJ195" s="47" t="s">
        <v>2885</v>
      </c>
      <c r="CK195" s="47" t="s">
        <v>2886</v>
      </c>
      <c r="CL195" s="47" t="s">
        <v>2887</v>
      </c>
      <c r="CM195" s="25"/>
      <c r="CN195" s="25"/>
      <c r="CO195" s="25"/>
      <c r="CP195" s="26"/>
    </row>
    <row r="196" spans="1:94" s="27" customFormat="1" ht="23.25" customHeight="1">
      <c r="A196" s="4">
        <v>93</v>
      </c>
      <c r="B196" s="6"/>
      <c r="C196" s="6"/>
      <c r="D196" s="6"/>
      <c r="E196" s="6"/>
      <c r="F196" s="6"/>
      <c r="G196" s="6"/>
      <c r="H196" s="5"/>
      <c r="I196" s="7" t="s">
        <v>2452</v>
      </c>
      <c r="J196" s="7" t="s">
        <v>2905</v>
      </c>
      <c r="K196" s="7" t="s">
        <v>2906</v>
      </c>
      <c r="L196" s="5"/>
      <c r="M196" s="5">
        <v>2104</v>
      </c>
      <c r="N196" s="9">
        <v>3192271951</v>
      </c>
      <c r="O196" s="9" t="s">
        <v>11599</v>
      </c>
      <c r="P196" s="10" t="s">
        <v>2907</v>
      </c>
      <c r="Q196" s="389" t="s">
        <v>2908</v>
      </c>
      <c r="R196" s="8" t="s">
        <v>2451</v>
      </c>
      <c r="S196" s="212" t="s">
        <v>12141</v>
      </c>
      <c r="T196" s="8" t="s">
        <v>2909</v>
      </c>
      <c r="U196" s="11" t="s">
        <v>93</v>
      </c>
      <c r="V196" s="12" t="s">
        <v>94</v>
      </c>
      <c r="W196" s="13">
        <v>43601</v>
      </c>
      <c r="X196" s="13" t="str">
        <f t="shared" ca="1" si="2"/>
        <v>7 Th, 4 Bln</v>
      </c>
      <c r="Y196" s="5" t="s">
        <v>95</v>
      </c>
      <c r="Z196" s="14" t="s">
        <v>108</v>
      </c>
      <c r="AA196" s="5" t="s">
        <v>96</v>
      </c>
      <c r="AB196" s="5" t="s">
        <v>97</v>
      </c>
      <c r="AC196" s="7" t="s">
        <v>2910</v>
      </c>
      <c r="AD196" s="131" t="s">
        <v>99</v>
      </c>
      <c r="AE196" s="131" t="s">
        <v>318</v>
      </c>
      <c r="AF196" s="7" t="s">
        <v>1174</v>
      </c>
      <c r="AG196" s="7" t="s">
        <v>241</v>
      </c>
      <c r="AH196" s="7" t="s">
        <v>241</v>
      </c>
      <c r="AI196" s="7">
        <v>65122</v>
      </c>
      <c r="AJ196" s="7" t="s">
        <v>94</v>
      </c>
      <c r="AK196" s="7" t="s">
        <v>104</v>
      </c>
      <c r="AL196" s="7" t="s">
        <v>522</v>
      </c>
      <c r="AM196" s="15" t="s">
        <v>163</v>
      </c>
      <c r="AN196" s="15" t="s">
        <v>2911</v>
      </c>
      <c r="AO196" s="8">
        <v>1</v>
      </c>
      <c r="AP196" s="8" t="s">
        <v>162</v>
      </c>
      <c r="AQ196" s="8" t="s">
        <v>162</v>
      </c>
      <c r="AR196" s="8" t="s">
        <v>162</v>
      </c>
      <c r="AS196" s="132" t="s">
        <v>2912</v>
      </c>
      <c r="AT196" s="131" t="s">
        <v>2913</v>
      </c>
      <c r="AU196" s="132" t="s">
        <v>111</v>
      </c>
      <c r="AV196" s="16" t="s">
        <v>112</v>
      </c>
      <c r="AW196" s="56"/>
      <c r="AX196" s="56" t="s">
        <v>114</v>
      </c>
      <c r="AY196" s="56" t="s">
        <v>2914</v>
      </c>
      <c r="AZ196" s="7" t="s">
        <v>2915</v>
      </c>
      <c r="BA196" s="10" t="s">
        <v>2916</v>
      </c>
      <c r="BB196" s="52">
        <v>31629</v>
      </c>
      <c r="BC196" s="17" t="s">
        <v>96</v>
      </c>
      <c r="BD196" s="17" t="s">
        <v>2917</v>
      </c>
      <c r="BE196" s="18" t="s">
        <v>216</v>
      </c>
      <c r="BF196" s="7" t="s">
        <v>327</v>
      </c>
      <c r="BG196" s="7" t="s">
        <v>2918</v>
      </c>
      <c r="BH196" s="7" t="s">
        <v>2919</v>
      </c>
      <c r="BI196" s="7" t="s">
        <v>2917</v>
      </c>
      <c r="BJ196" s="19" t="s">
        <v>2060</v>
      </c>
      <c r="BK196" s="20" t="s">
        <v>2920</v>
      </c>
      <c r="BL196" s="58" t="s">
        <v>2921</v>
      </c>
      <c r="BM196" s="7" t="s">
        <v>2922</v>
      </c>
      <c r="BN196" s="22" t="s">
        <v>94</v>
      </c>
      <c r="BO196" s="49">
        <v>33912</v>
      </c>
      <c r="BP196" s="17" t="s">
        <v>96</v>
      </c>
      <c r="BQ196" s="17" t="s">
        <v>2911</v>
      </c>
      <c r="BR196" s="18" t="s">
        <v>216</v>
      </c>
      <c r="BS196" s="7" t="s">
        <v>327</v>
      </c>
      <c r="BT196" s="7" t="s">
        <v>2923</v>
      </c>
      <c r="BU196" s="7" t="s">
        <v>2924</v>
      </c>
      <c r="BV196" s="8" t="s">
        <v>2911</v>
      </c>
      <c r="BW196" s="23" t="s">
        <v>250</v>
      </c>
      <c r="BX196" s="24" t="s">
        <v>2925</v>
      </c>
      <c r="BY196" s="21" t="s">
        <v>108</v>
      </c>
      <c r="BZ196" s="21" t="s">
        <v>108</v>
      </c>
      <c r="CA196" s="21"/>
      <c r="CB196" s="21"/>
      <c r="CC196" s="21"/>
      <c r="CD196" s="21"/>
      <c r="CE196" s="21" t="s">
        <v>108</v>
      </c>
      <c r="CF196" s="21"/>
      <c r="CG196" s="21" t="s">
        <v>108</v>
      </c>
      <c r="CH196" s="21"/>
      <c r="CI196" s="21"/>
      <c r="CJ196" s="21" t="s">
        <v>108</v>
      </c>
      <c r="CK196" s="21" t="s">
        <v>108</v>
      </c>
      <c r="CL196" s="21" t="s">
        <v>108</v>
      </c>
      <c r="CM196" s="25"/>
      <c r="CN196" s="25"/>
      <c r="CO196" s="25"/>
      <c r="CP196" s="26"/>
    </row>
    <row r="197" spans="1:94" s="27" customFormat="1" ht="23.25" customHeight="1">
      <c r="A197" s="4">
        <v>94</v>
      </c>
      <c r="B197" s="6"/>
      <c r="C197" s="6"/>
      <c r="D197" s="6"/>
      <c r="E197" s="6"/>
      <c r="F197" s="6"/>
      <c r="G197" s="6"/>
      <c r="H197" s="5"/>
      <c r="I197" s="7" t="s">
        <v>2452</v>
      </c>
      <c r="J197" s="7" t="s">
        <v>2971</v>
      </c>
      <c r="K197" s="7" t="s">
        <v>884</v>
      </c>
      <c r="L197" s="5"/>
      <c r="M197" s="5">
        <v>2108</v>
      </c>
      <c r="N197" s="9">
        <v>3198661245</v>
      </c>
      <c r="O197" s="9" t="s">
        <v>11600</v>
      </c>
      <c r="P197" s="10" t="s">
        <v>2972</v>
      </c>
      <c r="Q197" s="389" t="s">
        <v>2973</v>
      </c>
      <c r="R197" s="8" t="s">
        <v>2451</v>
      </c>
      <c r="S197" s="212" t="s">
        <v>12141</v>
      </c>
      <c r="T197" s="8" t="s">
        <v>2974</v>
      </c>
      <c r="U197" s="11" t="s">
        <v>172</v>
      </c>
      <c r="V197" s="12" t="s">
        <v>94</v>
      </c>
      <c r="W197" s="13">
        <v>43523</v>
      </c>
      <c r="X197" s="13" t="str">
        <f t="shared" ca="1" si="2"/>
        <v>7 Th, 6 Bln</v>
      </c>
      <c r="Y197" s="5" t="s">
        <v>95</v>
      </c>
      <c r="Z197" s="14" t="s">
        <v>108</v>
      </c>
      <c r="AA197" s="5" t="s">
        <v>96</v>
      </c>
      <c r="AB197" s="5" t="s">
        <v>97</v>
      </c>
      <c r="AC197" s="7" t="s">
        <v>2975</v>
      </c>
      <c r="AD197" s="131" t="s">
        <v>294</v>
      </c>
      <c r="AE197" s="131" t="s">
        <v>99</v>
      </c>
      <c r="AF197" s="7" t="s">
        <v>2976</v>
      </c>
      <c r="AG197" s="7" t="s">
        <v>1467</v>
      </c>
      <c r="AH197" s="7" t="s">
        <v>1467</v>
      </c>
      <c r="AI197" s="7">
        <v>65115</v>
      </c>
      <c r="AJ197" s="7" t="s">
        <v>94</v>
      </c>
      <c r="AK197" s="7" t="s">
        <v>179</v>
      </c>
      <c r="AL197" s="7" t="s">
        <v>2977</v>
      </c>
      <c r="AM197" s="15" t="s">
        <v>2978</v>
      </c>
      <c r="AN197" s="15" t="s">
        <v>2978</v>
      </c>
      <c r="AO197" s="8">
        <v>1</v>
      </c>
      <c r="AP197" s="8" t="s">
        <v>146</v>
      </c>
      <c r="AQ197" s="8" t="s">
        <v>108</v>
      </c>
      <c r="AR197" s="8" t="s">
        <v>108</v>
      </c>
      <c r="AS197" s="132" t="s">
        <v>2979</v>
      </c>
      <c r="AT197" s="131" t="s">
        <v>2593</v>
      </c>
      <c r="AU197" s="132" t="s">
        <v>149</v>
      </c>
      <c r="AV197" s="16" t="s">
        <v>112</v>
      </c>
      <c r="AW197" s="56"/>
      <c r="AX197" s="56" t="s">
        <v>2980</v>
      </c>
      <c r="AY197" s="56" t="s">
        <v>2981</v>
      </c>
      <c r="AZ197" s="7" t="s">
        <v>2982</v>
      </c>
      <c r="BA197" s="10" t="s">
        <v>94</v>
      </c>
      <c r="BB197" s="52">
        <v>31888</v>
      </c>
      <c r="BC197" s="17" t="s">
        <v>96</v>
      </c>
      <c r="BD197" s="17" t="s">
        <v>2983</v>
      </c>
      <c r="BE197" s="18" t="s">
        <v>118</v>
      </c>
      <c r="BF197" s="7" t="s">
        <v>195</v>
      </c>
      <c r="BG197" s="7" t="s">
        <v>2984</v>
      </c>
      <c r="BH197" s="7" t="s">
        <v>2985</v>
      </c>
      <c r="BI197" s="7"/>
      <c r="BJ197" s="19" t="s">
        <v>2986</v>
      </c>
      <c r="BK197" s="20" t="s">
        <v>2987</v>
      </c>
      <c r="BL197" s="58" t="s">
        <v>2988</v>
      </c>
      <c r="BM197" s="7" t="s">
        <v>2989</v>
      </c>
      <c r="BN197" s="22" t="s">
        <v>971</v>
      </c>
      <c r="BO197" s="49">
        <v>33712</v>
      </c>
      <c r="BP197" s="17" t="s">
        <v>96</v>
      </c>
      <c r="BQ197" s="17" t="s">
        <v>2978</v>
      </c>
      <c r="BR197" s="18" t="s">
        <v>118</v>
      </c>
      <c r="BS197" s="7" t="s">
        <v>276</v>
      </c>
      <c r="BT197" s="7" t="s">
        <v>2990</v>
      </c>
      <c r="BU197" s="7" t="s">
        <v>2991</v>
      </c>
      <c r="BV197" s="8" t="s">
        <v>108</v>
      </c>
      <c r="BW197" s="23" t="s">
        <v>2992</v>
      </c>
      <c r="BX197" s="24" t="s">
        <v>2993</v>
      </c>
      <c r="BY197" s="21" t="s">
        <v>108</v>
      </c>
      <c r="BZ197" s="21" t="s">
        <v>108</v>
      </c>
      <c r="CA197" s="21"/>
      <c r="CB197" s="21"/>
      <c r="CC197" s="21"/>
      <c r="CD197" s="21"/>
      <c r="CE197" s="21" t="s">
        <v>108</v>
      </c>
      <c r="CF197" s="21"/>
      <c r="CG197" s="21" t="s">
        <v>108</v>
      </c>
      <c r="CH197" s="21"/>
      <c r="CI197" s="21"/>
      <c r="CJ197" s="21" t="s">
        <v>108</v>
      </c>
      <c r="CK197" s="21" t="s">
        <v>108</v>
      </c>
      <c r="CL197" s="21" t="s">
        <v>108</v>
      </c>
      <c r="CM197" s="25"/>
      <c r="CN197" s="25"/>
      <c r="CO197" s="25"/>
      <c r="CP197" s="26"/>
    </row>
    <row r="198" spans="1:94" s="116" customFormat="1" ht="23.25" customHeight="1">
      <c r="A198" s="4">
        <v>95</v>
      </c>
      <c r="B198" s="6"/>
      <c r="C198" s="6"/>
      <c r="D198" s="6"/>
      <c r="E198" s="6"/>
      <c r="F198" s="6"/>
      <c r="G198" s="6"/>
      <c r="H198" s="5"/>
      <c r="I198" s="7" t="s">
        <v>2452</v>
      </c>
      <c r="J198" s="7" t="s">
        <v>3089</v>
      </c>
      <c r="K198" s="7" t="s">
        <v>3090</v>
      </c>
      <c r="L198" s="5"/>
      <c r="M198" s="5">
        <v>2114</v>
      </c>
      <c r="N198" s="9">
        <v>3196701895</v>
      </c>
      <c r="O198" s="9" t="s">
        <v>11601</v>
      </c>
      <c r="P198" s="10" t="s">
        <v>3091</v>
      </c>
      <c r="Q198" s="389" t="s">
        <v>3092</v>
      </c>
      <c r="R198" s="8" t="s">
        <v>2451</v>
      </c>
      <c r="S198" s="212" t="s">
        <v>12141</v>
      </c>
      <c r="T198" s="8" t="s">
        <v>3093</v>
      </c>
      <c r="U198" s="11" t="s">
        <v>172</v>
      </c>
      <c r="V198" s="12" t="s">
        <v>94</v>
      </c>
      <c r="W198" s="13">
        <v>43505</v>
      </c>
      <c r="X198" s="13" t="str">
        <f t="shared" ca="1" si="2"/>
        <v>7 Th, 7 Bln</v>
      </c>
      <c r="Y198" s="5" t="s">
        <v>95</v>
      </c>
      <c r="Z198" s="14" t="s">
        <v>108</v>
      </c>
      <c r="AA198" s="5" t="s">
        <v>96</v>
      </c>
      <c r="AB198" s="5" t="s">
        <v>97</v>
      </c>
      <c r="AC198" s="7" t="s">
        <v>3094</v>
      </c>
      <c r="AD198" s="131" t="s">
        <v>99</v>
      </c>
      <c r="AE198" s="131">
        <v>10</v>
      </c>
      <c r="AF198" s="7" t="s">
        <v>178</v>
      </c>
      <c r="AG198" s="7" t="s">
        <v>178</v>
      </c>
      <c r="AH198" s="7" t="s">
        <v>178</v>
      </c>
      <c r="AI198" s="7">
        <v>65141</v>
      </c>
      <c r="AJ198" s="7" t="s">
        <v>103</v>
      </c>
      <c r="AK198" s="7" t="s">
        <v>179</v>
      </c>
      <c r="AL198" s="7" t="s">
        <v>3095</v>
      </c>
      <c r="AM198" s="15" t="s">
        <v>3096</v>
      </c>
      <c r="AN198" s="15" t="s">
        <v>3097</v>
      </c>
      <c r="AO198" s="8">
        <v>1</v>
      </c>
      <c r="AP198" s="8" t="s">
        <v>146</v>
      </c>
      <c r="AQ198" s="8" t="s">
        <v>147</v>
      </c>
      <c r="AR198" s="8" t="s">
        <v>147</v>
      </c>
      <c r="AS198" s="132" t="s">
        <v>3098</v>
      </c>
      <c r="AT198" s="131" t="s">
        <v>1178</v>
      </c>
      <c r="AU198" s="132" t="s">
        <v>149</v>
      </c>
      <c r="AV198" s="16" t="s">
        <v>112</v>
      </c>
      <c r="AW198" s="56"/>
      <c r="AX198" s="56" t="s">
        <v>1844</v>
      </c>
      <c r="AY198" s="56" t="s">
        <v>3099</v>
      </c>
      <c r="AZ198" s="7" t="s">
        <v>3100</v>
      </c>
      <c r="BA198" s="10" t="s">
        <v>94</v>
      </c>
      <c r="BB198" s="52">
        <v>33904</v>
      </c>
      <c r="BC198" s="17" t="s">
        <v>96</v>
      </c>
      <c r="BD198" s="17" t="s">
        <v>3097</v>
      </c>
      <c r="BE198" s="18" t="s">
        <v>118</v>
      </c>
      <c r="BF198" s="7" t="s">
        <v>188</v>
      </c>
      <c r="BG198" s="7" t="s">
        <v>3101</v>
      </c>
      <c r="BH198" s="7" t="s">
        <v>3102</v>
      </c>
      <c r="BI198" s="7" t="s">
        <v>3103</v>
      </c>
      <c r="BJ198" s="19" t="s">
        <v>122</v>
      </c>
      <c r="BK198" s="20" t="s">
        <v>3104</v>
      </c>
      <c r="BL198" s="58" t="s">
        <v>3105</v>
      </c>
      <c r="BM198" s="7" t="s">
        <v>3106</v>
      </c>
      <c r="BN198" s="22" t="s">
        <v>94</v>
      </c>
      <c r="BO198" s="49">
        <v>34399</v>
      </c>
      <c r="BP198" s="17" t="s">
        <v>96</v>
      </c>
      <c r="BQ198" s="17" t="s">
        <v>3096</v>
      </c>
      <c r="BR198" s="18" t="s">
        <v>118</v>
      </c>
      <c r="BS198" s="7" t="s">
        <v>126</v>
      </c>
      <c r="BT198" s="7" t="s">
        <v>147</v>
      </c>
      <c r="BU198" s="7" t="s">
        <v>147</v>
      </c>
      <c r="BV198" s="8" t="s">
        <v>147</v>
      </c>
      <c r="BW198" s="23">
        <v>0</v>
      </c>
      <c r="BX198" s="24" t="s">
        <v>3107</v>
      </c>
      <c r="BY198" s="21" t="s">
        <v>3108</v>
      </c>
      <c r="BZ198" s="21" t="s">
        <v>94</v>
      </c>
      <c r="CA198" s="21">
        <v>23548</v>
      </c>
      <c r="CB198" s="21"/>
      <c r="CC198" s="21" t="s">
        <v>3109</v>
      </c>
      <c r="CD198" s="21" t="s">
        <v>216</v>
      </c>
      <c r="CE198" s="21" t="s">
        <v>126</v>
      </c>
      <c r="CF198" s="21" t="s">
        <v>96</v>
      </c>
      <c r="CG198" s="21" t="s">
        <v>3094</v>
      </c>
      <c r="CH198" s="21" t="s">
        <v>99</v>
      </c>
      <c r="CI198" s="21">
        <v>10</v>
      </c>
      <c r="CJ198" s="21" t="s">
        <v>178</v>
      </c>
      <c r="CK198" s="21" t="s">
        <v>178</v>
      </c>
      <c r="CL198" s="21" t="s">
        <v>103</v>
      </c>
      <c r="CM198" s="114"/>
      <c r="CN198" s="114"/>
      <c r="CO198" s="114"/>
      <c r="CP198" s="115"/>
    </row>
    <row r="199" spans="1:94" s="27" customFormat="1" ht="23.25" customHeight="1">
      <c r="A199" s="4">
        <v>96</v>
      </c>
      <c r="B199" s="6"/>
      <c r="C199" s="6"/>
      <c r="D199" s="6"/>
      <c r="E199" s="6"/>
      <c r="F199" s="6"/>
      <c r="G199" s="6"/>
      <c r="H199" s="5"/>
      <c r="I199" s="7" t="s">
        <v>2452</v>
      </c>
      <c r="J199" s="7" t="s">
        <v>747</v>
      </c>
      <c r="K199" s="7" t="s">
        <v>3110</v>
      </c>
      <c r="L199" s="5"/>
      <c r="M199" s="5">
        <v>2115</v>
      </c>
      <c r="N199" s="9">
        <v>3192081855</v>
      </c>
      <c r="O199" s="9" t="s">
        <v>11602</v>
      </c>
      <c r="P199" s="10" t="s">
        <v>3111</v>
      </c>
      <c r="Q199" s="389" t="s">
        <v>3112</v>
      </c>
      <c r="R199" s="8" t="s">
        <v>2451</v>
      </c>
      <c r="S199" s="212" t="s">
        <v>12141</v>
      </c>
      <c r="T199" s="8" t="s">
        <v>3113</v>
      </c>
      <c r="U199" s="11" t="s">
        <v>172</v>
      </c>
      <c r="V199" s="12" t="s">
        <v>94</v>
      </c>
      <c r="W199" s="13">
        <v>43533</v>
      </c>
      <c r="X199" s="13" t="str">
        <f t="shared" ca="1" si="2"/>
        <v>7 Th, 6 Bln</v>
      </c>
      <c r="Y199" s="5" t="s">
        <v>95</v>
      </c>
      <c r="Z199" s="14" t="s">
        <v>108</v>
      </c>
      <c r="AA199" s="5" t="s">
        <v>96</v>
      </c>
      <c r="AB199" s="5" t="s">
        <v>97</v>
      </c>
      <c r="AC199" s="7" t="s">
        <v>3114</v>
      </c>
      <c r="AD199" s="131" t="s">
        <v>137</v>
      </c>
      <c r="AE199" s="131">
        <v>20</v>
      </c>
      <c r="AF199" s="7" t="s">
        <v>615</v>
      </c>
      <c r="AG199" s="7" t="s">
        <v>178</v>
      </c>
      <c r="AH199" s="7" t="s">
        <v>178</v>
      </c>
      <c r="AI199" s="7">
        <v>65142</v>
      </c>
      <c r="AJ199" s="7" t="s">
        <v>94</v>
      </c>
      <c r="AK199" s="7" t="s">
        <v>104</v>
      </c>
      <c r="AL199" s="7" t="s">
        <v>146</v>
      </c>
      <c r="AM199" s="15" t="s">
        <v>3115</v>
      </c>
      <c r="AN199" s="15" t="s">
        <v>3116</v>
      </c>
      <c r="AO199" s="8">
        <v>2</v>
      </c>
      <c r="AP199" s="8" t="s">
        <v>107</v>
      </c>
      <c r="AQ199" s="8" t="s">
        <v>108</v>
      </c>
      <c r="AR199" s="8" t="s">
        <v>108</v>
      </c>
      <c r="AS199" s="132" t="s">
        <v>2573</v>
      </c>
      <c r="AT199" s="131" t="s">
        <v>2574</v>
      </c>
      <c r="AU199" s="132" t="s">
        <v>182</v>
      </c>
      <c r="AV199" s="16" t="s">
        <v>112</v>
      </c>
      <c r="AW199" s="56"/>
      <c r="AX199" s="56" t="s">
        <v>114</v>
      </c>
      <c r="AY199" s="56" t="s">
        <v>3117</v>
      </c>
      <c r="AZ199" s="7" t="s">
        <v>3118</v>
      </c>
      <c r="BA199" s="10" t="s">
        <v>469</v>
      </c>
      <c r="BB199" s="52">
        <v>30791</v>
      </c>
      <c r="BC199" s="17" t="s">
        <v>96</v>
      </c>
      <c r="BD199" s="17" t="s">
        <v>3119</v>
      </c>
      <c r="BE199" s="18" t="s">
        <v>118</v>
      </c>
      <c r="BF199" s="7" t="s">
        <v>327</v>
      </c>
      <c r="BG199" s="7" t="s">
        <v>3120</v>
      </c>
      <c r="BH199" s="7" t="s">
        <v>3121</v>
      </c>
      <c r="BI199" s="7"/>
      <c r="BJ199" s="19" t="s">
        <v>1271</v>
      </c>
      <c r="BK199" s="20" t="s">
        <v>3122</v>
      </c>
      <c r="BL199" s="58" t="s">
        <v>3123</v>
      </c>
      <c r="BM199" s="7" t="s">
        <v>3124</v>
      </c>
      <c r="BN199" s="22" t="s">
        <v>222</v>
      </c>
      <c r="BO199" s="49">
        <v>31672</v>
      </c>
      <c r="BP199" s="17" t="s">
        <v>96</v>
      </c>
      <c r="BQ199" s="17" t="s">
        <v>3115</v>
      </c>
      <c r="BR199" s="18" t="s">
        <v>118</v>
      </c>
      <c r="BS199" s="7" t="s">
        <v>126</v>
      </c>
      <c r="BT199" s="7" t="s">
        <v>452</v>
      </c>
      <c r="BU199" s="7" t="s">
        <v>3125</v>
      </c>
      <c r="BV199" s="8" t="s">
        <v>108</v>
      </c>
      <c r="BW199" s="23" t="s">
        <v>2892</v>
      </c>
      <c r="BX199" s="24" t="s">
        <v>3122</v>
      </c>
      <c r="BY199" s="21" t="s">
        <v>108</v>
      </c>
      <c r="BZ199" s="21" t="s">
        <v>108</v>
      </c>
      <c r="CA199" s="21"/>
      <c r="CB199" s="21"/>
      <c r="CC199" s="21"/>
      <c r="CD199" s="21"/>
      <c r="CE199" s="21" t="s">
        <v>108</v>
      </c>
      <c r="CF199" s="21"/>
      <c r="CG199" s="21" t="s">
        <v>108</v>
      </c>
      <c r="CH199" s="21"/>
      <c r="CI199" s="21"/>
      <c r="CJ199" s="21" t="s">
        <v>108</v>
      </c>
      <c r="CK199" s="21" t="s">
        <v>108</v>
      </c>
      <c r="CL199" s="21" t="s">
        <v>108</v>
      </c>
      <c r="CM199" s="25"/>
      <c r="CN199" s="25"/>
      <c r="CO199" s="25"/>
      <c r="CP199" s="26"/>
    </row>
    <row r="200" spans="1:94" s="27" customFormat="1" ht="23.25" customHeight="1">
      <c r="A200" s="4">
        <v>97</v>
      </c>
      <c r="B200" s="6"/>
      <c r="C200" s="6"/>
      <c r="D200" s="6"/>
      <c r="E200" s="6"/>
      <c r="F200" s="6"/>
      <c r="G200" s="6"/>
      <c r="H200" s="5"/>
      <c r="I200" s="7" t="s">
        <v>2452</v>
      </c>
      <c r="J200" s="7" t="s">
        <v>3189</v>
      </c>
      <c r="K200" s="7" t="s">
        <v>609</v>
      </c>
      <c r="L200" s="5"/>
      <c r="M200" s="5">
        <v>2119</v>
      </c>
      <c r="N200" s="9">
        <v>3189187363</v>
      </c>
      <c r="O200" s="150" t="s">
        <v>6848</v>
      </c>
      <c r="P200" s="10" t="s">
        <v>3190</v>
      </c>
      <c r="Q200" s="389" t="s">
        <v>3191</v>
      </c>
      <c r="R200" s="8" t="s">
        <v>2451</v>
      </c>
      <c r="S200" s="212" t="s">
        <v>12141</v>
      </c>
      <c r="T200" s="8" t="s">
        <v>3192</v>
      </c>
      <c r="U200" s="11" t="s">
        <v>172</v>
      </c>
      <c r="V200" s="12" t="s">
        <v>94</v>
      </c>
      <c r="W200" s="13">
        <v>43443</v>
      </c>
      <c r="X200" s="13" t="str">
        <f t="shared" ref="X200:X223" ca="1" si="3">""&amp;DATEDIF(W200,TODAY(),"y")&amp;" Th, "&amp;DATEDIF(W200,TODAY(),"ym")&amp;" Bln"</f>
        <v>7 Th, 9 Bln</v>
      </c>
      <c r="Y200" s="5" t="s">
        <v>95</v>
      </c>
      <c r="Z200" s="14" t="s">
        <v>1326</v>
      </c>
      <c r="AA200" s="5" t="s">
        <v>96</v>
      </c>
      <c r="AB200" s="5" t="s">
        <v>97</v>
      </c>
      <c r="AC200" s="7" t="s">
        <v>3193</v>
      </c>
      <c r="AD200" s="131">
        <v>44</v>
      </c>
      <c r="AE200" s="131" t="s">
        <v>207</v>
      </c>
      <c r="AF200" s="7" t="s">
        <v>319</v>
      </c>
      <c r="AG200" s="7" t="s">
        <v>140</v>
      </c>
      <c r="AH200" s="7" t="s">
        <v>141</v>
      </c>
      <c r="AI200" s="7">
        <v>65152</v>
      </c>
      <c r="AJ200" s="7" t="s">
        <v>1374</v>
      </c>
      <c r="AK200" s="7" t="s">
        <v>104</v>
      </c>
      <c r="AL200" s="7" t="s">
        <v>298</v>
      </c>
      <c r="AM200" s="15" t="s">
        <v>958</v>
      </c>
      <c r="AN200" s="15" t="s">
        <v>3194</v>
      </c>
      <c r="AO200" s="8">
        <v>3</v>
      </c>
      <c r="AP200" s="8" t="s">
        <v>298</v>
      </c>
      <c r="AQ200" s="8" t="s">
        <v>147</v>
      </c>
      <c r="AR200" s="8" t="s">
        <v>147</v>
      </c>
      <c r="AS200" s="132" t="s">
        <v>2614</v>
      </c>
      <c r="AT200" s="131" t="s">
        <v>3022</v>
      </c>
      <c r="AU200" s="132" t="s">
        <v>111</v>
      </c>
      <c r="AV200" s="16" t="s">
        <v>112</v>
      </c>
      <c r="AW200" s="56"/>
      <c r="AX200" s="56" t="s">
        <v>114</v>
      </c>
      <c r="AY200" s="56" t="s">
        <v>3195</v>
      </c>
      <c r="AZ200" s="7" t="s">
        <v>3196</v>
      </c>
      <c r="BA200" s="10" t="s">
        <v>94</v>
      </c>
      <c r="BB200" s="52">
        <v>32905</v>
      </c>
      <c r="BC200" s="17" t="s">
        <v>96</v>
      </c>
      <c r="BD200" s="17" t="s">
        <v>3197</v>
      </c>
      <c r="BE200" s="18" t="s">
        <v>216</v>
      </c>
      <c r="BF200" s="7" t="s">
        <v>1525</v>
      </c>
      <c r="BG200" s="7" t="s">
        <v>3198</v>
      </c>
      <c r="BH200" s="7" t="s">
        <v>3199</v>
      </c>
      <c r="BI200" s="7" t="s">
        <v>958</v>
      </c>
      <c r="BJ200" s="19" t="s">
        <v>1312</v>
      </c>
      <c r="BK200" s="20" t="s">
        <v>3200</v>
      </c>
      <c r="BL200" s="58" t="s">
        <v>3201</v>
      </c>
      <c r="BM200" s="7" t="s">
        <v>3202</v>
      </c>
      <c r="BN200" s="22" t="s">
        <v>1372</v>
      </c>
      <c r="BO200" s="49">
        <v>32775</v>
      </c>
      <c r="BP200" s="17" t="s">
        <v>96</v>
      </c>
      <c r="BQ200" s="17" t="s">
        <v>3194</v>
      </c>
      <c r="BR200" s="18" t="s">
        <v>118</v>
      </c>
      <c r="BS200" s="7" t="s">
        <v>1525</v>
      </c>
      <c r="BT200" s="7" t="s">
        <v>3203</v>
      </c>
      <c r="BU200" s="7" t="s">
        <v>3204</v>
      </c>
      <c r="BV200" s="8" t="s">
        <v>108</v>
      </c>
      <c r="BW200" s="23">
        <v>4000000</v>
      </c>
      <c r="BX200" s="24" t="s">
        <v>3205</v>
      </c>
      <c r="BY200" s="21" t="s">
        <v>108</v>
      </c>
      <c r="BZ200" s="21" t="s">
        <v>108</v>
      </c>
      <c r="CA200" s="21"/>
      <c r="CB200" s="21"/>
      <c r="CC200" s="21"/>
      <c r="CD200" s="21"/>
      <c r="CE200" s="21" t="s">
        <v>108</v>
      </c>
      <c r="CF200" s="21"/>
      <c r="CG200" s="21" t="s">
        <v>108</v>
      </c>
      <c r="CH200" s="21"/>
      <c r="CI200" s="21"/>
      <c r="CJ200" s="21" t="s">
        <v>108</v>
      </c>
      <c r="CK200" s="21" t="s">
        <v>108</v>
      </c>
      <c r="CL200" s="21" t="s">
        <v>108</v>
      </c>
      <c r="CM200" s="25"/>
      <c r="CN200" s="25"/>
      <c r="CO200" s="25"/>
      <c r="CP200" s="26"/>
    </row>
    <row r="201" spans="1:94" s="27" customFormat="1" ht="23.25" customHeight="1">
      <c r="A201" s="4">
        <v>98</v>
      </c>
      <c r="B201" s="6"/>
      <c r="C201" s="6"/>
      <c r="D201" s="6"/>
      <c r="E201" s="6"/>
      <c r="F201" s="6"/>
      <c r="G201" s="6"/>
      <c r="H201" s="5"/>
      <c r="I201" s="7" t="s">
        <v>86</v>
      </c>
      <c r="J201" s="7" t="s">
        <v>287</v>
      </c>
      <c r="K201" s="7" t="s">
        <v>915</v>
      </c>
      <c r="L201" s="5"/>
      <c r="M201" s="5">
        <v>2120</v>
      </c>
      <c r="N201" s="9">
        <v>3191123644</v>
      </c>
      <c r="O201" s="9" t="s">
        <v>11603</v>
      </c>
      <c r="P201" s="10" t="s">
        <v>3206</v>
      </c>
      <c r="Q201" s="389" t="s">
        <v>3207</v>
      </c>
      <c r="R201" s="8" t="s">
        <v>2451</v>
      </c>
      <c r="S201" s="212" t="s">
        <v>12141</v>
      </c>
      <c r="T201" s="8" t="s">
        <v>3208</v>
      </c>
      <c r="U201" s="11" t="s">
        <v>93</v>
      </c>
      <c r="V201" s="12" t="s">
        <v>94</v>
      </c>
      <c r="W201" s="13">
        <v>43552</v>
      </c>
      <c r="X201" s="13" t="str">
        <f t="shared" ca="1" si="3"/>
        <v>7 Th, 5 Bln</v>
      </c>
      <c r="Y201" s="5" t="s">
        <v>95</v>
      </c>
      <c r="Z201" s="14" t="s">
        <v>108</v>
      </c>
      <c r="AA201" s="5" t="s">
        <v>96</v>
      </c>
      <c r="AB201" s="5" t="s">
        <v>97</v>
      </c>
      <c r="AC201" s="7" t="s">
        <v>3209</v>
      </c>
      <c r="AD201" s="131" t="s">
        <v>384</v>
      </c>
      <c r="AE201" s="131" t="s">
        <v>293</v>
      </c>
      <c r="AF201" s="7" t="s">
        <v>1976</v>
      </c>
      <c r="AG201" s="7" t="s">
        <v>140</v>
      </c>
      <c r="AH201" s="7" t="s">
        <v>141</v>
      </c>
      <c r="AI201" s="7"/>
      <c r="AJ201" s="7" t="s">
        <v>1374</v>
      </c>
      <c r="AK201" s="7" t="s">
        <v>179</v>
      </c>
      <c r="AL201" s="7" t="s">
        <v>3210</v>
      </c>
      <c r="AM201" s="15" t="s">
        <v>3211</v>
      </c>
      <c r="AN201" s="15" t="s">
        <v>3211</v>
      </c>
      <c r="AO201" s="8">
        <v>1</v>
      </c>
      <c r="AP201" s="8" t="s">
        <v>147</v>
      </c>
      <c r="AQ201" s="8" t="s">
        <v>147</v>
      </c>
      <c r="AR201" s="8" t="s">
        <v>147</v>
      </c>
      <c r="AS201" s="132" t="s">
        <v>2829</v>
      </c>
      <c r="AT201" s="131" t="s">
        <v>2803</v>
      </c>
      <c r="AU201" s="132" t="s">
        <v>182</v>
      </c>
      <c r="AV201" s="16" t="s">
        <v>112</v>
      </c>
      <c r="AW201" s="56"/>
      <c r="AX201" s="56" t="s">
        <v>427</v>
      </c>
      <c r="AY201" s="56" t="s">
        <v>3212</v>
      </c>
      <c r="AZ201" s="7" t="s">
        <v>3213</v>
      </c>
      <c r="BA201" s="10" t="s">
        <v>94</v>
      </c>
      <c r="BB201" s="52">
        <v>33320</v>
      </c>
      <c r="BC201" s="17" t="s">
        <v>96</v>
      </c>
      <c r="BD201" s="17" t="s">
        <v>3214</v>
      </c>
      <c r="BE201" s="18" t="s">
        <v>118</v>
      </c>
      <c r="BF201" s="7" t="s">
        <v>247</v>
      </c>
      <c r="BG201" s="7" t="s">
        <v>3215</v>
      </c>
      <c r="BH201" s="7" t="s">
        <v>3216</v>
      </c>
      <c r="BI201" s="7" t="s">
        <v>3217</v>
      </c>
      <c r="BJ201" s="19" t="s">
        <v>3218</v>
      </c>
      <c r="BK201" s="20" t="s">
        <v>3219</v>
      </c>
      <c r="BL201" s="58" t="s">
        <v>3220</v>
      </c>
      <c r="BM201" s="7" t="s">
        <v>3221</v>
      </c>
      <c r="BN201" s="22" t="s">
        <v>3222</v>
      </c>
      <c r="BO201" s="49">
        <v>35979</v>
      </c>
      <c r="BP201" s="17" t="s">
        <v>96</v>
      </c>
      <c r="BQ201" s="17" t="s">
        <v>3211</v>
      </c>
      <c r="BR201" s="18" t="s">
        <v>118</v>
      </c>
      <c r="BS201" s="7" t="s">
        <v>126</v>
      </c>
      <c r="BT201" s="7" t="s">
        <v>127</v>
      </c>
      <c r="BU201" s="7" t="s">
        <v>127</v>
      </c>
      <c r="BV201" s="8" t="s">
        <v>127</v>
      </c>
      <c r="BW201" s="23" t="s">
        <v>127</v>
      </c>
      <c r="BX201" s="24" t="s">
        <v>3223</v>
      </c>
      <c r="BY201" s="21" t="s">
        <v>108</v>
      </c>
      <c r="BZ201" s="21" t="s">
        <v>108</v>
      </c>
      <c r="CA201" s="21"/>
      <c r="CB201" s="21"/>
      <c r="CC201" s="21"/>
      <c r="CD201" s="21"/>
      <c r="CE201" s="21" t="s">
        <v>108</v>
      </c>
      <c r="CF201" s="21"/>
      <c r="CG201" s="21" t="s">
        <v>108</v>
      </c>
      <c r="CH201" s="21"/>
      <c r="CI201" s="21"/>
      <c r="CJ201" s="21" t="s">
        <v>108</v>
      </c>
      <c r="CK201" s="21" t="s">
        <v>108</v>
      </c>
      <c r="CL201" s="21" t="s">
        <v>108</v>
      </c>
      <c r="CM201" s="25"/>
      <c r="CN201" s="25"/>
      <c r="CO201" s="25"/>
      <c r="CP201" s="26"/>
    </row>
    <row r="202" spans="1:94" s="27" customFormat="1" ht="23.25" customHeight="1">
      <c r="A202" s="4">
        <v>99</v>
      </c>
      <c r="B202" s="6"/>
      <c r="C202" s="6"/>
      <c r="D202" s="6"/>
      <c r="E202" s="6"/>
      <c r="F202" s="6"/>
      <c r="G202" s="6"/>
      <c r="H202" s="5"/>
      <c r="I202" s="7" t="s">
        <v>86</v>
      </c>
      <c r="J202" s="7" t="s">
        <v>166</v>
      </c>
      <c r="K202" s="7" t="s">
        <v>1856</v>
      </c>
      <c r="L202" s="5"/>
      <c r="M202" s="5">
        <v>2122</v>
      </c>
      <c r="N202" s="9">
        <v>3190064834</v>
      </c>
      <c r="O202" s="9" t="s">
        <v>11604</v>
      </c>
      <c r="P202" s="10" t="s">
        <v>3241</v>
      </c>
      <c r="Q202" s="389" t="s">
        <v>3242</v>
      </c>
      <c r="R202" s="8" t="s">
        <v>2451</v>
      </c>
      <c r="S202" s="212" t="s">
        <v>12141</v>
      </c>
      <c r="T202" s="8" t="s">
        <v>3243</v>
      </c>
      <c r="U202" s="11" t="s">
        <v>93</v>
      </c>
      <c r="V202" s="12" t="s">
        <v>2279</v>
      </c>
      <c r="W202" s="13">
        <v>43577</v>
      </c>
      <c r="X202" s="13" t="str">
        <f t="shared" ca="1" si="3"/>
        <v>7 Th, 4 Bln</v>
      </c>
      <c r="Y202" s="5" t="s">
        <v>95</v>
      </c>
      <c r="Z202" s="14" t="s">
        <v>108</v>
      </c>
      <c r="AA202" s="5" t="s">
        <v>96</v>
      </c>
      <c r="AB202" s="5" t="s">
        <v>97</v>
      </c>
      <c r="AC202" s="7" t="s">
        <v>3244</v>
      </c>
      <c r="AD202" s="131" t="s">
        <v>2459</v>
      </c>
      <c r="AE202" s="131" t="s">
        <v>2459</v>
      </c>
      <c r="AF202" s="7" t="s">
        <v>139</v>
      </c>
      <c r="AG202" s="7" t="s">
        <v>140</v>
      </c>
      <c r="AH202" s="7" t="s">
        <v>141</v>
      </c>
      <c r="AI202" s="7"/>
      <c r="AJ202" s="7" t="s">
        <v>142</v>
      </c>
      <c r="AK202" s="7" t="s">
        <v>104</v>
      </c>
      <c r="AL202" s="7" t="s">
        <v>3245</v>
      </c>
      <c r="AM202" s="15" t="s">
        <v>3246</v>
      </c>
      <c r="AN202" s="15" t="s">
        <v>3246</v>
      </c>
      <c r="AO202" s="8">
        <v>1</v>
      </c>
      <c r="AP202" s="8" t="s">
        <v>107</v>
      </c>
      <c r="AQ202" s="8" t="s">
        <v>108</v>
      </c>
      <c r="AR202" s="8" t="s">
        <v>108</v>
      </c>
      <c r="AS202" s="132" t="s">
        <v>2829</v>
      </c>
      <c r="AT202" s="131" t="s">
        <v>2509</v>
      </c>
      <c r="AU202" s="132" t="s">
        <v>182</v>
      </c>
      <c r="AV202" s="16" t="s">
        <v>112</v>
      </c>
      <c r="AW202" s="56"/>
      <c r="AX202" s="56" t="s">
        <v>114</v>
      </c>
      <c r="AY202" s="56" t="s">
        <v>3247</v>
      </c>
      <c r="AZ202" s="7" t="s">
        <v>3248</v>
      </c>
      <c r="BA202" s="10" t="s">
        <v>2279</v>
      </c>
      <c r="BB202" s="52">
        <v>35446</v>
      </c>
      <c r="BC202" s="17" t="s">
        <v>96</v>
      </c>
      <c r="BD202" s="17" t="s">
        <v>3249</v>
      </c>
      <c r="BE202" s="18" t="s">
        <v>216</v>
      </c>
      <c r="BF202" s="7" t="s">
        <v>195</v>
      </c>
      <c r="BG202" s="7" t="s">
        <v>3250</v>
      </c>
      <c r="BH202" s="7" t="s">
        <v>3251</v>
      </c>
      <c r="BI202" s="7"/>
      <c r="BJ202" s="19" t="s">
        <v>556</v>
      </c>
      <c r="BK202" s="20" t="s">
        <v>3252</v>
      </c>
      <c r="BL202" s="58" t="s">
        <v>3253</v>
      </c>
      <c r="BM202" s="7" t="s">
        <v>3254</v>
      </c>
      <c r="BN202" s="22" t="s">
        <v>2279</v>
      </c>
      <c r="BO202" s="49">
        <v>35013</v>
      </c>
      <c r="BP202" s="17" t="s">
        <v>96</v>
      </c>
      <c r="BQ202" s="17" t="s">
        <v>3246</v>
      </c>
      <c r="BR202" s="18" t="s">
        <v>118</v>
      </c>
      <c r="BS202" s="7" t="s">
        <v>471</v>
      </c>
      <c r="BT202" s="7" t="s">
        <v>3255</v>
      </c>
      <c r="BU202" s="7" t="s">
        <v>3256</v>
      </c>
      <c r="BV202" s="8" t="s">
        <v>3257</v>
      </c>
      <c r="BW202" s="23" t="s">
        <v>3258</v>
      </c>
      <c r="BX202" s="24" t="s">
        <v>3259</v>
      </c>
      <c r="BY202" s="21" t="s">
        <v>108</v>
      </c>
      <c r="BZ202" s="21" t="s">
        <v>108</v>
      </c>
      <c r="CA202" s="21"/>
      <c r="CB202" s="21"/>
      <c r="CC202" s="21"/>
      <c r="CD202" s="21"/>
      <c r="CE202" s="21" t="s">
        <v>108</v>
      </c>
      <c r="CF202" s="21"/>
      <c r="CG202" s="21" t="s">
        <v>108</v>
      </c>
      <c r="CH202" s="21"/>
      <c r="CI202" s="21"/>
      <c r="CJ202" s="21" t="s">
        <v>108</v>
      </c>
      <c r="CK202" s="21" t="s">
        <v>108</v>
      </c>
      <c r="CL202" s="21" t="s">
        <v>108</v>
      </c>
      <c r="CM202" s="25"/>
      <c r="CN202" s="25"/>
      <c r="CO202" s="25"/>
      <c r="CP202" s="26"/>
    </row>
    <row r="203" spans="1:94" s="27" customFormat="1" ht="23.25" customHeight="1">
      <c r="A203" s="4">
        <v>100</v>
      </c>
      <c r="B203" s="28"/>
      <c r="C203" s="28"/>
      <c r="D203" s="28"/>
      <c r="E203" s="28"/>
      <c r="F203" s="28"/>
      <c r="G203" s="28"/>
      <c r="H203" s="29"/>
      <c r="I203" s="30" t="s">
        <v>2452</v>
      </c>
      <c r="J203" s="30" t="s">
        <v>985</v>
      </c>
      <c r="K203" s="30" t="s">
        <v>3260</v>
      </c>
      <c r="L203" s="29"/>
      <c r="M203" s="29">
        <v>2123</v>
      </c>
      <c r="N203" s="92">
        <v>3182049704</v>
      </c>
      <c r="O203" s="92" t="s">
        <v>11605</v>
      </c>
      <c r="P203" s="32" t="s">
        <v>3261</v>
      </c>
      <c r="Q203" s="390" t="s">
        <v>3262</v>
      </c>
      <c r="R203" s="8" t="s">
        <v>2451</v>
      </c>
      <c r="S203" s="212" t="s">
        <v>12141</v>
      </c>
      <c r="T203" s="31" t="s">
        <v>3263</v>
      </c>
      <c r="U203" s="33" t="s">
        <v>172</v>
      </c>
      <c r="V203" s="34" t="s">
        <v>94</v>
      </c>
      <c r="W203" s="35">
        <v>43101</v>
      </c>
      <c r="X203" s="35" t="str">
        <f t="shared" ca="1" si="3"/>
        <v>8 Th, 8 Bln</v>
      </c>
      <c r="Y203" s="29" t="s">
        <v>425</v>
      </c>
      <c r="Z203" s="36" t="s">
        <v>3264</v>
      </c>
      <c r="AA203" s="29" t="s">
        <v>96</v>
      </c>
      <c r="AB203" s="29" t="s">
        <v>97</v>
      </c>
      <c r="AC203" s="30" t="s">
        <v>3265</v>
      </c>
      <c r="AD203" s="129" t="s">
        <v>137</v>
      </c>
      <c r="AE203" s="129" t="s">
        <v>294</v>
      </c>
      <c r="AF203" s="30" t="s">
        <v>295</v>
      </c>
      <c r="AG203" s="30" t="s">
        <v>178</v>
      </c>
      <c r="AH203" s="30" t="s">
        <v>178</v>
      </c>
      <c r="AI203" s="30">
        <v>65144</v>
      </c>
      <c r="AJ203" s="30" t="s">
        <v>94</v>
      </c>
      <c r="AK203" s="30" t="s">
        <v>179</v>
      </c>
      <c r="AL203" s="30" t="s">
        <v>3266</v>
      </c>
      <c r="AM203" s="37">
        <v>0</v>
      </c>
      <c r="AN203" s="37">
        <v>0</v>
      </c>
      <c r="AO203" s="31">
        <v>1</v>
      </c>
      <c r="AP203" s="31" t="s">
        <v>147</v>
      </c>
      <c r="AQ203" s="31" t="s">
        <v>147</v>
      </c>
      <c r="AR203" s="31" t="s">
        <v>147</v>
      </c>
      <c r="AS203" s="130" t="s">
        <v>2720</v>
      </c>
      <c r="AT203" s="129" t="s">
        <v>3150</v>
      </c>
      <c r="AU203" s="130" t="s">
        <v>111</v>
      </c>
      <c r="AV203" s="38" t="s">
        <v>112</v>
      </c>
      <c r="AW203" s="123"/>
      <c r="AX203" s="123" t="s">
        <v>114</v>
      </c>
      <c r="AY203" s="123" t="s">
        <v>3267</v>
      </c>
      <c r="AZ203" s="30">
        <v>35730802800013</v>
      </c>
      <c r="BA203" s="32" t="s">
        <v>94</v>
      </c>
      <c r="BB203" s="53">
        <v>29259</v>
      </c>
      <c r="BC203" s="39" t="s">
        <v>96</v>
      </c>
      <c r="BD203" s="39" t="s">
        <v>3268</v>
      </c>
      <c r="BE203" s="40" t="s">
        <v>118</v>
      </c>
      <c r="BF203" s="30" t="s">
        <v>276</v>
      </c>
      <c r="BG203" s="30" t="s">
        <v>3269</v>
      </c>
      <c r="BH203" s="30" t="s">
        <v>3270</v>
      </c>
      <c r="BI203" s="30" t="s">
        <v>3271</v>
      </c>
      <c r="BJ203" s="41" t="s">
        <v>3272</v>
      </c>
      <c r="BK203" s="111" t="s">
        <v>3273</v>
      </c>
      <c r="BL203" s="124" t="s">
        <v>3274</v>
      </c>
      <c r="BM203" s="30" t="s">
        <v>3275</v>
      </c>
      <c r="BN203" s="125" t="s">
        <v>94</v>
      </c>
      <c r="BO203" s="50">
        <v>31773</v>
      </c>
      <c r="BP203" s="39" t="s">
        <v>96</v>
      </c>
      <c r="BQ203" s="39" t="s">
        <v>3268</v>
      </c>
      <c r="BR203" s="40" t="s">
        <v>118</v>
      </c>
      <c r="BS203" s="30" t="s">
        <v>3276</v>
      </c>
      <c r="BT203" s="30" t="s">
        <v>3277</v>
      </c>
      <c r="BU203" s="30" t="s">
        <v>3278</v>
      </c>
      <c r="BV203" s="31" t="s">
        <v>3279</v>
      </c>
      <c r="BW203" s="126" t="s">
        <v>3280</v>
      </c>
      <c r="BX203" s="127" t="s">
        <v>3281</v>
      </c>
      <c r="BY203" s="47" t="s">
        <v>147</v>
      </c>
      <c r="BZ203" s="47" t="s">
        <v>147</v>
      </c>
      <c r="CA203" s="47"/>
      <c r="CB203" s="47"/>
      <c r="CC203" s="47"/>
      <c r="CD203" s="47"/>
      <c r="CE203" s="47" t="s">
        <v>108</v>
      </c>
      <c r="CF203" s="47"/>
      <c r="CG203" s="47" t="s">
        <v>147</v>
      </c>
      <c r="CH203" s="47">
        <v>0</v>
      </c>
      <c r="CI203" s="47">
        <v>0</v>
      </c>
      <c r="CJ203" s="47" t="s">
        <v>147</v>
      </c>
      <c r="CK203" s="47" t="s">
        <v>108</v>
      </c>
      <c r="CL203" s="47" t="s">
        <v>108</v>
      </c>
      <c r="CM203" s="25"/>
      <c r="CN203" s="25"/>
      <c r="CO203" s="25"/>
      <c r="CP203" s="26"/>
    </row>
    <row r="204" spans="1:94" s="27" customFormat="1" ht="23.25" customHeight="1">
      <c r="A204" s="4">
        <v>101</v>
      </c>
      <c r="B204" s="6"/>
      <c r="C204" s="6"/>
      <c r="D204" s="6"/>
      <c r="E204" s="6"/>
      <c r="F204" s="6"/>
      <c r="G204" s="6"/>
      <c r="H204" s="5"/>
      <c r="I204" s="7" t="s">
        <v>2452</v>
      </c>
      <c r="J204" s="7" t="s">
        <v>3282</v>
      </c>
      <c r="K204" s="7" t="s">
        <v>3283</v>
      </c>
      <c r="L204" s="5"/>
      <c r="M204" s="5">
        <v>2124</v>
      </c>
      <c r="N204" s="9">
        <v>3182011487</v>
      </c>
      <c r="O204" s="9" t="s">
        <v>11606</v>
      </c>
      <c r="P204" s="10" t="s">
        <v>3284</v>
      </c>
      <c r="Q204" s="389" t="s">
        <v>3285</v>
      </c>
      <c r="R204" s="8" t="s">
        <v>2451</v>
      </c>
      <c r="S204" s="212" t="s">
        <v>12141</v>
      </c>
      <c r="T204" s="8" t="s">
        <v>3286</v>
      </c>
      <c r="U204" s="11" t="s">
        <v>172</v>
      </c>
      <c r="V204" s="12" t="s">
        <v>94</v>
      </c>
      <c r="W204" s="13">
        <v>43277</v>
      </c>
      <c r="X204" s="13" t="str">
        <f t="shared" ca="1" si="3"/>
        <v>8 Th, 2 Bln</v>
      </c>
      <c r="Y204" s="5" t="s">
        <v>95</v>
      </c>
      <c r="Z204" s="14" t="s">
        <v>108</v>
      </c>
      <c r="AA204" s="5" t="s">
        <v>96</v>
      </c>
      <c r="AB204" s="5" t="s">
        <v>97</v>
      </c>
      <c r="AC204" s="7" t="s">
        <v>3287</v>
      </c>
      <c r="AD204" s="131" t="s">
        <v>293</v>
      </c>
      <c r="AE204" s="131">
        <v>19</v>
      </c>
      <c r="AF204" s="7" t="s">
        <v>615</v>
      </c>
      <c r="AG204" s="7" t="s">
        <v>178</v>
      </c>
      <c r="AH204" s="7" t="s">
        <v>178</v>
      </c>
      <c r="AI204" s="7">
        <v>65142</v>
      </c>
      <c r="AJ204" s="7" t="s">
        <v>103</v>
      </c>
      <c r="AK204" s="7" t="s">
        <v>179</v>
      </c>
      <c r="AL204" s="7" t="s">
        <v>107</v>
      </c>
      <c r="AM204" s="15" t="s">
        <v>3288</v>
      </c>
      <c r="AN204" s="15" t="s">
        <v>3289</v>
      </c>
      <c r="AO204" s="8">
        <v>3</v>
      </c>
      <c r="AP204" s="8" t="s">
        <v>107</v>
      </c>
      <c r="AQ204" s="8" t="s">
        <v>147</v>
      </c>
      <c r="AR204" s="8" t="s">
        <v>147</v>
      </c>
      <c r="AS204" s="132" t="s">
        <v>3290</v>
      </c>
      <c r="AT204" s="131" t="s">
        <v>2593</v>
      </c>
      <c r="AU204" s="132" t="s">
        <v>149</v>
      </c>
      <c r="AV204" s="16" t="s">
        <v>112</v>
      </c>
      <c r="AW204" s="56"/>
      <c r="AX204" s="56" t="s">
        <v>114</v>
      </c>
      <c r="AY204" s="56" t="s">
        <v>3291</v>
      </c>
      <c r="AZ204" s="7" t="s">
        <v>3292</v>
      </c>
      <c r="BA204" s="10" t="s">
        <v>670</v>
      </c>
      <c r="BB204" s="52">
        <v>28432</v>
      </c>
      <c r="BC204" s="17" t="s">
        <v>96</v>
      </c>
      <c r="BD204" s="17" t="s">
        <v>3293</v>
      </c>
      <c r="BE204" s="18" t="s">
        <v>118</v>
      </c>
      <c r="BF204" s="7" t="s">
        <v>247</v>
      </c>
      <c r="BG204" s="7" t="s">
        <v>3294</v>
      </c>
      <c r="BH204" s="7" t="s">
        <v>3295</v>
      </c>
      <c r="BI204" s="7" t="s">
        <v>3296</v>
      </c>
      <c r="BJ204" s="19" t="s">
        <v>3297</v>
      </c>
      <c r="BK204" s="20" t="s">
        <v>3298</v>
      </c>
      <c r="BL204" s="58" t="s">
        <v>3299</v>
      </c>
      <c r="BM204" s="7" t="s">
        <v>3300</v>
      </c>
      <c r="BN204" s="22" t="s">
        <v>670</v>
      </c>
      <c r="BO204" s="49">
        <v>31741</v>
      </c>
      <c r="BP204" s="17" t="s">
        <v>96</v>
      </c>
      <c r="BQ204" s="17" t="s">
        <v>3301</v>
      </c>
      <c r="BR204" s="18" t="s">
        <v>118</v>
      </c>
      <c r="BS204" s="7" t="s">
        <v>126</v>
      </c>
      <c r="BT204" s="7" t="s">
        <v>3302</v>
      </c>
      <c r="BU204" s="7" t="s">
        <v>3287</v>
      </c>
      <c r="BV204" s="8" t="s">
        <v>3303</v>
      </c>
      <c r="BW204" s="23" t="s">
        <v>3304</v>
      </c>
      <c r="BX204" s="24" t="s">
        <v>3305</v>
      </c>
      <c r="BY204" s="21" t="s">
        <v>108</v>
      </c>
      <c r="BZ204" s="21" t="s">
        <v>108</v>
      </c>
      <c r="CA204" s="21"/>
      <c r="CB204" s="21"/>
      <c r="CC204" s="21"/>
      <c r="CD204" s="21"/>
      <c r="CE204" s="21" t="s">
        <v>108</v>
      </c>
      <c r="CF204" s="21"/>
      <c r="CG204" s="21" t="s">
        <v>108</v>
      </c>
      <c r="CH204" s="21"/>
      <c r="CI204" s="21"/>
      <c r="CJ204" s="21" t="s">
        <v>108</v>
      </c>
      <c r="CK204" s="21" t="s">
        <v>108</v>
      </c>
      <c r="CL204" s="21" t="s">
        <v>108</v>
      </c>
      <c r="CM204" s="25"/>
      <c r="CN204" s="25"/>
      <c r="CO204" s="25"/>
      <c r="CP204" s="26"/>
    </row>
    <row r="205" spans="1:94" s="27" customFormat="1" ht="23.25" customHeight="1">
      <c r="A205" s="4">
        <v>102</v>
      </c>
      <c r="B205" s="6"/>
      <c r="C205" s="6"/>
      <c r="D205" s="6"/>
      <c r="E205" s="6"/>
      <c r="F205" s="6"/>
      <c r="G205" s="6"/>
      <c r="H205" s="5"/>
      <c r="I205" s="7" t="s">
        <v>2452</v>
      </c>
      <c r="J205" s="7" t="s">
        <v>3306</v>
      </c>
      <c r="K205" s="7" t="s">
        <v>3307</v>
      </c>
      <c r="L205" s="5"/>
      <c r="M205" s="5">
        <v>2125</v>
      </c>
      <c r="N205" s="9">
        <v>3181611021</v>
      </c>
      <c r="O205" s="9" t="s">
        <v>11607</v>
      </c>
      <c r="P205" s="10" t="s">
        <v>3308</v>
      </c>
      <c r="Q205" s="389" t="s">
        <v>3309</v>
      </c>
      <c r="R205" s="8" t="s">
        <v>2451</v>
      </c>
      <c r="S205" s="212" t="s">
        <v>12141</v>
      </c>
      <c r="T205" s="8" t="s">
        <v>3310</v>
      </c>
      <c r="U205" s="11" t="s">
        <v>93</v>
      </c>
      <c r="V205" s="12" t="s">
        <v>94</v>
      </c>
      <c r="W205" s="13">
        <v>43425</v>
      </c>
      <c r="X205" s="13" t="str">
        <f t="shared" ca="1" si="3"/>
        <v>7 Th, 9 Bln</v>
      </c>
      <c r="Y205" s="5" t="s">
        <v>95</v>
      </c>
      <c r="Z205" s="14" t="s">
        <v>108</v>
      </c>
      <c r="AA205" s="5" t="s">
        <v>96</v>
      </c>
      <c r="AB205" s="5" t="s">
        <v>97</v>
      </c>
      <c r="AC205" s="7" t="s">
        <v>3311</v>
      </c>
      <c r="AD205" s="131" t="s">
        <v>1281</v>
      </c>
      <c r="AE205" s="131" t="s">
        <v>265</v>
      </c>
      <c r="AF205" s="7" t="s">
        <v>1840</v>
      </c>
      <c r="AG205" s="7" t="s">
        <v>178</v>
      </c>
      <c r="AH205" s="7" t="s">
        <v>178</v>
      </c>
      <c r="AI205" s="7">
        <v>65142</v>
      </c>
      <c r="AJ205" s="7" t="s">
        <v>103</v>
      </c>
      <c r="AK205" s="7" t="s">
        <v>104</v>
      </c>
      <c r="AL205" s="7" t="s">
        <v>389</v>
      </c>
      <c r="AM205" s="15" t="s">
        <v>3312</v>
      </c>
      <c r="AN205" s="15" t="s">
        <v>3313</v>
      </c>
      <c r="AO205" s="8" t="s">
        <v>2058</v>
      </c>
      <c r="AP205" s="8" t="s">
        <v>2057</v>
      </c>
      <c r="AQ205" s="8" t="s">
        <v>108</v>
      </c>
      <c r="AR205" s="8" t="s">
        <v>108</v>
      </c>
      <c r="AS205" s="132" t="s">
        <v>2779</v>
      </c>
      <c r="AT205" s="131" t="s">
        <v>2780</v>
      </c>
      <c r="AU205" s="132" t="s">
        <v>182</v>
      </c>
      <c r="AV205" s="16" t="s">
        <v>112</v>
      </c>
      <c r="AW205" s="56"/>
      <c r="AX205" s="56" t="s">
        <v>183</v>
      </c>
      <c r="AY205" s="56" t="s">
        <v>3314</v>
      </c>
      <c r="AZ205" s="7" t="s">
        <v>3315</v>
      </c>
      <c r="BA205" s="10" t="s">
        <v>2417</v>
      </c>
      <c r="BB205" s="52">
        <v>32413</v>
      </c>
      <c r="BC205" s="17" t="s">
        <v>96</v>
      </c>
      <c r="BD205" s="17" t="s">
        <v>3313</v>
      </c>
      <c r="BE205" s="18" t="s">
        <v>118</v>
      </c>
      <c r="BF205" s="7" t="s">
        <v>471</v>
      </c>
      <c r="BG205" s="7" t="s">
        <v>3316</v>
      </c>
      <c r="BH205" s="7" t="s">
        <v>3317</v>
      </c>
      <c r="BI205" s="7" t="s">
        <v>3318</v>
      </c>
      <c r="BJ205" s="19" t="s">
        <v>3319</v>
      </c>
      <c r="BK205" s="20" t="s">
        <v>3320</v>
      </c>
      <c r="BL205" s="58" t="s">
        <v>3321</v>
      </c>
      <c r="BM205" s="7" t="s">
        <v>3322</v>
      </c>
      <c r="BN205" s="22" t="s">
        <v>3323</v>
      </c>
      <c r="BO205" s="49">
        <v>32411</v>
      </c>
      <c r="BP205" s="17" t="s">
        <v>96</v>
      </c>
      <c r="BQ205" s="17" t="s">
        <v>3312</v>
      </c>
      <c r="BR205" s="18" t="s">
        <v>118</v>
      </c>
      <c r="BS205" s="7" t="s">
        <v>471</v>
      </c>
      <c r="BT205" s="7" t="s">
        <v>3324</v>
      </c>
      <c r="BU205" s="7" t="s">
        <v>3325</v>
      </c>
      <c r="BV205" s="8" t="s">
        <v>3326</v>
      </c>
      <c r="BW205" s="23" t="s">
        <v>3327</v>
      </c>
      <c r="BX205" s="24" t="s">
        <v>3328</v>
      </c>
      <c r="BY205" s="21" t="s">
        <v>108</v>
      </c>
      <c r="BZ205" s="21" t="s">
        <v>108</v>
      </c>
      <c r="CA205" s="21"/>
      <c r="CB205" s="21"/>
      <c r="CC205" s="21"/>
      <c r="CD205" s="21"/>
      <c r="CE205" s="21" t="s">
        <v>108</v>
      </c>
      <c r="CF205" s="21"/>
      <c r="CG205" s="21" t="s">
        <v>108</v>
      </c>
      <c r="CH205" s="21"/>
      <c r="CI205" s="21"/>
      <c r="CJ205" s="21" t="s">
        <v>108</v>
      </c>
      <c r="CK205" s="21" t="s">
        <v>108</v>
      </c>
      <c r="CL205" s="21" t="s">
        <v>108</v>
      </c>
      <c r="CM205" s="25"/>
      <c r="CN205" s="25"/>
      <c r="CO205" s="25"/>
      <c r="CP205" s="26"/>
    </row>
    <row r="206" spans="1:94" s="27" customFormat="1" ht="23.25" customHeight="1">
      <c r="A206" s="4">
        <v>103</v>
      </c>
      <c r="B206" s="6"/>
      <c r="C206" s="6"/>
      <c r="D206" s="6"/>
      <c r="E206" s="6"/>
      <c r="F206" s="6"/>
      <c r="G206" s="6"/>
      <c r="H206" s="5"/>
      <c r="I206" s="7" t="s">
        <v>2452</v>
      </c>
      <c r="J206" s="7" t="s">
        <v>3329</v>
      </c>
      <c r="K206" s="7" t="s">
        <v>3330</v>
      </c>
      <c r="L206" s="5"/>
      <c r="M206" s="5">
        <v>2126</v>
      </c>
      <c r="N206" s="9">
        <v>3186075193</v>
      </c>
      <c r="O206" s="9" t="s">
        <v>11608</v>
      </c>
      <c r="P206" s="10" t="s">
        <v>3331</v>
      </c>
      <c r="Q206" s="389" t="s">
        <v>3332</v>
      </c>
      <c r="R206" s="8" t="s">
        <v>2451</v>
      </c>
      <c r="S206" s="212" t="s">
        <v>12141</v>
      </c>
      <c r="T206" s="8" t="s">
        <v>2926</v>
      </c>
      <c r="U206" s="11" t="s">
        <v>172</v>
      </c>
      <c r="V206" s="12" t="s">
        <v>94</v>
      </c>
      <c r="W206" s="13">
        <v>43455</v>
      </c>
      <c r="X206" s="13" t="str">
        <f t="shared" ca="1" si="3"/>
        <v>7 Th, 8 Bln</v>
      </c>
      <c r="Y206" s="5" t="s">
        <v>95</v>
      </c>
      <c r="Z206" s="14" t="s">
        <v>108</v>
      </c>
      <c r="AA206" s="5" t="s">
        <v>96</v>
      </c>
      <c r="AB206" s="5" t="s">
        <v>97</v>
      </c>
      <c r="AC206" s="7" t="s">
        <v>3333</v>
      </c>
      <c r="AD206" s="131" t="s">
        <v>1281</v>
      </c>
      <c r="AE206" s="131" t="s">
        <v>176</v>
      </c>
      <c r="AF206" s="7" t="s">
        <v>319</v>
      </c>
      <c r="AG206" s="7" t="s">
        <v>140</v>
      </c>
      <c r="AH206" s="7" t="s">
        <v>141</v>
      </c>
      <c r="AI206" s="7">
        <v>65152</v>
      </c>
      <c r="AJ206" s="7" t="s">
        <v>94</v>
      </c>
      <c r="AK206" s="7" t="s">
        <v>104</v>
      </c>
      <c r="AL206" s="7" t="s">
        <v>3334</v>
      </c>
      <c r="AM206" s="15" t="s">
        <v>3335</v>
      </c>
      <c r="AN206" s="15" t="s">
        <v>3335</v>
      </c>
      <c r="AO206" s="8">
        <v>2</v>
      </c>
      <c r="AP206" s="8" t="s">
        <v>146</v>
      </c>
      <c r="AQ206" s="8" t="s">
        <v>127</v>
      </c>
      <c r="AR206" s="8" t="s">
        <v>127</v>
      </c>
      <c r="AS206" s="132" t="s">
        <v>3336</v>
      </c>
      <c r="AT206" s="131" t="s">
        <v>3337</v>
      </c>
      <c r="AU206" s="132" t="s">
        <v>149</v>
      </c>
      <c r="AV206" s="16" t="s">
        <v>112</v>
      </c>
      <c r="AW206" s="56"/>
      <c r="AX206" s="56" t="s">
        <v>1844</v>
      </c>
      <c r="AY206" s="56" t="s">
        <v>3338</v>
      </c>
      <c r="AZ206" s="7" t="s">
        <v>3339</v>
      </c>
      <c r="BA206" s="10" t="s">
        <v>3340</v>
      </c>
      <c r="BB206" s="52">
        <v>30575</v>
      </c>
      <c r="BC206" s="17" t="s">
        <v>96</v>
      </c>
      <c r="BD206" s="17" t="s">
        <v>3341</v>
      </c>
      <c r="BE206" s="18" t="s">
        <v>118</v>
      </c>
      <c r="BF206" s="7" t="s">
        <v>596</v>
      </c>
      <c r="BG206" s="7" t="s">
        <v>597</v>
      </c>
      <c r="BH206" s="7" t="s">
        <v>3342</v>
      </c>
      <c r="BI206" s="7" t="s">
        <v>3343</v>
      </c>
      <c r="BJ206" s="19" t="s">
        <v>3344</v>
      </c>
      <c r="BK206" s="20" t="s">
        <v>3345</v>
      </c>
      <c r="BL206" s="58" t="s">
        <v>3346</v>
      </c>
      <c r="BM206" s="7" t="s">
        <v>3347</v>
      </c>
      <c r="BN206" s="22" t="s">
        <v>222</v>
      </c>
      <c r="BO206" s="49">
        <v>30735</v>
      </c>
      <c r="BP206" s="17" t="s">
        <v>96</v>
      </c>
      <c r="BQ206" s="17" t="s">
        <v>3341</v>
      </c>
      <c r="BR206" s="18" t="s">
        <v>118</v>
      </c>
      <c r="BS206" s="7" t="s">
        <v>471</v>
      </c>
      <c r="BT206" s="7" t="s">
        <v>3348</v>
      </c>
      <c r="BU206" s="7" t="s">
        <v>3349</v>
      </c>
      <c r="BV206" s="8" t="s">
        <v>3350</v>
      </c>
      <c r="BW206" s="23" t="s">
        <v>3351</v>
      </c>
      <c r="BX206" s="24" t="s">
        <v>3352</v>
      </c>
      <c r="BY206" s="21" t="s">
        <v>108</v>
      </c>
      <c r="BZ206" s="21" t="s">
        <v>108</v>
      </c>
      <c r="CA206" s="21"/>
      <c r="CB206" s="21"/>
      <c r="CC206" s="21"/>
      <c r="CD206" s="21"/>
      <c r="CE206" s="21" t="s">
        <v>108</v>
      </c>
      <c r="CF206" s="21"/>
      <c r="CG206" s="21" t="s">
        <v>108</v>
      </c>
      <c r="CH206" s="21"/>
      <c r="CI206" s="21"/>
      <c r="CJ206" s="21" t="s">
        <v>108</v>
      </c>
      <c r="CK206" s="21" t="s">
        <v>108</v>
      </c>
      <c r="CL206" s="21" t="s">
        <v>108</v>
      </c>
      <c r="CM206" s="25"/>
      <c r="CN206" s="25"/>
      <c r="CO206" s="25"/>
      <c r="CP206" s="26"/>
    </row>
    <row r="207" spans="1:94" s="27" customFormat="1" ht="23.25" customHeight="1">
      <c r="A207" s="4">
        <v>104</v>
      </c>
      <c r="B207" s="6"/>
      <c r="C207" s="6"/>
      <c r="D207" s="6"/>
      <c r="E207" s="6"/>
      <c r="F207" s="6"/>
      <c r="G207" s="6"/>
      <c r="H207" s="5"/>
      <c r="I207" s="7" t="s">
        <v>86</v>
      </c>
      <c r="J207" s="7" t="s">
        <v>166</v>
      </c>
      <c r="K207" s="7" t="s">
        <v>312</v>
      </c>
      <c r="L207" s="5"/>
      <c r="M207" s="5">
        <v>2132</v>
      </c>
      <c r="N207" s="9">
        <v>3191244296</v>
      </c>
      <c r="O207" s="9" t="s">
        <v>2085</v>
      </c>
      <c r="P207" s="10" t="s">
        <v>3447</v>
      </c>
      <c r="Q207" s="389" t="s">
        <v>3448</v>
      </c>
      <c r="R207" s="8" t="s">
        <v>2451</v>
      </c>
      <c r="S207" s="212" t="s">
        <v>12141</v>
      </c>
      <c r="T207" s="8" t="s">
        <v>3449</v>
      </c>
      <c r="U207" s="11" t="s">
        <v>93</v>
      </c>
      <c r="V207" s="12" t="s">
        <v>94</v>
      </c>
      <c r="W207" s="13">
        <v>43561</v>
      </c>
      <c r="X207" s="13" t="str">
        <f t="shared" ca="1" si="3"/>
        <v>7 Th, 5 Bln</v>
      </c>
      <c r="Y207" s="5" t="s">
        <v>95</v>
      </c>
      <c r="Z207" s="14" t="s">
        <v>108</v>
      </c>
      <c r="AA207" s="5" t="s">
        <v>96</v>
      </c>
      <c r="AB207" s="5" t="s">
        <v>97</v>
      </c>
      <c r="AC207" s="7" t="s">
        <v>3450</v>
      </c>
      <c r="AD207" s="131" t="s">
        <v>100</v>
      </c>
      <c r="AE207" s="131" t="s">
        <v>100</v>
      </c>
      <c r="AF207" s="7" t="s">
        <v>993</v>
      </c>
      <c r="AG207" s="7" t="s">
        <v>994</v>
      </c>
      <c r="AH207" s="7" t="s">
        <v>141</v>
      </c>
      <c r="AI207" s="7"/>
      <c r="AJ207" s="7" t="s">
        <v>2024</v>
      </c>
      <c r="AK207" s="7" t="s">
        <v>179</v>
      </c>
      <c r="AL207" s="7" t="s">
        <v>1436</v>
      </c>
      <c r="AM207" s="15" t="s">
        <v>2091</v>
      </c>
      <c r="AN207" s="15" t="s">
        <v>2092</v>
      </c>
      <c r="AO207" s="8">
        <v>3</v>
      </c>
      <c r="AP207" s="8" t="s">
        <v>107</v>
      </c>
      <c r="AQ207" s="8" t="s">
        <v>108</v>
      </c>
      <c r="AR207" s="8" t="s">
        <v>108</v>
      </c>
      <c r="AS207" s="132" t="s">
        <v>2829</v>
      </c>
      <c r="AT207" s="131" t="s">
        <v>2509</v>
      </c>
      <c r="AU207" s="132" t="s">
        <v>182</v>
      </c>
      <c r="AV207" s="16" t="s">
        <v>112</v>
      </c>
      <c r="AW207" s="56"/>
      <c r="AX207" s="56" t="s">
        <v>183</v>
      </c>
      <c r="AY207" s="56" t="s">
        <v>2094</v>
      </c>
      <c r="AZ207" s="7" t="s">
        <v>2095</v>
      </c>
      <c r="BA207" s="10" t="s">
        <v>603</v>
      </c>
      <c r="BB207" s="52">
        <v>32806</v>
      </c>
      <c r="BC207" s="17" t="s">
        <v>96</v>
      </c>
      <c r="BD207" s="17" t="s">
        <v>2092</v>
      </c>
      <c r="BE207" s="18" t="s">
        <v>118</v>
      </c>
      <c r="BF207" s="7" t="s">
        <v>276</v>
      </c>
      <c r="BG207" s="7" t="s">
        <v>3451</v>
      </c>
      <c r="BH207" s="7" t="s">
        <v>3452</v>
      </c>
      <c r="BI207" s="7"/>
      <c r="BJ207" s="19" t="s">
        <v>3327</v>
      </c>
      <c r="BK207" s="20" t="s">
        <v>2099</v>
      </c>
      <c r="BL207" s="58" t="s">
        <v>2100</v>
      </c>
      <c r="BM207" s="7" t="s">
        <v>2101</v>
      </c>
      <c r="BN207" s="22" t="s">
        <v>94</v>
      </c>
      <c r="BO207" s="49">
        <v>32549</v>
      </c>
      <c r="BP207" s="17" t="s">
        <v>96</v>
      </c>
      <c r="BQ207" s="17" t="s">
        <v>2102</v>
      </c>
      <c r="BR207" s="18" t="s">
        <v>118</v>
      </c>
      <c r="BS207" s="7" t="s">
        <v>2103</v>
      </c>
      <c r="BT207" s="7" t="s">
        <v>2104</v>
      </c>
      <c r="BU207" s="7" t="s">
        <v>263</v>
      </c>
      <c r="BV207" s="8" t="s">
        <v>108</v>
      </c>
      <c r="BW207" s="23" t="s">
        <v>3453</v>
      </c>
      <c r="BX207" s="24" t="s">
        <v>2106</v>
      </c>
      <c r="BY207" s="21" t="s">
        <v>3454</v>
      </c>
      <c r="BZ207" s="21" t="s">
        <v>94</v>
      </c>
      <c r="CA207" s="21">
        <v>21848</v>
      </c>
      <c r="CB207" s="21"/>
      <c r="CC207" s="21" t="s">
        <v>2108</v>
      </c>
      <c r="CD207" s="21" t="s">
        <v>118</v>
      </c>
      <c r="CE207" s="21" t="s">
        <v>4754</v>
      </c>
      <c r="CF207" s="21" t="s">
        <v>96</v>
      </c>
      <c r="CG207" s="21" t="s">
        <v>3450</v>
      </c>
      <c r="CH207" s="21" t="s">
        <v>100</v>
      </c>
      <c r="CI207" s="21" t="s">
        <v>100</v>
      </c>
      <c r="CJ207" s="21" t="s">
        <v>993</v>
      </c>
      <c r="CK207" s="21" t="s">
        <v>994</v>
      </c>
      <c r="CL207" s="21" t="s">
        <v>2024</v>
      </c>
      <c r="CM207" s="25"/>
      <c r="CN207" s="25"/>
      <c r="CO207" s="25"/>
      <c r="CP207" s="26"/>
    </row>
    <row r="208" spans="1:94" s="27" customFormat="1" ht="23.25" customHeight="1">
      <c r="A208" s="4">
        <v>105</v>
      </c>
      <c r="B208" s="6"/>
      <c r="C208" s="6"/>
      <c r="D208" s="6"/>
      <c r="E208" s="6"/>
      <c r="F208" s="6"/>
      <c r="G208" s="6"/>
      <c r="H208" s="5"/>
      <c r="I208" s="7" t="s">
        <v>2452</v>
      </c>
      <c r="J208" s="7" t="s">
        <v>166</v>
      </c>
      <c r="K208" s="7" t="s">
        <v>3519</v>
      </c>
      <c r="L208" s="5"/>
      <c r="M208" s="5">
        <v>2136</v>
      </c>
      <c r="N208" s="9">
        <v>3197673358</v>
      </c>
      <c r="O208" s="9" t="s">
        <v>11609</v>
      </c>
      <c r="P208" s="10" t="s">
        <v>3520</v>
      </c>
      <c r="Q208" s="389" t="s">
        <v>3521</v>
      </c>
      <c r="R208" s="8" t="s">
        <v>2451</v>
      </c>
      <c r="S208" s="212" t="s">
        <v>12141</v>
      </c>
      <c r="T208" s="8" t="s">
        <v>3522</v>
      </c>
      <c r="U208" s="11" t="s">
        <v>93</v>
      </c>
      <c r="V208" s="12" t="s">
        <v>94</v>
      </c>
      <c r="W208" s="13">
        <v>43591</v>
      </c>
      <c r="X208" s="13" t="str">
        <f t="shared" ca="1" si="3"/>
        <v>7 Th, 4 Bln</v>
      </c>
      <c r="Y208" s="5" t="s">
        <v>95</v>
      </c>
      <c r="Z208" s="14" t="s">
        <v>162</v>
      </c>
      <c r="AA208" s="5" t="s">
        <v>96</v>
      </c>
      <c r="AB208" s="5" t="s">
        <v>97</v>
      </c>
      <c r="AC208" s="7" t="s">
        <v>3523</v>
      </c>
      <c r="AD208" s="131" t="s">
        <v>100</v>
      </c>
      <c r="AE208" s="131" t="s">
        <v>3524</v>
      </c>
      <c r="AF208" s="7" t="s">
        <v>521</v>
      </c>
      <c r="AG208" s="7" t="s">
        <v>178</v>
      </c>
      <c r="AH208" s="7" t="s">
        <v>178</v>
      </c>
      <c r="AI208" s="7">
        <v>65141</v>
      </c>
      <c r="AJ208" s="7" t="s">
        <v>94</v>
      </c>
      <c r="AK208" s="7" t="s">
        <v>104</v>
      </c>
      <c r="AL208" s="7" t="s">
        <v>688</v>
      </c>
      <c r="AM208" s="15" t="s">
        <v>3019</v>
      </c>
      <c r="AN208" s="15" t="s">
        <v>3525</v>
      </c>
      <c r="AO208" s="8">
        <v>3</v>
      </c>
      <c r="AP208" s="8" t="s">
        <v>298</v>
      </c>
      <c r="AQ208" s="8" t="s">
        <v>162</v>
      </c>
      <c r="AR208" s="8" t="s">
        <v>162</v>
      </c>
      <c r="AS208" s="132" t="s">
        <v>3021</v>
      </c>
      <c r="AT208" s="131" t="s">
        <v>3526</v>
      </c>
      <c r="AU208" s="132" t="s">
        <v>182</v>
      </c>
      <c r="AV208" s="16" t="s">
        <v>112</v>
      </c>
      <c r="AW208" s="56"/>
      <c r="AX208" s="56" t="s">
        <v>114</v>
      </c>
      <c r="AY208" s="56" t="s">
        <v>3527</v>
      </c>
      <c r="AZ208" s="7" t="s">
        <v>3528</v>
      </c>
      <c r="BA208" s="10" t="s">
        <v>1765</v>
      </c>
      <c r="BB208" s="52">
        <v>28186</v>
      </c>
      <c r="BC208" s="17" t="s">
        <v>96</v>
      </c>
      <c r="BD208" s="17" t="s">
        <v>3529</v>
      </c>
      <c r="BE208" s="18" t="s">
        <v>118</v>
      </c>
      <c r="BF208" s="7" t="s">
        <v>276</v>
      </c>
      <c r="BG208" s="7" t="s">
        <v>3530</v>
      </c>
      <c r="BH208" s="7" t="s">
        <v>3531</v>
      </c>
      <c r="BI208" s="7" t="s">
        <v>3529</v>
      </c>
      <c r="BJ208" s="19" t="s">
        <v>3532</v>
      </c>
      <c r="BK208" s="20" t="s">
        <v>3533</v>
      </c>
      <c r="BL208" s="58" t="s">
        <v>3534</v>
      </c>
      <c r="BM208" s="7" t="s">
        <v>3535</v>
      </c>
      <c r="BN208" s="22" t="s">
        <v>502</v>
      </c>
      <c r="BO208" s="49">
        <v>30374</v>
      </c>
      <c r="BP208" s="17" t="s">
        <v>96</v>
      </c>
      <c r="BQ208" s="17" t="s">
        <v>3525</v>
      </c>
      <c r="BR208" s="18" t="s">
        <v>118</v>
      </c>
      <c r="BS208" s="7" t="s">
        <v>327</v>
      </c>
      <c r="BT208" s="7" t="s">
        <v>479</v>
      </c>
      <c r="BU208" s="7" t="s">
        <v>3536</v>
      </c>
      <c r="BV208" s="8" t="s">
        <v>3525</v>
      </c>
      <c r="BW208" s="23" t="s">
        <v>3537</v>
      </c>
      <c r="BX208" s="24" t="s">
        <v>3538</v>
      </c>
      <c r="BY208" s="21" t="s">
        <v>3539</v>
      </c>
      <c r="BZ208" s="21" t="s">
        <v>502</v>
      </c>
      <c r="CA208" s="21">
        <v>30374</v>
      </c>
      <c r="CB208" s="21"/>
      <c r="CC208" s="21" t="s">
        <v>3525</v>
      </c>
      <c r="CD208" s="21" t="s">
        <v>118</v>
      </c>
      <c r="CE208" s="21" t="s">
        <v>327</v>
      </c>
      <c r="CF208" s="21" t="s">
        <v>96</v>
      </c>
      <c r="CG208" s="21" t="s">
        <v>3540</v>
      </c>
      <c r="CH208" s="21" t="s">
        <v>100</v>
      </c>
      <c r="CI208" s="21" t="s">
        <v>3524</v>
      </c>
      <c r="CJ208" s="21" t="s">
        <v>521</v>
      </c>
      <c r="CK208" s="21" t="s">
        <v>178</v>
      </c>
      <c r="CL208" s="21" t="s">
        <v>94</v>
      </c>
      <c r="CM208" s="25"/>
      <c r="CN208" s="25"/>
      <c r="CO208" s="25"/>
      <c r="CP208" s="26"/>
    </row>
    <row r="209" spans="1:97" s="27" customFormat="1" ht="23.25" customHeight="1">
      <c r="A209" s="4">
        <v>106</v>
      </c>
      <c r="B209" s="6"/>
      <c r="C209" s="6"/>
      <c r="D209" s="6"/>
      <c r="E209" s="6"/>
      <c r="F209" s="6"/>
      <c r="G209" s="6"/>
      <c r="H209" s="5"/>
      <c r="I209" s="7" t="s">
        <v>2452</v>
      </c>
      <c r="J209" s="7" t="s">
        <v>3541</v>
      </c>
      <c r="K209" s="7" t="s">
        <v>915</v>
      </c>
      <c r="L209" s="5"/>
      <c r="M209" s="5">
        <v>2137</v>
      </c>
      <c r="N209" s="9">
        <v>3189719639</v>
      </c>
      <c r="O209" s="9" t="s">
        <v>7329</v>
      </c>
      <c r="P209" s="10" t="s">
        <v>3542</v>
      </c>
      <c r="Q209" s="389" t="s">
        <v>3543</v>
      </c>
      <c r="R209" s="8" t="s">
        <v>2451</v>
      </c>
      <c r="S209" s="212" t="s">
        <v>12141</v>
      </c>
      <c r="T209" s="8" t="s">
        <v>3544</v>
      </c>
      <c r="U209" s="11" t="s">
        <v>172</v>
      </c>
      <c r="V209" s="12" t="s">
        <v>94</v>
      </c>
      <c r="W209" s="13">
        <v>43461</v>
      </c>
      <c r="X209" s="13" t="str">
        <f t="shared" ca="1" si="3"/>
        <v>7 Th, 8 Bln</v>
      </c>
      <c r="Y209" s="5" t="s">
        <v>95</v>
      </c>
      <c r="Z209" s="14" t="s">
        <v>108</v>
      </c>
      <c r="AA209" s="5" t="s">
        <v>96</v>
      </c>
      <c r="AB209" s="5" t="s">
        <v>97</v>
      </c>
      <c r="AC209" s="7" t="s">
        <v>3545</v>
      </c>
      <c r="AD209" s="131">
        <v>4</v>
      </c>
      <c r="AE209" s="131">
        <v>10</v>
      </c>
      <c r="AF209" s="7" t="s">
        <v>686</v>
      </c>
      <c r="AG209" s="7" t="s">
        <v>687</v>
      </c>
      <c r="AH209" s="7" t="s">
        <v>141</v>
      </c>
      <c r="AI209" s="7">
        <v>65151</v>
      </c>
      <c r="AJ209" s="7" t="s">
        <v>94</v>
      </c>
      <c r="AK209" s="7" t="s">
        <v>104</v>
      </c>
      <c r="AL209" s="7" t="s">
        <v>389</v>
      </c>
      <c r="AM209" s="15" t="s">
        <v>3546</v>
      </c>
      <c r="AN209" s="15" t="s">
        <v>3546</v>
      </c>
      <c r="AO209" s="8">
        <v>2</v>
      </c>
      <c r="AP209" s="8" t="s">
        <v>107</v>
      </c>
      <c r="AQ209" s="8" t="s">
        <v>108</v>
      </c>
      <c r="AR209" s="8" t="s">
        <v>108</v>
      </c>
      <c r="AS209" s="132" t="s">
        <v>2779</v>
      </c>
      <c r="AT209" s="131" t="s">
        <v>2574</v>
      </c>
      <c r="AU209" s="132" t="s">
        <v>182</v>
      </c>
      <c r="AV209" s="16" t="s">
        <v>112</v>
      </c>
      <c r="AW209" s="56"/>
      <c r="AX209" s="56" t="s">
        <v>114</v>
      </c>
      <c r="AY209" s="56" t="s">
        <v>3547</v>
      </c>
      <c r="AZ209" s="7" t="s">
        <v>3548</v>
      </c>
      <c r="BA209" s="10" t="s">
        <v>94</v>
      </c>
      <c r="BB209" s="52">
        <v>30407</v>
      </c>
      <c r="BC209" s="17" t="s">
        <v>96</v>
      </c>
      <c r="BD209" s="17" t="s">
        <v>3549</v>
      </c>
      <c r="BE209" s="18" t="s">
        <v>118</v>
      </c>
      <c r="BF209" s="7" t="s">
        <v>195</v>
      </c>
      <c r="BG209" s="7" t="s">
        <v>3550</v>
      </c>
      <c r="BH209" s="7" t="s">
        <v>3551</v>
      </c>
      <c r="BI209" s="7" t="s">
        <v>3546</v>
      </c>
      <c r="BJ209" s="19" t="s">
        <v>1727</v>
      </c>
      <c r="BK209" s="20" t="s">
        <v>3552</v>
      </c>
      <c r="BL209" s="58" t="s">
        <v>3553</v>
      </c>
      <c r="BM209" s="7" t="s">
        <v>3554</v>
      </c>
      <c r="BN209" s="22" t="s">
        <v>94</v>
      </c>
      <c r="BO209" s="49">
        <v>31234</v>
      </c>
      <c r="BP209" s="17" t="s">
        <v>96</v>
      </c>
      <c r="BQ209" s="17" t="s">
        <v>3546</v>
      </c>
      <c r="BR209" s="18" t="s">
        <v>118</v>
      </c>
      <c r="BS209" s="7" t="s">
        <v>195</v>
      </c>
      <c r="BT209" s="7" t="s">
        <v>3550</v>
      </c>
      <c r="BU209" s="7" t="s">
        <v>3555</v>
      </c>
      <c r="BV209" s="8" t="s">
        <v>3546</v>
      </c>
      <c r="BW209" s="23" t="s">
        <v>1727</v>
      </c>
      <c r="BX209" s="24" t="s">
        <v>3556</v>
      </c>
      <c r="BY209" s="21" t="s">
        <v>3557</v>
      </c>
      <c r="BZ209" s="21" t="s">
        <v>1787</v>
      </c>
      <c r="CA209" s="21">
        <v>21419</v>
      </c>
      <c r="CB209" s="21"/>
      <c r="CC209" s="21"/>
      <c r="CD209" s="21" t="s">
        <v>118</v>
      </c>
      <c r="CE209" s="21" t="s">
        <v>4755</v>
      </c>
      <c r="CF209" s="21" t="s">
        <v>96</v>
      </c>
      <c r="CG209" s="21" t="s">
        <v>3558</v>
      </c>
      <c r="CH209" s="21">
        <v>1</v>
      </c>
      <c r="CI209" s="21">
        <v>6</v>
      </c>
      <c r="CJ209" s="21" t="s">
        <v>108</v>
      </c>
      <c r="CK209" s="21" t="s">
        <v>687</v>
      </c>
      <c r="CL209" s="21" t="s">
        <v>94</v>
      </c>
      <c r="CM209" s="25"/>
      <c r="CN209" s="25"/>
      <c r="CO209" s="25"/>
      <c r="CP209" s="26"/>
    </row>
    <row r="210" spans="1:97" s="27" customFormat="1" ht="23.25" customHeight="1">
      <c r="A210" s="4">
        <v>107</v>
      </c>
      <c r="B210" s="6"/>
      <c r="C210" s="6"/>
      <c r="D210" s="6"/>
      <c r="E210" s="6"/>
      <c r="F210" s="6"/>
      <c r="G210" s="6"/>
      <c r="H210" s="5"/>
      <c r="I210" s="7" t="s">
        <v>2452</v>
      </c>
      <c r="J210" s="7" t="s">
        <v>166</v>
      </c>
      <c r="K210" s="7" t="s">
        <v>3559</v>
      </c>
      <c r="L210" s="5"/>
      <c r="M210" s="5">
        <v>2138</v>
      </c>
      <c r="N210" s="9">
        <v>3194118156</v>
      </c>
      <c r="O210" s="9" t="s">
        <v>11610</v>
      </c>
      <c r="P210" s="10" t="s">
        <v>11470</v>
      </c>
      <c r="Q210" s="389" t="s">
        <v>11464</v>
      </c>
      <c r="R210" s="8" t="s">
        <v>2451</v>
      </c>
      <c r="S210" s="212" t="s">
        <v>12141</v>
      </c>
      <c r="T210" s="8" t="s">
        <v>3560</v>
      </c>
      <c r="U210" s="11" t="s">
        <v>172</v>
      </c>
      <c r="V210" s="12" t="s">
        <v>94</v>
      </c>
      <c r="W210" s="13">
        <v>43635</v>
      </c>
      <c r="X210" s="13" t="str">
        <f t="shared" ca="1" si="3"/>
        <v>7 Th, 2 Bln</v>
      </c>
      <c r="Y210" s="5" t="s">
        <v>95</v>
      </c>
      <c r="Z210" s="14" t="s">
        <v>108</v>
      </c>
      <c r="AA210" s="5" t="s">
        <v>96</v>
      </c>
      <c r="AB210" s="5" t="s">
        <v>97</v>
      </c>
      <c r="AC210" s="7" t="s">
        <v>3561</v>
      </c>
      <c r="AD210" s="131" t="s">
        <v>207</v>
      </c>
      <c r="AE210" s="131" t="s">
        <v>546</v>
      </c>
      <c r="AF210" s="7" t="s">
        <v>615</v>
      </c>
      <c r="AG210" s="7" t="s">
        <v>178</v>
      </c>
      <c r="AH210" s="7" t="s">
        <v>178</v>
      </c>
      <c r="AI210" s="7">
        <v>65142</v>
      </c>
      <c r="AJ210" s="7" t="s">
        <v>94</v>
      </c>
      <c r="AK210" s="7" t="s">
        <v>179</v>
      </c>
      <c r="AL210" s="7" t="s">
        <v>1325</v>
      </c>
      <c r="AM210" s="15" t="s">
        <v>3562</v>
      </c>
      <c r="AN210" s="15" t="s">
        <v>3562</v>
      </c>
      <c r="AO210" s="8">
        <v>2</v>
      </c>
      <c r="AP210" s="8" t="s">
        <v>298</v>
      </c>
      <c r="AQ210" s="8" t="s">
        <v>108</v>
      </c>
      <c r="AR210" s="8" t="s">
        <v>146</v>
      </c>
      <c r="AS210" s="132" t="s">
        <v>2508</v>
      </c>
      <c r="AT210" s="131" t="s">
        <v>2803</v>
      </c>
      <c r="AU210" s="132" t="s">
        <v>149</v>
      </c>
      <c r="AV210" s="16" t="s">
        <v>112</v>
      </c>
      <c r="AW210" s="56"/>
      <c r="AX210" s="56" t="s">
        <v>114</v>
      </c>
      <c r="AY210" s="56" t="s">
        <v>3563</v>
      </c>
      <c r="AZ210" s="7" t="s">
        <v>3564</v>
      </c>
      <c r="BA210" s="10" t="s">
        <v>2916</v>
      </c>
      <c r="BB210" s="52">
        <v>33698</v>
      </c>
      <c r="BC210" s="17" t="s">
        <v>96</v>
      </c>
      <c r="BD210" s="17" t="s">
        <v>3565</v>
      </c>
      <c r="BE210" s="18" t="s">
        <v>118</v>
      </c>
      <c r="BF210" s="7" t="s">
        <v>2049</v>
      </c>
      <c r="BG210" s="7" t="s">
        <v>3566</v>
      </c>
      <c r="BH210" s="7" t="s">
        <v>3567</v>
      </c>
      <c r="BI210" s="7" t="s">
        <v>3565</v>
      </c>
      <c r="BJ210" s="19" t="s">
        <v>2753</v>
      </c>
      <c r="BK210" s="20" t="s">
        <v>3568</v>
      </c>
      <c r="BL210" s="58" t="s">
        <v>3569</v>
      </c>
      <c r="BM210" s="7" t="s">
        <v>3570</v>
      </c>
      <c r="BN210" s="22" t="s">
        <v>94</v>
      </c>
      <c r="BO210" s="49">
        <v>33560</v>
      </c>
      <c r="BP210" s="17" t="s">
        <v>96</v>
      </c>
      <c r="BQ210" s="17" t="s">
        <v>3562</v>
      </c>
      <c r="BR210" s="18" t="s">
        <v>153</v>
      </c>
      <c r="BS210" s="7" t="s">
        <v>247</v>
      </c>
      <c r="BT210" s="7" t="s">
        <v>3566</v>
      </c>
      <c r="BU210" s="7" t="s">
        <v>3571</v>
      </c>
      <c r="BV210" s="8" t="s">
        <v>3562</v>
      </c>
      <c r="BW210" s="23" t="s">
        <v>3572</v>
      </c>
      <c r="BX210" s="24" t="s">
        <v>3573</v>
      </c>
      <c r="BY210" s="21" t="s">
        <v>108</v>
      </c>
      <c r="BZ210" s="21" t="s">
        <v>108</v>
      </c>
      <c r="CA210" s="21"/>
      <c r="CB210" s="21"/>
      <c r="CC210" s="21"/>
      <c r="CD210" s="21"/>
      <c r="CE210" s="21" t="s">
        <v>108</v>
      </c>
      <c r="CF210" s="21"/>
      <c r="CG210" s="21" t="s">
        <v>108</v>
      </c>
      <c r="CH210" s="21"/>
      <c r="CI210" s="21"/>
      <c r="CJ210" s="21" t="s">
        <v>108</v>
      </c>
      <c r="CK210" s="21" t="s">
        <v>108</v>
      </c>
      <c r="CL210" s="21" t="s">
        <v>108</v>
      </c>
      <c r="CM210" s="25"/>
      <c r="CN210" s="25"/>
      <c r="CO210" s="25"/>
      <c r="CP210" s="26"/>
    </row>
    <row r="211" spans="1:97" s="27" customFormat="1" ht="23.25" customHeight="1">
      <c r="A211" s="4">
        <v>108</v>
      </c>
      <c r="B211" s="6"/>
      <c r="C211" s="6"/>
      <c r="D211" s="6"/>
      <c r="E211" s="6"/>
      <c r="F211" s="6"/>
      <c r="G211" s="6"/>
      <c r="H211" s="5"/>
      <c r="I211" s="7" t="s">
        <v>86</v>
      </c>
      <c r="J211" s="7" t="s">
        <v>3597</v>
      </c>
      <c r="K211" s="7" t="s">
        <v>3598</v>
      </c>
      <c r="L211" s="5"/>
      <c r="M211" s="5">
        <v>2140</v>
      </c>
      <c r="N211" s="9">
        <v>3181054075</v>
      </c>
      <c r="O211" s="9" t="s">
        <v>11611</v>
      </c>
      <c r="P211" s="10" t="s">
        <v>3599</v>
      </c>
      <c r="Q211" s="389" t="s">
        <v>3600</v>
      </c>
      <c r="R211" s="8" t="s">
        <v>2451</v>
      </c>
      <c r="S211" s="212" t="s">
        <v>12141</v>
      </c>
      <c r="T211" s="8" t="s">
        <v>3601</v>
      </c>
      <c r="U211" s="11" t="s">
        <v>172</v>
      </c>
      <c r="V211" s="12" t="s">
        <v>94</v>
      </c>
      <c r="W211" s="13">
        <v>43201</v>
      </c>
      <c r="X211" s="13" t="str">
        <f t="shared" ca="1" si="3"/>
        <v>8 Th, 5 Bln</v>
      </c>
      <c r="Y211" s="5" t="s">
        <v>95</v>
      </c>
      <c r="Z211" s="14" t="s">
        <v>108</v>
      </c>
      <c r="AA211" s="5" t="s">
        <v>96</v>
      </c>
      <c r="AB211" s="5" t="s">
        <v>97</v>
      </c>
      <c r="AC211" s="7" t="s">
        <v>3602</v>
      </c>
      <c r="AD211" s="131" t="s">
        <v>293</v>
      </c>
      <c r="AE211" s="131">
        <v>18</v>
      </c>
      <c r="AF211" s="7" t="s">
        <v>615</v>
      </c>
      <c r="AG211" s="7" t="s">
        <v>178</v>
      </c>
      <c r="AH211" s="7" t="s">
        <v>178</v>
      </c>
      <c r="AI211" s="7"/>
      <c r="AJ211" s="7" t="s">
        <v>94</v>
      </c>
      <c r="AK211" s="7" t="s">
        <v>179</v>
      </c>
      <c r="AL211" s="7" t="s">
        <v>3603</v>
      </c>
      <c r="AM211" s="15" t="s">
        <v>3604</v>
      </c>
      <c r="AN211" s="15" t="s">
        <v>3605</v>
      </c>
      <c r="AO211" s="8" t="s">
        <v>3606</v>
      </c>
      <c r="AP211" s="8" t="s">
        <v>147</v>
      </c>
      <c r="AQ211" s="8" t="s">
        <v>147</v>
      </c>
      <c r="AR211" s="8" t="s">
        <v>147</v>
      </c>
      <c r="AS211" s="132" t="s">
        <v>3607</v>
      </c>
      <c r="AT211" s="131" t="s">
        <v>3608</v>
      </c>
      <c r="AU211" s="132" t="s">
        <v>149</v>
      </c>
      <c r="AV211" s="16" t="s">
        <v>112</v>
      </c>
      <c r="AW211" s="56"/>
      <c r="AX211" s="56" t="s">
        <v>323</v>
      </c>
      <c r="AY211" s="56" t="s">
        <v>3609</v>
      </c>
      <c r="AZ211" s="7" t="s">
        <v>3610</v>
      </c>
      <c r="BA211" s="10" t="s">
        <v>94</v>
      </c>
      <c r="BB211" s="52">
        <v>32967</v>
      </c>
      <c r="BC211" s="17" t="s">
        <v>96</v>
      </c>
      <c r="BD211" s="17" t="s">
        <v>3604</v>
      </c>
      <c r="BE211" s="18" t="s">
        <v>216</v>
      </c>
      <c r="BF211" s="7" t="s">
        <v>195</v>
      </c>
      <c r="BG211" s="7" t="s">
        <v>3611</v>
      </c>
      <c r="BH211" s="7" t="s">
        <v>3612</v>
      </c>
      <c r="BI211" s="7" t="s">
        <v>3604</v>
      </c>
      <c r="BJ211" s="19" t="s">
        <v>3613</v>
      </c>
      <c r="BK211" s="20" t="s">
        <v>3614</v>
      </c>
      <c r="BL211" s="58" t="s">
        <v>3615</v>
      </c>
      <c r="BM211" s="7" t="s">
        <v>3616</v>
      </c>
      <c r="BN211" s="22" t="s">
        <v>94</v>
      </c>
      <c r="BO211" s="49">
        <v>33581</v>
      </c>
      <c r="BP211" s="17" t="s">
        <v>96</v>
      </c>
      <c r="BQ211" s="17" t="s">
        <v>3605</v>
      </c>
      <c r="BR211" s="18" t="s">
        <v>118</v>
      </c>
      <c r="BS211" s="7" t="s">
        <v>195</v>
      </c>
      <c r="BT211" s="7" t="s">
        <v>3617</v>
      </c>
      <c r="BU211" s="7" t="s">
        <v>3618</v>
      </c>
      <c r="BV211" s="8" t="s">
        <v>3605</v>
      </c>
      <c r="BW211" s="23" t="s">
        <v>3619</v>
      </c>
      <c r="BX211" s="24" t="s">
        <v>3620</v>
      </c>
      <c r="BY211" s="21" t="s">
        <v>3621</v>
      </c>
      <c r="BZ211" s="21" t="s">
        <v>94</v>
      </c>
      <c r="CA211" s="21">
        <v>25070</v>
      </c>
      <c r="CB211" s="21"/>
      <c r="CC211" s="21" t="s">
        <v>3622</v>
      </c>
      <c r="CD211" s="21" t="s">
        <v>3623</v>
      </c>
      <c r="CE211" s="21" t="s">
        <v>195</v>
      </c>
      <c r="CF211" s="21" t="s">
        <v>96</v>
      </c>
      <c r="CG211" s="21" t="s">
        <v>3618</v>
      </c>
      <c r="CH211" s="21" t="s">
        <v>293</v>
      </c>
      <c r="CI211" s="21">
        <v>18</v>
      </c>
      <c r="CJ211" s="21" t="s">
        <v>615</v>
      </c>
      <c r="CK211" s="21" t="s">
        <v>178</v>
      </c>
      <c r="CL211" s="21" t="s">
        <v>94</v>
      </c>
      <c r="CM211" s="25"/>
      <c r="CN211" s="25"/>
      <c r="CO211" s="25"/>
      <c r="CP211" s="26"/>
    </row>
    <row r="212" spans="1:97" s="27" customFormat="1" ht="23.25" customHeight="1">
      <c r="A212" s="4">
        <v>109</v>
      </c>
      <c r="B212" s="6"/>
      <c r="C212" s="6"/>
      <c r="D212" s="6"/>
      <c r="E212" s="6"/>
      <c r="F212" s="6"/>
      <c r="G212" s="6"/>
      <c r="H212" s="5"/>
      <c r="I212" s="7" t="s">
        <v>86</v>
      </c>
      <c r="J212" s="7" t="s">
        <v>3734</v>
      </c>
      <c r="K212" s="7" t="s">
        <v>3735</v>
      </c>
      <c r="L212" s="5"/>
      <c r="M212" s="5">
        <v>2147</v>
      </c>
      <c r="N212" s="9">
        <v>3185906030</v>
      </c>
      <c r="O212" s="150" t="s">
        <v>11612</v>
      </c>
      <c r="P212" s="10" t="s">
        <v>3736</v>
      </c>
      <c r="Q212" s="389" t="s">
        <v>3737</v>
      </c>
      <c r="R212" s="8" t="s">
        <v>2451</v>
      </c>
      <c r="S212" s="212" t="s">
        <v>12141</v>
      </c>
      <c r="T212" s="8" t="s">
        <v>3738</v>
      </c>
      <c r="U212" s="11" t="s">
        <v>172</v>
      </c>
      <c r="V212" s="12" t="s">
        <v>94</v>
      </c>
      <c r="W212" s="13">
        <v>43425</v>
      </c>
      <c r="X212" s="13" t="str">
        <f t="shared" ca="1" si="3"/>
        <v>7 Th, 9 Bln</v>
      </c>
      <c r="Y212" s="5" t="s">
        <v>95</v>
      </c>
      <c r="Z212" s="14" t="s">
        <v>108</v>
      </c>
      <c r="AA212" s="5" t="s">
        <v>96</v>
      </c>
      <c r="AB212" s="5" t="s">
        <v>97</v>
      </c>
      <c r="AC212" s="7" t="s">
        <v>3739</v>
      </c>
      <c r="AD212" s="131" t="s">
        <v>175</v>
      </c>
      <c r="AE212" s="131" t="s">
        <v>176</v>
      </c>
      <c r="AF212" s="7" t="s">
        <v>1740</v>
      </c>
      <c r="AG212" s="7" t="s">
        <v>178</v>
      </c>
      <c r="AH212" s="7" t="s">
        <v>178</v>
      </c>
      <c r="AI212" s="7"/>
      <c r="AJ212" s="7" t="s">
        <v>103</v>
      </c>
      <c r="AK212" s="7" t="s">
        <v>104</v>
      </c>
      <c r="AL212" s="7" t="s">
        <v>2025</v>
      </c>
      <c r="AM212" s="15" t="s">
        <v>127</v>
      </c>
      <c r="AN212" s="15" t="s">
        <v>3740</v>
      </c>
      <c r="AO212" s="8">
        <v>2</v>
      </c>
      <c r="AP212" s="8" t="s">
        <v>146</v>
      </c>
      <c r="AQ212" s="8" t="s">
        <v>108</v>
      </c>
      <c r="AR212" s="8" t="s">
        <v>108</v>
      </c>
      <c r="AS212" s="132" t="s">
        <v>800</v>
      </c>
      <c r="AT212" s="131" t="s">
        <v>801</v>
      </c>
      <c r="AU212" s="132" t="s">
        <v>498</v>
      </c>
      <c r="AV212" s="16" t="s">
        <v>112</v>
      </c>
      <c r="AW212" s="56"/>
      <c r="AX212" s="56" t="s">
        <v>3741</v>
      </c>
      <c r="AY212" s="56" t="s">
        <v>3742</v>
      </c>
      <c r="AZ212" s="7" t="s">
        <v>3743</v>
      </c>
      <c r="BA212" s="10" t="s">
        <v>94</v>
      </c>
      <c r="BB212" s="52">
        <v>32042</v>
      </c>
      <c r="BC212" s="17" t="s">
        <v>96</v>
      </c>
      <c r="BD212" s="17" t="s">
        <v>3744</v>
      </c>
      <c r="BE212" s="18" t="s">
        <v>118</v>
      </c>
      <c r="BF212" s="7" t="s">
        <v>276</v>
      </c>
      <c r="BG212" s="7" t="s">
        <v>3745</v>
      </c>
      <c r="BH212" s="7" t="s">
        <v>3746</v>
      </c>
      <c r="BI212" s="7" t="s">
        <v>3747</v>
      </c>
      <c r="BJ212" s="19" t="s">
        <v>250</v>
      </c>
      <c r="BK212" s="20" t="s">
        <v>3748</v>
      </c>
      <c r="BL212" s="58" t="s">
        <v>3749</v>
      </c>
      <c r="BM212" s="7" t="s">
        <v>3750</v>
      </c>
      <c r="BN212" s="22" t="s">
        <v>94</v>
      </c>
      <c r="BO212" s="49">
        <v>31865</v>
      </c>
      <c r="BP212" s="17" t="s">
        <v>96</v>
      </c>
      <c r="BQ212" s="17" t="s">
        <v>3751</v>
      </c>
      <c r="BR212" s="18" t="s">
        <v>118</v>
      </c>
      <c r="BS212" s="7" t="s">
        <v>3752</v>
      </c>
      <c r="BT212" s="7" t="s">
        <v>3753</v>
      </c>
      <c r="BU212" s="7" t="s">
        <v>3754</v>
      </c>
      <c r="BV212" s="8" t="s">
        <v>3755</v>
      </c>
      <c r="BW212" s="23" t="s">
        <v>556</v>
      </c>
      <c r="BX212" s="24" t="s">
        <v>3756</v>
      </c>
      <c r="BY212" s="21" t="s">
        <v>108</v>
      </c>
      <c r="BZ212" s="21" t="s">
        <v>108</v>
      </c>
      <c r="CA212" s="21"/>
      <c r="CB212" s="21"/>
      <c r="CC212" s="21"/>
      <c r="CD212" s="21"/>
      <c r="CE212" s="21" t="s">
        <v>108</v>
      </c>
      <c r="CF212" s="21"/>
      <c r="CG212" s="21" t="s">
        <v>108</v>
      </c>
      <c r="CH212" s="21"/>
      <c r="CI212" s="21"/>
      <c r="CJ212" s="21" t="s">
        <v>108</v>
      </c>
      <c r="CK212" s="21" t="s">
        <v>108</v>
      </c>
      <c r="CL212" s="21" t="s">
        <v>108</v>
      </c>
      <c r="CM212" s="25"/>
      <c r="CN212" s="25"/>
      <c r="CO212" s="25"/>
      <c r="CP212" s="26"/>
    </row>
    <row r="213" spans="1:97" s="27" customFormat="1" ht="23.25" customHeight="1">
      <c r="A213" s="4">
        <v>110</v>
      </c>
      <c r="B213" s="6"/>
      <c r="C213" s="6"/>
      <c r="D213" s="6"/>
      <c r="E213" s="6"/>
      <c r="F213" s="6"/>
      <c r="G213" s="6"/>
      <c r="H213" s="5"/>
      <c r="I213" s="7" t="s">
        <v>2452</v>
      </c>
      <c r="J213" s="7" t="s">
        <v>1669</v>
      </c>
      <c r="K213" s="7" t="s">
        <v>3796</v>
      </c>
      <c r="L213" s="5"/>
      <c r="M213" s="5">
        <v>2150</v>
      </c>
      <c r="N213" s="9">
        <v>3182460107</v>
      </c>
      <c r="O213" s="9" t="s">
        <v>11613</v>
      </c>
      <c r="P213" s="10" t="s">
        <v>3797</v>
      </c>
      <c r="Q213" s="389" t="s">
        <v>3798</v>
      </c>
      <c r="R213" s="8" t="s">
        <v>2451</v>
      </c>
      <c r="S213" s="212" t="s">
        <v>12141</v>
      </c>
      <c r="T213" s="8" t="s">
        <v>3799</v>
      </c>
      <c r="U213" s="11" t="s">
        <v>172</v>
      </c>
      <c r="V213" s="12" t="s">
        <v>94</v>
      </c>
      <c r="W213" s="13">
        <v>43400</v>
      </c>
      <c r="X213" s="13" t="str">
        <f t="shared" ca="1" si="3"/>
        <v>7 Th, 10 Bln</v>
      </c>
      <c r="Y213" s="5" t="s">
        <v>95</v>
      </c>
      <c r="Z213" s="14" t="s">
        <v>108</v>
      </c>
      <c r="AA213" s="5" t="s">
        <v>96</v>
      </c>
      <c r="AB213" s="5" t="s">
        <v>97</v>
      </c>
      <c r="AC213" s="7" t="s">
        <v>3800</v>
      </c>
      <c r="AD213" s="131">
        <v>18</v>
      </c>
      <c r="AE213" s="131" t="s">
        <v>293</v>
      </c>
      <c r="AF213" s="7" t="s">
        <v>177</v>
      </c>
      <c r="AG213" s="7" t="s">
        <v>178</v>
      </c>
      <c r="AH213" s="7" t="s">
        <v>178</v>
      </c>
      <c r="AI213" s="7">
        <v>65143</v>
      </c>
      <c r="AJ213" s="7" t="s">
        <v>94</v>
      </c>
      <c r="AK213" s="7" t="s">
        <v>179</v>
      </c>
      <c r="AL213" s="7" t="s">
        <v>3801</v>
      </c>
      <c r="AM213" s="15" t="s">
        <v>3019</v>
      </c>
      <c r="AN213" s="15" t="s">
        <v>3802</v>
      </c>
      <c r="AO213" s="8">
        <v>1</v>
      </c>
      <c r="AP213" s="8" t="s">
        <v>146</v>
      </c>
      <c r="AQ213" s="8" t="s">
        <v>162</v>
      </c>
      <c r="AR213" s="8" t="s">
        <v>162</v>
      </c>
      <c r="AS213" s="132" t="s">
        <v>2461</v>
      </c>
      <c r="AT213" s="131" t="s">
        <v>2550</v>
      </c>
      <c r="AU213" s="132" t="s">
        <v>182</v>
      </c>
      <c r="AV213" s="16" t="s">
        <v>112</v>
      </c>
      <c r="AW213" s="56"/>
      <c r="AX213" s="56" t="s">
        <v>1844</v>
      </c>
      <c r="AY213" s="56" t="s">
        <v>3803</v>
      </c>
      <c r="AZ213" s="7" t="s">
        <v>3804</v>
      </c>
      <c r="BA213" s="10" t="s">
        <v>94</v>
      </c>
      <c r="BB213" s="52">
        <v>32797</v>
      </c>
      <c r="BC213" s="17" t="s">
        <v>96</v>
      </c>
      <c r="BD213" s="17" t="s">
        <v>3805</v>
      </c>
      <c r="BE213" s="18" t="s">
        <v>118</v>
      </c>
      <c r="BF213" s="7" t="s">
        <v>276</v>
      </c>
      <c r="BG213" s="7" t="s">
        <v>3806</v>
      </c>
      <c r="BH213" s="7" t="s">
        <v>3807</v>
      </c>
      <c r="BI213" s="7" t="s">
        <v>3808</v>
      </c>
      <c r="BJ213" s="19" t="s">
        <v>250</v>
      </c>
      <c r="BK213" s="20" t="s">
        <v>3809</v>
      </c>
      <c r="BL213" s="58" t="s">
        <v>3810</v>
      </c>
      <c r="BM213" s="7" t="s">
        <v>3811</v>
      </c>
      <c r="BN213" s="22" t="s">
        <v>603</v>
      </c>
      <c r="BO213" s="49">
        <v>31838</v>
      </c>
      <c r="BP213" s="17" t="s">
        <v>96</v>
      </c>
      <c r="BQ213" s="17" t="s">
        <v>3802</v>
      </c>
      <c r="BR213" s="18" t="s">
        <v>118</v>
      </c>
      <c r="BS213" s="7" t="s">
        <v>3812</v>
      </c>
      <c r="BT213" s="7" t="s">
        <v>761</v>
      </c>
      <c r="BU213" s="7" t="s">
        <v>3813</v>
      </c>
      <c r="BV213" s="8" t="s">
        <v>108</v>
      </c>
      <c r="BW213" s="23" t="s">
        <v>1312</v>
      </c>
      <c r="BX213" s="24" t="s">
        <v>3814</v>
      </c>
      <c r="BY213" s="21" t="s">
        <v>108</v>
      </c>
      <c r="BZ213" s="21" t="s">
        <v>108</v>
      </c>
      <c r="CA213" s="21"/>
      <c r="CB213" s="21"/>
      <c r="CC213" s="21"/>
      <c r="CD213" s="21"/>
      <c r="CE213" s="21" t="s">
        <v>108</v>
      </c>
      <c r="CF213" s="21"/>
      <c r="CG213" s="21" t="s">
        <v>108</v>
      </c>
      <c r="CH213" s="21"/>
      <c r="CI213" s="21"/>
      <c r="CJ213" s="21" t="s">
        <v>108</v>
      </c>
      <c r="CK213" s="21" t="s">
        <v>108</v>
      </c>
      <c r="CL213" s="21" t="s">
        <v>108</v>
      </c>
      <c r="CM213" s="25"/>
      <c r="CN213" s="25"/>
      <c r="CO213" s="25"/>
      <c r="CP213" s="26"/>
    </row>
    <row r="214" spans="1:97" s="27" customFormat="1" ht="23.25" customHeight="1">
      <c r="A214" s="4">
        <v>111</v>
      </c>
      <c r="B214" s="6"/>
      <c r="C214" s="6"/>
      <c r="D214" s="6"/>
      <c r="E214" s="6"/>
      <c r="F214" s="6"/>
      <c r="G214" s="6"/>
      <c r="H214" s="5"/>
      <c r="I214" s="7" t="s">
        <v>86</v>
      </c>
      <c r="J214" s="7" t="s">
        <v>3874</v>
      </c>
      <c r="K214" s="7" t="s">
        <v>3875</v>
      </c>
      <c r="L214" s="5"/>
      <c r="M214" s="5">
        <v>2155</v>
      </c>
      <c r="N214" s="9">
        <v>3185433233</v>
      </c>
      <c r="O214" s="9" t="s">
        <v>10212</v>
      </c>
      <c r="P214" s="10" t="s">
        <v>3876</v>
      </c>
      <c r="Q214" s="389" t="s">
        <v>11465</v>
      </c>
      <c r="R214" s="8" t="s">
        <v>2451</v>
      </c>
      <c r="S214" s="212" t="s">
        <v>12141</v>
      </c>
      <c r="T214" s="8" t="s">
        <v>3646</v>
      </c>
      <c r="U214" s="11" t="s">
        <v>93</v>
      </c>
      <c r="V214" s="12" t="s">
        <v>94</v>
      </c>
      <c r="W214" s="13">
        <v>43365</v>
      </c>
      <c r="X214" s="13" t="str">
        <f t="shared" ca="1" si="3"/>
        <v>7 Th, 11 Bln</v>
      </c>
      <c r="Y214" s="5" t="s">
        <v>95</v>
      </c>
      <c r="Z214" s="14" t="s">
        <v>108</v>
      </c>
      <c r="AA214" s="5" t="s">
        <v>96</v>
      </c>
      <c r="AB214" s="5" t="s">
        <v>97</v>
      </c>
      <c r="AC214" s="7" t="s">
        <v>3877</v>
      </c>
      <c r="AD214" s="131">
        <v>40</v>
      </c>
      <c r="AE214" s="131" t="s">
        <v>294</v>
      </c>
      <c r="AF214" s="7" t="s">
        <v>3878</v>
      </c>
      <c r="AG214" s="7" t="s">
        <v>732</v>
      </c>
      <c r="AH214" s="7" t="s">
        <v>141</v>
      </c>
      <c r="AI214" s="7"/>
      <c r="AJ214" s="7" t="s">
        <v>94</v>
      </c>
      <c r="AK214" s="7" t="s">
        <v>104</v>
      </c>
      <c r="AL214" s="7" t="s">
        <v>342</v>
      </c>
      <c r="AM214" s="15" t="s">
        <v>3879</v>
      </c>
      <c r="AN214" s="15" t="s">
        <v>3879</v>
      </c>
      <c r="AO214" s="8">
        <v>4</v>
      </c>
      <c r="AP214" s="8" t="s">
        <v>389</v>
      </c>
      <c r="AQ214" s="8" t="s">
        <v>108</v>
      </c>
      <c r="AR214" s="8" t="s">
        <v>108</v>
      </c>
      <c r="AS214" s="132" t="s">
        <v>3880</v>
      </c>
      <c r="AT214" s="131" t="s">
        <v>2593</v>
      </c>
      <c r="AU214" s="132" t="s">
        <v>111</v>
      </c>
      <c r="AV214" s="16" t="s">
        <v>112</v>
      </c>
      <c r="AW214" s="56"/>
      <c r="AX214" s="56" t="s">
        <v>1844</v>
      </c>
      <c r="AY214" s="56" t="s">
        <v>3881</v>
      </c>
      <c r="AZ214" s="7" t="s">
        <v>3882</v>
      </c>
      <c r="BA214" s="10" t="s">
        <v>3883</v>
      </c>
      <c r="BB214" s="52">
        <v>26560</v>
      </c>
      <c r="BC214" s="17" t="s">
        <v>96</v>
      </c>
      <c r="BD214" s="17" t="s">
        <v>3884</v>
      </c>
      <c r="BE214" s="18" t="s">
        <v>224</v>
      </c>
      <c r="BF214" s="7" t="s">
        <v>471</v>
      </c>
      <c r="BG214" s="7" t="s">
        <v>3885</v>
      </c>
      <c r="BH214" s="7" t="s">
        <v>3886</v>
      </c>
      <c r="BI214" s="7"/>
      <c r="BJ214" s="19" t="s">
        <v>250</v>
      </c>
      <c r="BK214" s="20" t="s">
        <v>3887</v>
      </c>
      <c r="BL214" s="58" t="s">
        <v>3888</v>
      </c>
      <c r="BM214" s="7" t="s">
        <v>3889</v>
      </c>
      <c r="BN214" s="22" t="s">
        <v>603</v>
      </c>
      <c r="BO214" s="49">
        <v>28726</v>
      </c>
      <c r="BP214" s="17" t="s">
        <v>96</v>
      </c>
      <c r="BQ214" s="17" t="s">
        <v>3879</v>
      </c>
      <c r="BR214" s="18" t="s">
        <v>118</v>
      </c>
      <c r="BS214" s="7" t="s">
        <v>582</v>
      </c>
      <c r="BT214" s="7" t="s">
        <v>127</v>
      </c>
      <c r="BU214" s="7" t="s">
        <v>127</v>
      </c>
      <c r="BV214" s="8" t="s">
        <v>127</v>
      </c>
      <c r="BW214" s="23" t="s">
        <v>127</v>
      </c>
      <c r="BX214" s="24" t="s">
        <v>3890</v>
      </c>
      <c r="BY214" s="21" t="s">
        <v>127</v>
      </c>
      <c r="BZ214" s="21" t="s">
        <v>127</v>
      </c>
      <c r="CA214" s="21"/>
      <c r="CB214" s="21"/>
      <c r="CC214" s="21" t="s">
        <v>127</v>
      </c>
      <c r="CD214" s="21"/>
      <c r="CE214" s="21" t="s">
        <v>127</v>
      </c>
      <c r="CF214" s="21"/>
      <c r="CG214" s="21" t="s">
        <v>127</v>
      </c>
      <c r="CH214" s="21" t="s">
        <v>127</v>
      </c>
      <c r="CI214" s="21" t="s">
        <v>127</v>
      </c>
      <c r="CJ214" s="21" t="s">
        <v>127</v>
      </c>
      <c r="CK214" s="21" t="s">
        <v>127</v>
      </c>
      <c r="CL214" s="21" t="s">
        <v>127</v>
      </c>
      <c r="CM214" s="25"/>
      <c r="CN214" s="25"/>
      <c r="CO214" s="25"/>
      <c r="CP214" s="26"/>
    </row>
    <row r="215" spans="1:97" s="27" customFormat="1" ht="23.25" customHeight="1">
      <c r="A215" s="4">
        <v>112</v>
      </c>
      <c r="B215" s="6"/>
      <c r="C215" s="6"/>
      <c r="D215" s="6"/>
      <c r="E215" s="6"/>
      <c r="F215" s="6"/>
      <c r="G215" s="6"/>
      <c r="H215" s="5"/>
      <c r="I215" s="7" t="s">
        <v>86</v>
      </c>
      <c r="J215" s="7" t="s">
        <v>561</v>
      </c>
      <c r="K215" s="7" t="s">
        <v>3932</v>
      </c>
      <c r="L215" s="5"/>
      <c r="M215" s="5">
        <v>2159</v>
      </c>
      <c r="N215" s="9">
        <v>3193912153</v>
      </c>
      <c r="O215" s="9" t="s">
        <v>11614</v>
      </c>
      <c r="P215" s="10" t="s">
        <v>3933</v>
      </c>
      <c r="Q215" s="389" t="s">
        <v>3934</v>
      </c>
      <c r="R215" s="8" t="s">
        <v>2451</v>
      </c>
      <c r="S215" s="212" t="s">
        <v>12141</v>
      </c>
      <c r="T215" s="8" t="s">
        <v>3935</v>
      </c>
      <c r="U215" s="11" t="s">
        <v>93</v>
      </c>
      <c r="V215" s="12" t="s">
        <v>812</v>
      </c>
      <c r="W215" s="13">
        <v>43482</v>
      </c>
      <c r="X215" s="13" t="str">
        <f t="shared" ca="1" si="3"/>
        <v>7 Th, 7 Bln</v>
      </c>
      <c r="Y215" s="5" t="s">
        <v>95</v>
      </c>
      <c r="Z215" s="14" t="s">
        <v>108</v>
      </c>
      <c r="AA215" s="5" t="s">
        <v>96</v>
      </c>
      <c r="AB215" s="5" t="s">
        <v>97</v>
      </c>
      <c r="AC215" s="7" t="s">
        <v>3936</v>
      </c>
      <c r="AD215" s="131" t="s">
        <v>966</v>
      </c>
      <c r="AE215" s="131" t="s">
        <v>358</v>
      </c>
      <c r="AF215" s="7" t="s">
        <v>615</v>
      </c>
      <c r="AG215" s="7" t="s">
        <v>547</v>
      </c>
      <c r="AH215" s="7" t="s">
        <v>178</v>
      </c>
      <c r="AI215" s="7">
        <v>65142</v>
      </c>
      <c r="AJ215" s="7" t="s">
        <v>568</v>
      </c>
      <c r="AK215" s="7" t="s">
        <v>104</v>
      </c>
      <c r="AL215" s="7" t="s">
        <v>3937</v>
      </c>
      <c r="AM215" s="15" t="s">
        <v>3938</v>
      </c>
      <c r="AN215" s="15" t="s">
        <v>3938</v>
      </c>
      <c r="AO215" s="8">
        <v>1</v>
      </c>
      <c r="AP215" s="8" t="s">
        <v>147</v>
      </c>
      <c r="AQ215" s="8" t="s">
        <v>146</v>
      </c>
      <c r="AR215" s="8" t="s">
        <v>108</v>
      </c>
      <c r="AS215" s="132" t="s">
        <v>3667</v>
      </c>
      <c r="AT215" s="131" t="s">
        <v>2593</v>
      </c>
      <c r="AU215" s="132" t="s">
        <v>498</v>
      </c>
      <c r="AV215" s="16" t="s">
        <v>112</v>
      </c>
      <c r="AW215" s="56"/>
      <c r="AX215" s="56" t="s">
        <v>3939</v>
      </c>
      <c r="AY215" s="56" t="s">
        <v>3940</v>
      </c>
      <c r="AZ215" s="7" t="s">
        <v>3941</v>
      </c>
      <c r="BA215" s="10" t="s">
        <v>3942</v>
      </c>
      <c r="BB215" s="52">
        <v>32716</v>
      </c>
      <c r="BC215" s="17" t="s">
        <v>737</v>
      </c>
      <c r="BD215" s="17" t="s">
        <v>3943</v>
      </c>
      <c r="BE215" s="18" t="s">
        <v>118</v>
      </c>
      <c r="BF215" s="7" t="s">
        <v>3944</v>
      </c>
      <c r="BG215" s="7" t="s">
        <v>3945</v>
      </c>
      <c r="BH215" s="7" t="s">
        <v>3946</v>
      </c>
      <c r="BI215" s="7"/>
      <c r="BJ215" s="19" t="s">
        <v>3947</v>
      </c>
      <c r="BK215" s="20"/>
      <c r="BL215" s="58" t="s">
        <v>3948</v>
      </c>
      <c r="BM215" s="7" t="s">
        <v>3949</v>
      </c>
      <c r="BN215" s="22" t="s">
        <v>544</v>
      </c>
      <c r="BO215" s="49">
        <v>31105</v>
      </c>
      <c r="BP215" s="17" t="s">
        <v>96</v>
      </c>
      <c r="BQ215" s="17" t="s">
        <v>3938</v>
      </c>
      <c r="BR215" s="18" t="s">
        <v>118</v>
      </c>
      <c r="BS215" s="7" t="s">
        <v>582</v>
      </c>
      <c r="BT215" s="7" t="s">
        <v>3950</v>
      </c>
      <c r="BU215" s="7" t="s">
        <v>3951</v>
      </c>
      <c r="BV215" s="8" t="s">
        <v>108</v>
      </c>
      <c r="BW215" s="23">
        <v>0</v>
      </c>
      <c r="BX215" s="24" t="s">
        <v>3952</v>
      </c>
      <c r="BY215" s="21" t="s">
        <v>108</v>
      </c>
      <c r="BZ215" s="21" t="s">
        <v>108</v>
      </c>
      <c r="CA215" s="21"/>
      <c r="CB215" s="21"/>
      <c r="CC215" s="21"/>
      <c r="CD215" s="21"/>
      <c r="CE215" s="21" t="s">
        <v>108</v>
      </c>
      <c r="CF215" s="21"/>
      <c r="CG215" s="21" t="s">
        <v>108</v>
      </c>
      <c r="CH215" s="21"/>
      <c r="CI215" s="21"/>
      <c r="CJ215" s="21" t="s">
        <v>108</v>
      </c>
      <c r="CK215" s="21" t="s">
        <v>108</v>
      </c>
      <c r="CL215" s="21" t="s">
        <v>108</v>
      </c>
      <c r="CM215" s="25"/>
      <c r="CN215" s="25"/>
      <c r="CO215" s="25"/>
      <c r="CP215" s="26"/>
    </row>
    <row r="216" spans="1:97" s="27" customFormat="1" ht="23.25" customHeight="1">
      <c r="A216" s="4">
        <v>113</v>
      </c>
      <c r="B216" s="6"/>
      <c r="C216" s="6"/>
      <c r="D216" s="6"/>
      <c r="E216" s="6"/>
      <c r="F216" s="6"/>
      <c r="G216" s="6"/>
      <c r="H216" s="5"/>
      <c r="I216" s="7" t="s">
        <v>86</v>
      </c>
      <c r="J216" s="7" t="s">
        <v>4120</v>
      </c>
      <c r="K216" s="7" t="s">
        <v>4121</v>
      </c>
      <c r="L216" s="5"/>
      <c r="M216" s="5">
        <v>2168</v>
      </c>
      <c r="N216" s="9">
        <v>3183625715</v>
      </c>
      <c r="O216" s="9" t="s">
        <v>11615</v>
      </c>
      <c r="P216" s="10" t="s">
        <v>4122</v>
      </c>
      <c r="Q216" s="389" t="s">
        <v>4123</v>
      </c>
      <c r="R216" s="8" t="s">
        <v>2451</v>
      </c>
      <c r="S216" s="212" t="s">
        <v>12141</v>
      </c>
      <c r="T216" s="8" t="s">
        <v>4124</v>
      </c>
      <c r="U216" s="11" t="s">
        <v>172</v>
      </c>
      <c r="V216" s="12" t="s">
        <v>435</v>
      </c>
      <c r="W216" s="13">
        <v>43252</v>
      </c>
      <c r="X216" s="13" t="str">
        <f t="shared" ca="1" si="3"/>
        <v>8 Th, 3 Bln</v>
      </c>
      <c r="Y216" s="5" t="s">
        <v>95</v>
      </c>
      <c r="Z216" s="14" t="s">
        <v>108</v>
      </c>
      <c r="AA216" s="5" t="s">
        <v>96</v>
      </c>
      <c r="AB216" s="5" t="s">
        <v>97</v>
      </c>
      <c r="AC216" s="7" t="s">
        <v>4125</v>
      </c>
      <c r="AD216" s="131" t="s">
        <v>546</v>
      </c>
      <c r="AE216" s="131" t="s">
        <v>207</v>
      </c>
      <c r="AF216" s="7" t="s">
        <v>4126</v>
      </c>
      <c r="AG216" s="7" t="s">
        <v>3503</v>
      </c>
      <c r="AH216" s="7" t="s">
        <v>141</v>
      </c>
      <c r="AI216" s="7"/>
      <c r="AJ216" s="7" t="s">
        <v>94</v>
      </c>
      <c r="AK216" s="7" t="s">
        <v>4127</v>
      </c>
      <c r="AL216" s="7" t="s">
        <v>4128</v>
      </c>
      <c r="AM216" s="15" t="s">
        <v>127</v>
      </c>
      <c r="AN216" s="15" t="s">
        <v>4129</v>
      </c>
      <c r="AO216" s="8">
        <v>1</v>
      </c>
      <c r="AP216" s="8" t="s">
        <v>146</v>
      </c>
      <c r="AQ216" s="8" t="s">
        <v>108</v>
      </c>
      <c r="AR216" s="8" t="s">
        <v>108</v>
      </c>
      <c r="AS216" s="132" t="s">
        <v>2762</v>
      </c>
      <c r="AT216" s="131" t="s">
        <v>4130</v>
      </c>
      <c r="AU216" s="132" t="s">
        <v>111</v>
      </c>
      <c r="AV216" s="16" t="s">
        <v>112</v>
      </c>
      <c r="AW216" s="56"/>
      <c r="AX216" s="56" t="s">
        <v>183</v>
      </c>
      <c r="AY216" s="56" t="s">
        <v>4131</v>
      </c>
      <c r="AZ216" s="7" t="s">
        <v>4132</v>
      </c>
      <c r="BA216" s="10" t="s">
        <v>1208</v>
      </c>
      <c r="BB216" s="52">
        <v>33448</v>
      </c>
      <c r="BC216" s="17" t="s">
        <v>96</v>
      </c>
      <c r="BD216" s="17" t="s">
        <v>4133</v>
      </c>
      <c r="BE216" s="18" t="s">
        <v>216</v>
      </c>
      <c r="BF216" s="7" t="s">
        <v>4134</v>
      </c>
      <c r="BG216" s="7" t="s">
        <v>4135</v>
      </c>
      <c r="BH216" s="7" t="s">
        <v>4136</v>
      </c>
      <c r="BI216" s="7"/>
      <c r="BJ216" s="19" t="s">
        <v>4137</v>
      </c>
      <c r="BK216" s="20" t="s">
        <v>4138</v>
      </c>
      <c r="BL216" s="58" t="s">
        <v>4139</v>
      </c>
      <c r="BM216" s="7" t="s">
        <v>4140</v>
      </c>
      <c r="BN216" s="22" t="s">
        <v>4141</v>
      </c>
      <c r="BO216" s="49">
        <v>33497</v>
      </c>
      <c r="BP216" s="17" t="s">
        <v>96</v>
      </c>
      <c r="BQ216" s="17" t="s">
        <v>4129</v>
      </c>
      <c r="BR216" s="18" t="s">
        <v>153</v>
      </c>
      <c r="BS216" s="7" t="s">
        <v>154</v>
      </c>
      <c r="BT216" s="7" t="s">
        <v>2563</v>
      </c>
      <c r="BU216" s="7" t="s">
        <v>4142</v>
      </c>
      <c r="BV216" s="8" t="s">
        <v>108</v>
      </c>
      <c r="BW216" s="23" t="s">
        <v>4143</v>
      </c>
      <c r="BX216" s="24" t="s">
        <v>4144</v>
      </c>
      <c r="BY216" s="21" t="s">
        <v>108</v>
      </c>
      <c r="BZ216" s="21" t="s">
        <v>108</v>
      </c>
      <c r="CA216" s="21"/>
      <c r="CB216" s="21"/>
      <c r="CC216" s="21"/>
      <c r="CD216" s="21"/>
      <c r="CE216" s="21" t="s">
        <v>108</v>
      </c>
      <c r="CF216" s="21"/>
      <c r="CG216" s="21" t="s">
        <v>108</v>
      </c>
      <c r="CH216" s="21"/>
      <c r="CI216" s="21"/>
      <c r="CJ216" s="21" t="s">
        <v>108</v>
      </c>
      <c r="CK216" s="21" t="s">
        <v>108</v>
      </c>
      <c r="CL216" s="21" t="s">
        <v>108</v>
      </c>
      <c r="CM216" s="25"/>
      <c r="CN216" s="25"/>
      <c r="CO216" s="25"/>
      <c r="CP216" s="26"/>
    </row>
    <row r="217" spans="1:97" s="27" customFormat="1" ht="23.25" customHeight="1">
      <c r="A217" s="4">
        <v>114</v>
      </c>
      <c r="B217" s="6"/>
      <c r="C217" s="6"/>
      <c r="D217" s="6"/>
      <c r="E217" s="6"/>
      <c r="F217" s="6"/>
      <c r="G217" s="6"/>
      <c r="H217" s="5"/>
      <c r="I217" s="7" t="s">
        <v>86</v>
      </c>
      <c r="J217" s="7" t="s">
        <v>3891</v>
      </c>
      <c r="K217" s="7" t="s">
        <v>4145</v>
      </c>
      <c r="L217" s="5"/>
      <c r="M217" s="5">
        <v>2169</v>
      </c>
      <c r="N217" s="9">
        <v>3198510236</v>
      </c>
      <c r="O217" s="9" t="s">
        <v>11616</v>
      </c>
      <c r="P217" s="10" t="s">
        <v>4146</v>
      </c>
      <c r="Q217" s="389" t="s">
        <v>4147</v>
      </c>
      <c r="R217" s="8" t="s">
        <v>2451</v>
      </c>
      <c r="S217" s="212" t="s">
        <v>12141</v>
      </c>
      <c r="T217" s="8" t="s">
        <v>205</v>
      </c>
      <c r="U217" s="11" t="s">
        <v>172</v>
      </c>
      <c r="V217" s="12" t="s">
        <v>653</v>
      </c>
      <c r="W217" s="13">
        <v>43592</v>
      </c>
      <c r="X217" s="13" t="str">
        <f t="shared" ca="1" si="3"/>
        <v>7 Th, 4 Bln</v>
      </c>
      <c r="Y217" s="5" t="s">
        <v>95</v>
      </c>
      <c r="Z217" s="14" t="s">
        <v>108</v>
      </c>
      <c r="AA217" s="5" t="s">
        <v>96</v>
      </c>
      <c r="AB217" s="5" t="s">
        <v>97</v>
      </c>
      <c r="AC217" s="7" t="s">
        <v>4148</v>
      </c>
      <c r="AD217" s="131" t="s">
        <v>384</v>
      </c>
      <c r="AE217" s="131">
        <v>15</v>
      </c>
      <c r="AF217" s="7" t="s">
        <v>139</v>
      </c>
      <c r="AG217" s="7" t="s">
        <v>140</v>
      </c>
      <c r="AH217" s="7" t="s">
        <v>141</v>
      </c>
      <c r="AI217" s="7"/>
      <c r="AJ217" s="7" t="s">
        <v>94</v>
      </c>
      <c r="AK217" s="7" t="s">
        <v>104</v>
      </c>
      <c r="AL217" s="7" t="s">
        <v>1325</v>
      </c>
      <c r="AM217" s="15" t="s">
        <v>4149</v>
      </c>
      <c r="AN217" s="15" t="s">
        <v>4150</v>
      </c>
      <c r="AO217" s="8">
        <v>1</v>
      </c>
      <c r="AP217" s="8" t="s">
        <v>146</v>
      </c>
      <c r="AQ217" s="8" t="s">
        <v>108</v>
      </c>
      <c r="AR217" s="8" t="s">
        <v>108</v>
      </c>
      <c r="AS217" s="132" t="s">
        <v>2573</v>
      </c>
      <c r="AT217" s="131" t="s">
        <v>2483</v>
      </c>
      <c r="AU217" s="132" t="s">
        <v>149</v>
      </c>
      <c r="AV217" s="16" t="s">
        <v>112</v>
      </c>
      <c r="AW217" s="56"/>
      <c r="AX217" s="56" t="s">
        <v>4151</v>
      </c>
      <c r="AY217" s="56" t="s">
        <v>4152</v>
      </c>
      <c r="AZ217" s="7" t="s">
        <v>4153</v>
      </c>
      <c r="BA217" s="10" t="s">
        <v>395</v>
      </c>
      <c r="BB217" s="52">
        <v>33163</v>
      </c>
      <c r="BC217" s="17" t="s">
        <v>96</v>
      </c>
      <c r="BD217" s="17" t="s">
        <v>4149</v>
      </c>
      <c r="BE217" s="18" t="s">
        <v>118</v>
      </c>
      <c r="BF217" s="7" t="s">
        <v>247</v>
      </c>
      <c r="BG217" s="7" t="s">
        <v>247</v>
      </c>
      <c r="BH217" s="7" t="s">
        <v>4148</v>
      </c>
      <c r="BI217" s="7" t="s">
        <v>4150</v>
      </c>
      <c r="BJ217" s="19" t="s">
        <v>2060</v>
      </c>
      <c r="BK217" s="20" t="s">
        <v>4154</v>
      </c>
      <c r="BL217" s="58" t="s">
        <v>4155</v>
      </c>
      <c r="BM217" s="7" t="s">
        <v>4156</v>
      </c>
      <c r="BN217" s="22" t="s">
        <v>1031</v>
      </c>
      <c r="BO217" s="49">
        <v>32913</v>
      </c>
      <c r="BP217" s="17" t="s">
        <v>96</v>
      </c>
      <c r="BQ217" s="17" t="s">
        <v>4157</v>
      </c>
      <c r="BR217" s="18" t="s">
        <v>118</v>
      </c>
      <c r="BS217" s="7" t="s">
        <v>1526</v>
      </c>
      <c r="BT217" s="7" t="s">
        <v>4158</v>
      </c>
      <c r="BU217" s="7" t="s">
        <v>4159</v>
      </c>
      <c r="BV217" s="8" t="s">
        <v>4160</v>
      </c>
      <c r="BW217" s="23" t="s">
        <v>2060</v>
      </c>
      <c r="BX217" s="24" t="s">
        <v>4161</v>
      </c>
      <c r="BY217" s="21" t="s">
        <v>108</v>
      </c>
      <c r="BZ217" s="21" t="s">
        <v>108</v>
      </c>
      <c r="CA217" s="21"/>
      <c r="CB217" s="21"/>
      <c r="CC217" s="21"/>
      <c r="CD217" s="21"/>
      <c r="CE217" s="21" t="s">
        <v>108</v>
      </c>
      <c r="CF217" s="21"/>
      <c r="CG217" s="21" t="s">
        <v>108</v>
      </c>
      <c r="CH217" s="21"/>
      <c r="CI217" s="21"/>
      <c r="CJ217" s="21" t="s">
        <v>108</v>
      </c>
      <c r="CK217" s="21" t="s">
        <v>108</v>
      </c>
      <c r="CL217" s="21" t="s">
        <v>108</v>
      </c>
      <c r="CM217" s="25"/>
      <c r="CN217" s="25"/>
      <c r="CO217" s="25"/>
      <c r="CP217" s="26"/>
    </row>
    <row r="218" spans="1:97" s="27" customFormat="1" ht="23.25" customHeight="1">
      <c r="A218" s="4">
        <v>115</v>
      </c>
      <c r="B218" s="6"/>
      <c r="C218" s="6"/>
      <c r="D218" s="6"/>
      <c r="E218" s="6"/>
      <c r="F218" s="6"/>
      <c r="G218" s="6"/>
      <c r="H218" s="5"/>
      <c r="I218" s="7" t="s">
        <v>2452</v>
      </c>
      <c r="J218" s="7" t="s">
        <v>166</v>
      </c>
      <c r="K218" s="7" t="s">
        <v>4203</v>
      </c>
      <c r="L218" s="5"/>
      <c r="M218" s="5">
        <v>2172</v>
      </c>
      <c r="N218" s="9">
        <v>3183686754</v>
      </c>
      <c r="O218" s="9" t="s">
        <v>5979</v>
      </c>
      <c r="P218" s="10" t="s">
        <v>4204</v>
      </c>
      <c r="Q218" s="389" t="s">
        <v>4205</v>
      </c>
      <c r="R218" s="8" t="s">
        <v>2451</v>
      </c>
      <c r="S218" s="212" t="s">
        <v>12141</v>
      </c>
      <c r="T218" s="8" t="s">
        <v>3054</v>
      </c>
      <c r="U218" s="11" t="s">
        <v>172</v>
      </c>
      <c r="V218" s="12" t="s">
        <v>94</v>
      </c>
      <c r="W218" s="13">
        <v>43337</v>
      </c>
      <c r="X218" s="13" t="str">
        <f t="shared" ca="1" si="3"/>
        <v>8 Th, 0 Bln</v>
      </c>
      <c r="Y218" s="5" t="s">
        <v>95</v>
      </c>
      <c r="Z218" s="14" t="s">
        <v>108</v>
      </c>
      <c r="AA218" s="5" t="s">
        <v>96</v>
      </c>
      <c r="AB218" s="5" t="s">
        <v>97</v>
      </c>
      <c r="AC218" s="7" t="s">
        <v>4206</v>
      </c>
      <c r="AD218" s="131">
        <v>3</v>
      </c>
      <c r="AE218" s="131">
        <v>8</v>
      </c>
      <c r="AF218" s="7" t="s">
        <v>615</v>
      </c>
      <c r="AG218" s="7" t="s">
        <v>178</v>
      </c>
      <c r="AH218" s="7" t="s">
        <v>178</v>
      </c>
      <c r="AI218" s="7">
        <v>65142</v>
      </c>
      <c r="AJ218" s="7" t="s">
        <v>94</v>
      </c>
      <c r="AK218" s="7" t="s">
        <v>179</v>
      </c>
      <c r="AL218" s="7" t="s">
        <v>461</v>
      </c>
      <c r="AM218" s="15" t="s">
        <v>4207</v>
      </c>
      <c r="AN218" s="15" t="s">
        <v>4208</v>
      </c>
      <c r="AO218" s="8">
        <v>4</v>
      </c>
      <c r="AP218" s="8" t="s">
        <v>298</v>
      </c>
      <c r="AQ218" s="8" t="s">
        <v>108</v>
      </c>
      <c r="AR218" s="8" t="s">
        <v>108</v>
      </c>
      <c r="AS218" s="132" t="s">
        <v>2482</v>
      </c>
      <c r="AT218" s="131" t="s">
        <v>2593</v>
      </c>
      <c r="AU218" s="132" t="s">
        <v>182</v>
      </c>
      <c r="AV218" s="16" t="s">
        <v>112</v>
      </c>
      <c r="AW218" s="56"/>
      <c r="AX218" s="56" t="s">
        <v>114</v>
      </c>
      <c r="AY218" s="56" t="s">
        <v>4209</v>
      </c>
      <c r="AZ218" s="7" t="s">
        <v>4210</v>
      </c>
      <c r="BA218" s="10" t="s">
        <v>1208</v>
      </c>
      <c r="BB218" s="52">
        <v>29315</v>
      </c>
      <c r="BC218" s="17" t="s">
        <v>96</v>
      </c>
      <c r="BD218" s="17" t="s">
        <v>4211</v>
      </c>
      <c r="BE218" s="18" t="s">
        <v>118</v>
      </c>
      <c r="BF218" s="7" t="s">
        <v>276</v>
      </c>
      <c r="BG218" s="7" t="s">
        <v>4212</v>
      </c>
      <c r="BH218" s="7" t="s">
        <v>4213</v>
      </c>
      <c r="BI218" s="7" t="s">
        <v>127</v>
      </c>
      <c r="BJ218" s="19" t="s">
        <v>4214</v>
      </c>
      <c r="BK218" s="20" t="s">
        <v>4215</v>
      </c>
      <c r="BL218" s="58" t="s">
        <v>4216</v>
      </c>
      <c r="BM218" s="7" t="s">
        <v>4217</v>
      </c>
      <c r="BN218" s="22" t="s">
        <v>395</v>
      </c>
      <c r="BO218" s="49">
        <v>29806</v>
      </c>
      <c r="BP218" s="17" t="s">
        <v>96</v>
      </c>
      <c r="BQ218" s="17" t="s">
        <v>4208</v>
      </c>
      <c r="BR218" s="18" t="s">
        <v>118</v>
      </c>
      <c r="BS218" s="7" t="s">
        <v>471</v>
      </c>
      <c r="BT218" s="7" t="s">
        <v>4218</v>
      </c>
      <c r="BU218" s="7" t="s">
        <v>4219</v>
      </c>
      <c r="BV218" s="8" t="s">
        <v>127</v>
      </c>
      <c r="BW218" s="23" t="s">
        <v>3218</v>
      </c>
      <c r="BX218" s="24" t="s">
        <v>4220</v>
      </c>
      <c r="BY218" s="21" t="s">
        <v>108</v>
      </c>
      <c r="BZ218" s="21" t="s">
        <v>108</v>
      </c>
      <c r="CA218" s="21"/>
      <c r="CB218" s="21"/>
      <c r="CC218" s="21"/>
      <c r="CD218" s="21"/>
      <c r="CE218" s="21" t="s">
        <v>108</v>
      </c>
      <c r="CF218" s="21"/>
      <c r="CG218" s="21" t="s">
        <v>108</v>
      </c>
      <c r="CH218" s="21"/>
      <c r="CI218" s="21"/>
      <c r="CJ218" s="21" t="s">
        <v>108</v>
      </c>
      <c r="CK218" s="21" t="s">
        <v>108</v>
      </c>
      <c r="CL218" s="21" t="s">
        <v>108</v>
      </c>
      <c r="CM218" s="25"/>
      <c r="CN218" s="25"/>
      <c r="CO218" s="25"/>
      <c r="CP218" s="26"/>
    </row>
    <row r="219" spans="1:97" s="27" customFormat="1" ht="23.25" customHeight="1">
      <c r="A219" s="4">
        <v>116</v>
      </c>
      <c r="B219" s="6"/>
      <c r="C219" s="6"/>
      <c r="D219" s="6"/>
      <c r="E219" s="6"/>
      <c r="F219" s="6"/>
      <c r="G219" s="6"/>
      <c r="H219" s="5"/>
      <c r="I219" s="7" t="s">
        <v>86</v>
      </c>
      <c r="J219" s="7" t="s">
        <v>166</v>
      </c>
      <c r="K219" s="7" t="s">
        <v>1650</v>
      </c>
      <c r="L219" s="5"/>
      <c r="M219" s="5">
        <v>2182</v>
      </c>
      <c r="N219" s="9">
        <v>3186576256</v>
      </c>
      <c r="O219" s="9" t="s">
        <v>11617</v>
      </c>
      <c r="P219" s="10" t="s">
        <v>4359</v>
      </c>
      <c r="Q219" s="389" t="s">
        <v>4360</v>
      </c>
      <c r="R219" s="8" t="s">
        <v>2451</v>
      </c>
      <c r="S219" s="212" t="s">
        <v>12141</v>
      </c>
      <c r="T219" s="8" t="s">
        <v>4361</v>
      </c>
      <c r="U219" s="11" t="s">
        <v>93</v>
      </c>
      <c r="V219" s="12" t="s">
        <v>94</v>
      </c>
      <c r="W219" s="13">
        <v>43355</v>
      </c>
      <c r="X219" s="13" t="str">
        <f t="shared" ca="1" si="3"/>
        <v>8 Th, 0 Bln</v>
      </c>
      <c r="Y219" s="5" t="s">
        <v>95</v>
      </c>
      <c r="Z219" s="14" t="s">
        <v>108</v>
      </c>
      <c r="AA219" s="5" t="s">
        <v>96</v>
      </c>
      <c r="AB219" s="5" t="s">
        <v>97</v>
      </c>
      <c r="AC219" s="7" t="s">
        <v>4362</v>
      </c>
      <c r="AD219" s="131" t="s">
        <v>2459</v>
      </c>
      <c r="AE219" s="131" t="s">
        <v>384</v>
      </c>
      <c r="AF219" s="7" t="s">
        <v>177</v>
      </c>
      <c r="AG219" s="7" t="s">
        <v>178</v>
      </c>
      <c r="AH219" s="7" t="s">
        <v>178</v>
      </c>
      <c r="AI219" s="7"/>
      <c r="AJ219" s="7" t="s">
        <v>94</v>
      </c>
      <c r="AK219" s="7" t="s">
        <v>104</v>
      </c>
      <c r="AL219" s="7" t="s">
        <v>146</v>
      </c>
      <c r="AM219" s="15" t="s">
        <v>2459</v>
      </c>
      <c r="AN219" s="15" t="s">
        <v>4363</v>
      </c>
      <c r="AO219" s="8">
        <v>2</v>
      </c>
      <c r="AP219" s="8" t="s">
        <v>146</v>
      </c>
      <c r="AQ219" s="8" t="s">
        <v>108</v>
      </c>
      <c r="AR219" s="8" t="s">
        <v>108</v>
      </c>
      <c r="AS219" s="132" t="s">
        <v>998</v>
      </c>
      <c r="AT219" s="131" t="s">
        <v>4364</v>
      </c>
      <c r="AU219" s="132" t="s">
        <v>149</v>
      </c>
      <c r="AV219" s="16" t="s">
        <v>112</v>
      </c>
      <c r="AW219" s="56"/>
      <c r="AX219" s="56" t="s">
        <v>183</v>
      </c>
      <c r="AY219" s="56" t="s">
        <v>4365</v>
      </c>
      <c r="AZ219" s="7" t="s">
        <v>4366</v>
      </c>
      <c r="BA219" s="10" t="s">
        <v>222</v>
      </c>
      <c r="BB219" s="52">
        <v>32368</v>
      </c>
      <c r="BC219" s="17" t="s">
        <v>96</v>
      </c>
      <c r="BD219" s="17" t="s">
        <v>4367</v>
      </c>
      <c r="BE219" s="18" t="s">
        <v>118</v>
      </c>
      <c r="BF219" s="7" t="s">
        <v>247</v>
      </c>
      <c r="BG219" s="7" t="s">
        <v>4368</v>
      </c>
      <c r="BH219" s="7" t="s">
        <v>4369</v>
      </c>
      <c r="BI219" s="7"/>
      <c r="BJ219" s="19">
        <v>10000000</v>
      </c>
      <c r="BK219" s="20"/>
      <c r="BL219" s="58" t="s">
        <v>4370</v>
      </c>
      <c r="BM219" s="7" t="s">
        <v>4371</v>
      </c>
      <c r="BN219" s="22" t="s">
        <v>519</v>
      </c>
      <c r="BO219" s="49">
        <v>32900</v>
      </c>
      <c r="BP219" s="17" t="s">
        <v>96</v>
      </c>
      <c r="BQ219" s="17" t="s">
        <v>4363</v>
      </c>
      <c r="BR219" s="18" t="s">
        <v>118</v>
      </c>
      <c r="BS219" s="7" t="s">
        <v>126</v>
      </c>
      <c r="BT219" s="7" t="s">
        <v>127</v>
      </c>
      <c r="BU219" s="7" t="s">
        <v>127</v>
      </c>
      <c r="BV219" s="8" t="s">
        <v>108</v>
      </c>
      <c r="BW219" s="23">
        <v>0</v>
      </c>
      <c r="BX219" s="24" t="s">
        <v>4372</v>
      </c>
      <c r="BY219" s="21" t="s">
        <v>108</v>
      </c>
      <c r="BZ219" s="21" t="s">
        <v>108</v>
      </c>
      <c r="CA219" s="21"/>
      <c r="CB219" s="21"/>
      <c r="CC219" s="21"/>
      <c r="CD219" s="21"/>
      <c r="CE219" s="21" t="s">
        <v>108</v>
      </c>
      <c r="CF219" s="21"/>
      <c r="CG219" s="21" t="s">
        <v>108</v>
      </c>
      <c r="CH219" s="21"/>
      <c r="CI219" s="21"/>
      <c r="CJ219" s="21" t="s">
        <v>108</v>
      </c>
      <c r="CK219" s="21" t="s">
        <v>108</v>
      </c>
      <c r="CL219" s="21" t="s">
        <v>108</v>
      </c>
      <c r="CM219" s="25"/>
      <c r="CN219" s="25"/>
      <c r="CO219" s="25"/>
      <c r="CP219" s="26"/>
    </row>
    <row r="220" spans="1:97" s="27" customFormat="1" ht="23.25" customHeight="1">
      <c r="A220" s="4">
        <v>117</v>
      </c>
      <c r="B220" s="6"/>
      <c r="C220" s="6"/>
      <c r="D220" s="6"/>
      <c r="E220" s="6"/>
      <c r="F220" s="6"/>
      <c r="G220" s="6"/>
      <c r="H220" s="5"/>
      <c r="I220" s="7" t="s">
        <v>2684</v>
      </c>
      <c r="J220" s="7" t="s">
        <v>4373</v>
      </c>
      <c r="K220" s="7" t="s">
        <v>4374</v>
      </c>
      <c r="L220" s="5"/>
      <c r="M220" s="5">
        <v>2183</v>
      </c>
      <c r="N220" s="9">
        <v>3186334726</v>
      </c>
      <c r="O220" s="9" t="s">
        <v>4375</v>
      </c>
      <c r="P220" s="10" t="s">
        <v>4375</v>
      </c>
      <c r="Q220" s="389" t="s">
        <v>11618</v>
      </c>
      <c r="R220" s="8" t="s">
        <v>2451</v>
      </c>
      <c r="S220" s="212" t="s">
        <v>12141</v>
      </c>
      <c r="T220" s="8" t="s">
        <v>4376</v>
      </c>
      <c r="U220" s="11" t="s">
        <v>172</v>
      </c>
      <c r="V220" s="12" t="s">
        <v>94</v>
      </c>
      <c r="W220" s="13">
        <v>43417</v>
      </c>
      <c r="X220" s="13" t="str">
        <f t="shared" ca="1" si="3"/>
        <v>7 Th, 10 Bln</v>
      </c>
      <c r="Y220" s="5" t="s">
        <v>95</v>
      </c>
      <c r="Z220" s="14" t="s">
        <v>108</v>
      </c>
      <c r="AA220" s="5" t="s">
        <v>96</v>
      </c>
      <c r="AB220" s="5" t="s">
        <v>97</v>
      </c>
      <c r="AC220" s="7" t="s">
        <v>4377</v>
      </c>
      <c r="AD220" s="131" t="s">
        <v>384</v>
      </c>
      <c r="AE220" s="131" t="s">
        <v>99</v>
      </c>
      <c r="AF220" s="7" t="s">
        <v>994</v>
      </c>
      <c r="AG220" s="7" t="s">
        <v>994</v>
      </c>
      <c r="AH220" s="7" t="s">
        <v>141</v>
      </c>
      <c r="AI220" s="7">
        <v>65321</v>
      </c>
      <c r="AJ220" s="7" t="s">
        <v>263</v>
      </c>
      <c r="AK220" s="7" t="s">
        <v>104</v>
      </c>
      <c r="AL220" s="7" t="s">
        <v>1325</v>
      </c>
      <c r="AM220" s="15" t="s">
        <v>127</v>
      </c>
      <c r="AN220" s="15" t="s">
        <v>4378</v>
      </c>
      <c r="AO220" s="8">
        <v>1</v>
      </c>
      <c r="AP220" s="8" t="s">
        <v>107</v>
      </c>
      <c r="AQ220" s="8" t="s">
        <v>127</v>
      </c>
      <c r="AR220" s="8" t="s">
        <v>127</v>
      </c>
      <c r="AS220" s="132" t="s">
        <v>2779</v>
      </c>
      <c r="AT220" s="131" t="s">
        <v>2593</v>
      </c>
      <c r="AU220" s="132" t="s">
        <v>498</v>
      </c>
      <c r="AV220" s="16" t="s">
        <v>112</v>
      </c>
      <c r="AW220" s="56"/>
      <c r="AX220" s="56" t="s">
        <v>427</v>
      </c>
      <c r="AY220" s="56" t="s">
        <v>4379</v>
      </c>
      <c r="AZ220" s="7" t="s">
        <v>4380</v>
      </c>
      <c r="BA220" s="10" t="s">
        <v>94</v>
      </c>
      <c r="BB220" s="52">
        <v>34620</v>
      </c>
      <c r="BC220" s="17" t="s">
        <v>96</v>
      </c>
      <c r="BD220" s="17" t="s">
        <v>4381</v>
      </c>
      <c r="BE220" s="18" t="s">
        <v>118</v>
      </c>
      <c r="BF220" s="7" t="s">
        <v>327</v>
      </c>
      <c r="BG220" s="7" t="s">
        <v>127</v>
      </c>
      <c r="BH220" s="7" t="s">
        <v>127</v>
      </c>
      <c r="BI220" s="7" t="s">
        <v>127</v>
      </c>
      <c r="BJ220" s="19">
        <v>2000000</v>
      </c>
      <c r="BK220" s="20" t="s">
        <v>127</v>
      </c>
      <c r="BL220" s="58" t="s">
        <v>4382</v>
      </c>
      <c r="BM220" s="7" t="s">
        <v>4383</v>
      </c>
      <c r="BN220" s="22" t="s">
        <v>94</v>
      </c>
      <c r="BO220" s="49">
        <v>34284</v>
      </c>
      <c r="BP220" s="17" t="s">
        <v>96</v>
      </c>
      <c r="BQ220" s="17" t="s">
        <v>4378</v>
      </c>
      <c r="BR220" s="18" t="s">
        <v>216</v>
      </c>
      <c r="BS220" s="7" t="s">
        <v>596</v>
      </c>
      <c r="BT220" s="7" t="s">
        <v>4384</v>
      </c>
      <c r="BU220" s="7" t="s">
        <v>4385</v>
      </c>
      <c r="BV220" s="8" t="s">
        <v>127</v>
      </c>
      <c r="BW220" s="23" t="s">
        <v>4324</v>
      </c>
      <c r="BX220" s="24" t="s">
        <v>4386</v>
      </c>
      <c r="BY220" s="21" t="s">
        <v>127</v>
      </c>
      <c r="BZ220" s="21" t="s">
        <v>127</v>
      </c>
      <c r="CA220" s="21"/>
      <c r="CB220" s="21"/>
      <c r="CC220" s="21"/>
      <c r="CD220" s="21"/>
      <c r="CE220" s="21" t="s">
        <v>108</v>
      </c>
      <c r="CF220" s="21"/>
      <c r="CG220" s="21" t="s">
        <v>108</v>
      </c>
      <c r="CH220" s="21"/>
      <c r="CI220" s="21"/>
      <c r="CJ220" s="21" t="s">
        <v>108</v>
      </c>
      <c r="CK220" s="21" t="s">
        <v>108</v>
      </c>
      <c r="CL220" s="21" t="s">
        <v>108</v>
      </c>
      <c r="CM220" s="25"/>
      <c r="CN220" s="25"/>
      <c r="CO220" s="25"/>
      <c r="CP220" s="26"/>
    </row>
    <row r="221" spans="1:97" s="27" customFormat="1" ht="23.25" customHeight="1">
      <c r="A221" s="4">
        <v>118</v>
      </c>
      <c r="B221" s="6"/>
      <c r="C221" s="6"/>
      <c r="D221" s="6"/>
      <c r="E221" s="6"/>
      <c r="F221" s="6"/>
      <c r="G221" s="6"/>
      <c r="H221" s="5"/>
      <c r="I221" s="7" t="s">
        <v>86</v>
      </c>
      <c r="J221" s="7" t="s">
        <v>4452</v>
      </c>
      <c r="K221" s="7" t="s">
        <v>4453</v>
      </c>
      <c r="L221" s="5"/>
      <c r="M221" s="5">
        <v>2188</v>
      </c>
      <c r="N221" s="9">
        <v>3182698659</v>
      </c>
      <c r="O221" s="9" t="s">
        <v>9367</v>
      </c>
      <c r="P221" s="10" t="s">
        <v>4454</v>
      </c>
      <c r="Q221" s="389" t="s">
        <v>4455</v>
      </c>
      <c r="R221" s="8" t="s">
        <v>2451</v>
      </c>
      <c r="S221" s="212" t="s">
        <v>12141</v>
      </c>
      <c r="T221" s="8" t="s">
        <v>4456</v>
      </c>
      <c r="U221" s="11" t="s">
        <v>93</v>
      </c>
      <c r="V221" s="12" t="s">
        <v>94</v>
      </c>
      <c r="W221" s="13">
        <v>43264</v>
      </c>
      <c r="X221" s="13" t="str">
        <f t="shared" ca="1" si="3"/>
        <v>8 Th, 3 Bln</v>
      </c>
      <c r="Y221" s="5" t="s">
        <v>95</v>
      </c>
      <c r="Z221" s="14" t="s">
        <v>108</v>
      </c>
      <c r="AA221" s="5" t="s">
        <v>96</v>
      </c>
      <c r="AB221" s="5" t="s">
        <v>97</v>
      </c>
      <c r="AC221" s="7" t="s">
        <v>4457</v>
      </c>
      <c r="AD221" s="131" t="s">
        <v>318</v>
      </c>
      <c r="AE221" s="131" t="s">
        <v>384</v>
      </c>
      <c r="AF221" s="7" t="s">
        <v>521</v>
      </c>
      <c r="AG221" s="7" t="s">
        <v>178</v>
      </c>
      <c r="AH221" s="7" t="s">
        <v>178</v>
      </c>
      <c r="AI221" s="7"/>
      <c r="AJ221" s="7" t="s">
        <v>103</v>
      </c>
      <c r="AK221" s="7" t="s">
        <v>179</v>
      </c>
      <c r="AL221" s="7" t="s">
        <v>4458</v>
      </c>
      <c r="AM221" s="15">
        <v>0</v>
      </c>
      <c r="AN221" s="15" t="s">
        <v>4459</v>
      </c>
      <c r="AO221" s="8">
        <v>2</v>
      </c>
      <c r="AP221" s="8" t="s">
        <v>146</v>
      </c>
      <c r="AQ221" s="8" t="s">
        <v>147</v>
      </c>
      <c r="AR221" s="8" t="s">
        <v>147</v>
      </c>
      <c r="AS221" s="132" t="s">
        <v>2958</v>
      </c>
      <c r="AT221" s="131" t="s">
        <v>2937</v>
      </c>
      <c r="AU221" s="132" t="s">
        <v>149</v>
      </c>
      <c r="AV221" s="16" t="s">
        <v>112</v>
      </c>
      <c r="AW221" s="56"/>
      <c r="AX221" s="56" t="s">
        <v>114</v>
      </c>
      <c r="AY221" s="56" t="s">
        <v>4460</v>
      </c>
      <c r="AZ221" s="7" t="s">
        <v>4461</v>
      </c>
      <c r="BA221" s="10" t="s">
        <v>435</v>
      </c>
      <c r="BB221" s="52">
        <v>32221</v>
      </c>
      <c r="BC221" s="17" t="s">
        <v>96</v>
      </c>
      <c r="BD221" s="17" t="s">
        <v>4462</v>
      </c>
      <c r="BE221" s="18" t="s">
        <v>118</v>
      </c>
      <c r="BF221" s="7" t="s">
        <v>188</v>
      </c>
      <c r="BG221" s="7" t="s">
        <v>4463</v>
      </c>
      <c r="BH221" s="7" t="s">
        <v>4464</v>
      </c>
      <c r="BI221" s="7"/>
      <c r="BJ221" s="19" t="s">
        <v>4465</v>
      </c>
      <c r="BK221" s="20" t="s">
        <v>4466</v>
      </c>
      <c r="BL221" s="58" t="s">
        <v>4467</v>
      </c>
      <c r="BM221" s="7" t="s">
        <v>4468</v>
      </c>
      <c r="BN221" s="22" t="s">
        <v>94</v>
      </c>
      <c r="BO221" s="49">
        <v>32711</v>
      </c>
      <c r="BP221" s="17" t="s">
        <v>96</v>
      </c>
      <c r="BQ221" s="17" t="s">
        <v>4459</v>
      </c>
      <c r="BR221" s="18" t="s">
        <v>118</v>
      </c>
      <c r="BS221" s="7" t="s">
        <v>790</v>
      </c>
      <c r="BT221" s="7" t="s">
        <v>127</v>
      </c>
      <c r="BU221" s="7" t="s">
        <v>127</v>
      </c>
      <c r="BV221" s="8" t="s">
        <v>127</v>
      </c>
      <c r="BW221" s="23">
        <v>0</v>
      </c>
      <c r="BX221" s="24" t="s">
        <v>4469</v>
      </c>
      <c r="BY221" s="21" t="s">
        <v>108</v>
      </c>
      <c r="BZ221" s="21" t="s">
        <v>108</v>
      </c>
      <c r="CA221" s="21"/>
      <c r="CB221" s="21"/>
      <c r="CC221" s="21"/>
      <c r="CD221" s="21"/>
      <c r="CE221" s="21" t="s">
        <v>108</v>
      </c>
      <c r="CF221" s="21"/>
      <c r="CG221" s="21" t="s">
        <v>108</v>
      </c>
      <c r="CH221" s="21"/>
      <c r="CI221" s="21"/>
      <c r="CJ221" s="21" t="s">
        <v>108</v>
      </c>
      <c r="CK221" s="21" t="s">
        <v>108</v>
      </c>
      <c r="CL221" s="21" t="s">
        <v>108</v>
      </c>
      <c r="CM221" s="25"/>
      <c r="CN221" s="25"/>
      <c r="CO221" s="25"/>
      <c r="CP221" s="26"/>
    </row>
    <row r="222" spans="1:97" s="27" customFormat="1" ht="23.25" customHeight="1">
      <c r="A222" s="4">
        <v>119</v>
      </c>
      <c r="B222" s="6"/>
      <c r="C222" s="6"/>
      <c r="D222" s="6"/>
      <c r="E222" s="6"/>
      <c r="F222" s="6"/>
      <c r="G222" s="6"/>
      <c r="H222" s="5"/>
      <c r="I222" s="7" t="s">
        <v>86</v>
      </c>
      <c r="J222" s="7" t="s">
        <v>402</v>
      </c>
      <c r="K222" s="7" t="s">
        <v>4522</v>
      </c>
      <c r="L222" s="5"/>
      <c r="M222" s="5">
        <v>2192</v>
      </c>
      <c r="N222" s="9">
        <v>3192637304</v>
      </c>
      <c r="O222" s="9" t="s">
        <v>9459</v>
      </c>
      <c r="P222" s="10" t="s">
        <v>4523</v>
      </c>
      <c r="Q222" s="389" t="s">
        <v>4524</v>
      </c>
      <c r="R222" s="8" t="s">
        <v>2451</v>
      </c>
      <c r="S222" s="212" t="s">
        <v>12141</v>
      </c>
      <c r="T222" s="8" t="s">
        <v>4525</v>
      </c>
      <c r="U222" s="11" t="s">
        <v>93</v>
      </c>
      <c r="V222" s="12" t="s">
        <v>544</v>
      </c>
      <c r="W222" s="13">
        <v>43694</v>
      </c>
      <c r="X222" s="13" t="str">
        <f t="shared" ca="1" si="3"/>
        <v>7 Th, 0 Bln</v>
      </c>
      <c r="Y222" s="5" t="s">
        <v>95</v>
      </c>
      <c r="Z222" s="14" t="s">
        <v>108</v>
      </c>
      <c r="AA222" s="5" t="s">
        <v>96</v>
      </c>
      <c r="AB222" s="5" t="s">
        <v>97</v>
      </c>
      <c r="AC222" s="7" t="s">
        <v>4526</v>
      </c>
      <c r="AD222" s="131" t="s">
        <v>384</v>
      </c>
      <c r="AE222" s="131" t="s">
        <v>546</v>
      </c>
      <c r="AF222" s="7" t="s">
        <v>942</v>
      </c>
      <c r="AG222" s="7" t="s">
        <v>547</v>
      </c>
      <c r="AH222" s="7" t="s">
        <v>178</v>
      </c>
      <c r="AI222" s="7"/>
      <c r="AJ222" s="7" t="s">
        <v>568</v>
      </c>
      <c r="AK222" s="7" t="s">
        <v>104</v>
      </c>
      <c r="AL222" s="7" t="s">
        <v>4527</v>
      </c>
      <c r="AM222" s="15" t="s">
        <v>3019</v>
      </c>
      <c r="AN222" s="15" t="s">
        <v>4528</v>
      </c>
      <c r="AO222" s="8">
        <v>2</v>
      </c>
      <c r="AP222" s="8" t="s">
        <v>107</v>
      </c>
      <c r="AQ222" s="8" t="s">
        <v>108</v>
      </c>
      <c r="AR222" s="8" t="s">
        <v>108</v>
      </c>
      <c r="AS222" s="132" t="s">
        <v>1721</v>
      </c>
      <c r="AT222" s="131" t="s">
        <v>4529</v>
      </c>
      <c r="AU222" s="132" t="s">
        <v>111</v>
      </c>
      <c r="AV222" s="16" t="s">
        <v>112</v>
      </c>
      <c r="AW222" s="56"/>
      <c r="AX222" s="56" t="s">
        <v>183</v>
      </c>
      <c r="AY222" s="56" t="s">
        <v>4530</v>
      </c>
      <c r="AZ222" s="7" t="s">
        <v>4531</v>
      </c>
      <c r="BA222" s="10" t="s">
        <v>544</v>
      </c>
      <c r="BB222" s="52">
        <v>31274</v>
      </c>
      <c r="BC222" s="17" t="s">
        <v>96</v>
      </c>
      <c r="BD222" s="17" t="s">
        <v>4532</v>
      </c>
      <c r="BE222" s="18" t="s">
        <v>118</v>
      </c>
      <c r="BF222" s="7" t="s">
        <v>4533</v>
      </c>
      <c r="BG222" s="7" t="s">
        <v>4534</v>
      </c>
      <c r="BH222" s="7" t="s">
        <v>4535</v>
      </c>
      <c r="BI222" s="7"/>
      <c r="BJ222" s="19" t="s">
        <v>4536</v>
      </c>
      <c r="BK222" s="20" t="s">
        <v>4537</v>
      </c>
      <c r="BL222" s="58" t="s">
        <v>4538</v>
      </c>
      <c r="BM222" s="7" t="s">
        <v>4539</v>
      </c>
      <c r="BN222" s="22" t="s">
        <v>2806</v>
      </c>
      <c r="BO222" s="49">
        <v>31502</v>
      </c>
      <c r="BP222" s="17" t="s">
        <v>96</v>
      </c>
      <c r="BQ222" s="17" t="s">
        <v>4528</v>
      </c>
      <c r="BR222" s="18" t="s">
        <v>118</v>
      </c>
      <c r="BS222" s="7" t="s">
        <v>4540</v>
      </c>
      <c r="BT222" s="7" t="s">
        <v>4541</v>
      </c>
      <c r="BU222" s="7" t="s">
        <v>4542</v>
      </c>
      <c r="BV222" s="8" t="s">
        <v>108</v>
      </c>
      <c r="BW222" s="23" t="s">
        <v>4543</v>
      </c>
      <c r="BX222" s="24" t="s">
        <v>4544</v>
      </c>
      <c r="BY222" s="21" t="s">
        <v>108</v>
      </c>
      <c r="BZ222" s="21" t="s">
        <v>108</v>
      </c>
      <c r="CA222" s="21"/>
      <c r="CB222" s="21"/>
      <c r="CC222" s="21"/>
      <c r="CD222" s="21"/>
      <c r="CE222" s="21" t="s">
        <v>108</v>
      </c>
      <c r="CF222" s="21"/>
      <c r="CG222" s="21" t="s">
        <v>108</v>
      </c>
      <c r="CH222" s="21"/>
      <c r="CI222" s="21"/>
      <c r="CJ222" s="21" t="s">
        <v>108</v>
      </c>
      <c r="CK222" s="21" t="s">
        <v>108</v>
      </c>
      <c r="CL222" s="21" t="s">
        <v>108</v>
      </c>
      <c r="CM222" s="25"/>
      <c r="CN222" s="25"/>
      <c r="CO222" s="25"/>
      <c r="CP222" s="26"/>
    </row>
    <row r="223" spans="1:97" s="27" customFormat="1" ht="23.25" customHeight="1">
      <c r="A223" s="4">
        <v>120</v>
      </c>
      <c r="B223" s="6"/>
      <c r="C223" s="6"/>
      <c r="D223" s="6"/>
      <c r="E223" s="6"/>
      <c r="F223" s="6"/>
      <c r="G223" s="6"/>
      <c r="H223" s="5"/>
      <c r="I223" s="7" t="s">
        <v>2452</v>
      </c>
      <c r="J223" s="7" t="s">
        <v>166</v>
      </c>
      <c r="K223" s="7" t="s">
        <v>4702</v>
      </c>
      <c r="L223" s="5"/>
      <c r="M223" s="5">
        <v>2201</v>
      </c>
      <c r="N223" s="9">
        <v>3199416151</v>
      </c>
      <c r="O223" s="9" t="s">
        <v>1628</v>
      </c>
      <c r="P223" s="10" t="s">
        <v>4703</v>
      </c>
      <c r="Q223" s="389" t="s">
        <v>4704</v>
      </c>
      <c r="R223" s="8" t="s">
        <v>2451</v>
      </c>
      <c r="S223" s="212" t="s">
        <v>12141</v>
      </c>
      <c r="T223" s="8" t="s">
        <v>4705</v>
      </c>
      <c r="U223" s="11" t="s">
        <v>93</v>
      </c>
      <c r="V223" s="12" t="s">
        <v>94</v>
      </c>
      <c r="W223" s="13">
        <v>43595</v>
      </c>
      <c r="X223" s="13" t="str">
        <f t="shared" ca="1" si="3"/>
        <v>7 Th, 4 Bln</v>
      </c>
      <c r="Y223" s="5" t="s">
        <v>95</v>
      </c>
      <c r="Z223" s="14" t="s">
        <v>127</v>
      </c>
      <c r="AA223" s="5" t="s">
        <v>96</v>
      </c>
      <c r="AB223" s="5" t="s">
        <v>97</v>
      </c>
      <c r="AC223" s="7" t="s">
        <v>1632</v>
      </c>
      <c r="AD223" s="131">
        <v>4</v>
      </c>
      <c r="AE223" s="131">
        <v>3</v>
      </c>
      <c r="AF223" s="7" t="s">
        <v>385</v>
      </c>
      <c r="AG223" s="7" t="s">
        <v>178</v>
      </c>
      <c r="AH223" s="7" t="s">
        <v>178</v>
      </c>
      <c r="AI223" s="7">
        <v>65145</v>
      </c>
      <c r="AJ223" s="7" t="s">
        <v>94</v>
      </c>
      <c r="AK223" s="7" t="s">
        <v>386</v>
      </c>
      <c r="AL223" s="7" t="s">
        <v>1282</v>
      </c>
      <c r="AM223" s="15" t="s">
        <v>127</v>
      </c>
      <c r="AN223" s="15" t="s">
        <v>4706</v>
      </c>
      <c r="AO223" s="8">
        <v>2</v>
      </c>
      <c r="AP223" s="8" t="s">
        <v>107</v>
      </c>
      <c r="AQ223" s="8" t="s">
        <v>127</v>
      </c>
      <c r="AR223" s="8" t="s">
        <v>127</v>
      </c>
      <c r="AS223" s="132" t="s">
        <v>3487</v>
      </c>
      <c r="AT223" s="131" t="s">
        <v>4707</v>
      </c>
      <c r="AU223" s="132" t="s">
        <v>149</v>
      </c>
      <c r="AV223" s="16" t="s">
        <v>112</v>
      </c>
      <c r="AW223" s="56"/>
      <c r="AX223" s="56" t="s">
        <v>4708</v>
      </c>
      <c r="AY223" s="56" t="s">
        <v>1647</v>
      </c>
      <c r="AZ223" s="7" t="s">
        <v>4703</v>
      </c>
      <c r="BA223" s="10" t="s">
        <v>94</v>
      </c>
      <c r="BB223" s="52">
        <v>29712</v>
      </c>
      <c r="BC223" s="17" t="s">
        <v>96</v>
      </c>
      <c r="BD223" s="17" t="s">
        <v>1638</v>
      </c>
      <c r="BE223" s="18" t="s">
        <v>216</v>
      </c>
      <c r="BF223" s="7" t="s">
        <v>327</v>
      </c>
      <c r="BG223" s="7" t="s">
        <v>4709</v>
      </c>
      <c r="BH223" s="7" t="s">
        <v>127</v>
      </c>
      <c r="BI223" s="7" t="s">
        <v>127</v>
      </c>
      <c r="BJ223" s="19" t="s">
        <v>127</v>
      </c>
      <c r="BK223" s="20" t="s">
        <v>4710</v>
      </c>
      <c r="BL223" s="58" t="s">
        <v>4711</v>
      </c>
      <c r="BM223" s="7" t="s">
        <v>1637</v>
      </c>
      <c r="BN223" s="22" t="s">
        <v>511</v>
      </c>
      <c r="BO223" s="49">
        <v>35540</v>
      </c>
      <c r="BP223" s="17" t="s">
        <v>96</v>
      </c>
      <c r="BQ223" s="17" t="s">
        <v>1633</v>
      </c>
      <c r="BR223" s="18" t="s">
        <v>118</v>
      </c>
      <c r="BS223" s="7" t="s">
        <v>503</v>
      </c>
      <c r="BT223" s="7" t="s">
        <v>328</v>
      </c>
      <c r="BU223" s="7" t="s">
        <v>4712</v>
      </c>
      <c r="BV223" s="8" t="s">
        <v>127</v>
      </c>
      <c r="BW223" s="23" t="s">
        <v>127</v>
      </c>
      <c r="BX223" s="24" t="s">
        <v>4713</v>
      </c>
      <c r="BY223" s="21" t="s">
        <v>127</v>
      </c>
      <c r="BZ223" s="21" t="s">
        <v>127</v>
      </c>
      <c r="CA223" s="21"/>
      <c r="CB223" s="21"/>
      <c r="CC223" s="21"/>
      <c r="CD223" s="21"/>
      <c r="CE223" s="21" t="s">
        <v>108</v>
      </c>
      <c r="CF223" s="21"/>
      <c r="CG223" s="21" t="s">
        <v>127</v>
      </c>
      <c r="CH223" s="21" t="s">
        <v>127</v>
      </c>
      <c r="CI223" s="21" t="s">
        <v>127</v>
      </c>
      <c r="CJ223" s="21" t="s">
        <v>127</v>
      </c>
      <c r="CK223" s="21" t="s">
        <v>127</v>
      </c>
      <c r="CL223" s="21" t="s">
        <v>127</v>
      </c>
      <c r="CM223" s="25"/>
      <c r="CN223" s="25"/>
      <c r="CO223" s="25"/>
      <c r="CP223" s="26"/>
    </row>
    <row r="224" spans="1:97" s="87" customFormat="1" ht="23.25" customHeight="1">
      <c r="A224" s="175">
        <v>173</v>
      </c>
      <c r="B224" s="61"/>
      <c r="C224" s="61"/>
      <c r="D224" s="61"/>
      <c r="E224" s="61"/>
      <c r="F224" s="61"/>
      <c r="G224" s="61"/>
      <c r="H224" s="62"/>
      <c r="I224" s="61" t="s">
        <v>4774</v>
      </c>
      <c r="J224" s="63" t="s">
        <v>11385</v>
      </c>
      <c r="K224" s="63" t="s">
        <v>11386</v>
      </c>
      <c r="L224" s="64"/>
      <c r="M224" s="62">
        <v>2204</v>
      </c>
      <c r="N224" s="62" t="s">
        <v>11303</v>
      </c>
      <c r="O224" s="65" t="s">
        <v>11304</v>
      </c>
      <c r="P224" s="66" t="s">
        <v>11305</v>
      </c>
      <c r="Q224" s="391" t="s">
        <v>4756</v>
      </c>
      <c r="R224" s="64" t="s">
        <v>4844</v>
      </c>
      <c r="S224" s="212" t="s">
        <v>12142</v>
      </c>
      <c r="T224" s="64" t="s">
        <v>4757</v>
      </c>
      <c r="U224" s="67" t="s">
        <v>172</v>
      </c>
      <c r="V224" s="68" t="s">
        <v>1967</v>
      </c>
      <c r="W224" s="69">
        <v>42881</v>
      </c>
      <c r="X224" s="62" t="s">
        <v>4758</v>
      </c>
      <c r="Y224" s="62" t="s">
        <v>95</v>
      </c>
      <c r="Z224" s="14"/>
      <c r="AA224" s="62" t="s">
        <v>96</v>
      </c>
      <c r="AB224" s="62" t="s">
        <v>97</v>
      </c>
      <c r="AC224" s="70" t="s">
        <v>11387</v>
      </c>
      <c r="AD224" s="133">
        <v>5</v>
      </c>
      <c r="AE224" s="64">
        <v>5</v>
      </c>
      <c r="AF224" s="63" t="s">
        <v>1395</v>
      </c>
      <c r="AG224" s="63" t="s">
        <v>140</v>
      </c>
      <c r="AH224" s="63" t="s">
        <v>141</v>
      </c>
      <c r="AI224" s="63"/>
      <c r="AJ224" s="63" t="s">
        <v>142</v>
      </c>
      <c r="AK224" s="63"/>
      <c r="AL224" s="176"/>
      <c r="AM224" s="71" t="s">
        <v>11306</v>
      </c>
      <c r="AN224" s="63" t="s">
        <v>11306</v>
      </c>
      <c r="AO224" s="64">
        <v>1</v>
      </c>
      <c r="AP224" s="64">
        <v>2</v>
      </c>
      <c r="AQ224" s="64">
        <v>0</v>
      </c>
      <c r="AR224" s="134">
        <v>0</v>
      </c>
      <c r="AS224" s="133">
        <v>26.7</v>
      </c>
      <c r="AT224" s="134">
        <v>120.5</v>
      </c>
      <c r="AU224" s="134"/>
      <c r="AV224" s="73" t="s">
        <v>4760</v>
      </c>
      <c r="AW224" s="135" t="s">
        <v>549</v>
      </c>
      <c r="AX224" s="63" t="s">
        <v>114</v>
      </c>
      <c r="AY224" s="74" t="s">
        <v>4761</v>
      </c>
      <c r="AZ224" s="177" t="s">
        <v>11307</v>
      </c>
      <c r="BA224" s="75" t="s">
        <v>1967</v>
      </c>
      <c r="BB224" s="75">
        <v>32827</v>
      </c>
      <c r="BC224" s="76" t="s">
        <v>96</v>
      </c>
      <c r="BD224" s="77" t="s">
        <v>11306</v>
      </c>
      <c r="BE224" s="63" t="s">
        <v>118</v>
      </c>
      <c r="BF224" s="63" t="s">
        <v>471</v>
      </c>
      <c r="BG224" s="63" t="s">
        <v>4762</v>
      </c>
      <c r="BH224" s="78" t="s">
        <v>4763</v>
      </c>
      <c r="BI224" s="79" t="s">
        <v>4764</v>
      </c>
      <c r="BJ224" s="80">
        <v>6000000</v>
      </c>
      <c r="BK224" s="81" t="s">
        <v>4765</v>
      </c>
      <c r="BL224" s="82" t="s">
        <v>4766</v>
      </c>
      <c r="BM224" s="77" t="s">
        <v>11308</v>
      </c>
      <c r="BN224" s="145" t="s">
        <v>1967</v>
      </c>
      <c r="BO224" s="75">
        <v>33244</v>
      </c>
      <c r="BP224" s="76" t="s">
        <v>96</v>
      </c>
      <c r="BQ224" s="77" t="s">
        <v>4830</v>
      </c>
      <c r="BR224" s="63" t="s">
        <v>118</v>
      </c>
      <c r="BS224" s="63" t="s">
        <v>471</v>
      </c>
      <c r="BT224" s="64" t="s">
        <v>4767</v>
      </c>
      <c r="BU224" s="64" t="s">
        <v>4768</v>
      </c>
      <c r="BV224" s="79"/>
      <c r="BW224" s="83">
        <v>14000000</v>
      </c>
      <c r="BX224" s="83" t="s">
        <v>4769</v>
      </c>
      <c r="BY224" s="83" t="s">
        <v>4770</v>
      </c>
      <c r="BZ224" s="83" t="s">
        <v>1967</v>
      </c>
      <c r="CA224" s="83">
        <v>24900</v>
      </c>
      <c r="CB224" s="83"/>
      <c r="CC224" s="83" t="s">
        <v>11309</v>
      </c>
      <c r="CD224" s="83" t="s">
        <v>118</v>
      </c>
      <c r="CE224" s="83" t="s">
        <v>4771</v>
      </c>
      <c r="CF224" s="83" t="s">
        <v>96</v>
      </c>
      <c r="CG224" s="83" t="s">
        <v>4772</v>
      </c>
      <c r="CH224" s="83"/>
      <c r="CI224" s="83"/>
      <c r="CJ224" s="83"/>
      <c r="CK224" s="83"/>
      <c r="CL224" s="84" t="s">
        <v>4773</v>
      </c>
      <c r="CN224" s="85"/>
      <c r="CO224" s="85"/>
      <c r="CP224" s="85"/>
      <c r="CQ224" s="85"/>
      <c r="CR224" s="85"/>
      <c r="CS224" s="86"/>
    </row>
    <row r="225" spans="1:94" s="27" customFormat="1" ht="23.25" customHeight="1">
      <c r="A225" s="4">
        <v>148</v>
      </c>
      <c r="B225" s="6"/>
      <c r="C225" s="6"/>
      <c r="D225" s="6"/>
      <c r="E225" s="6"/>
      <c r="F225" s="6"/>
      <c r="G225" s="6"/>
      <c r="H225" s="5" t="s">
        <v>85</v>
      </c>
      <c r="I225" s="6" t="s">
        <v>86</v>
      </c>
      <c r="J225" s="7" t="s">
        <v>513</v>
      </c>
      <c r="K225" s="7" t="s">
        <v>772</v>
      </c>
      <c r="L225" s="8"/>
      <c r="M225" s="5">
        <v>1963</v>
      </c>
      <c r="N225" s="5">
        <v>3177402178</v>
      </c>
      <c r="O225" s="5" t="s">
        <v>773</v>
      </c>
      <c r="P225" s="10" t="s">
        <v>774</v>
      </c>
      <c r="Q225" s="389" t="s">
        <v>775</v>
      </c>
      <c r="R225" s="64" t="s">
        <v>4844</v>
      </c>
      <c r="S225" s="212" t="s">
        <v>12142</v>
      </c>
      <c r="T225" s="8" t="s">
        <v>776</v>
      </c>
      <c r="U225" s="11" t="s">
        <v>93</v>
      </c>
      <c r="V225" s="12" t="s">
        <v>94</v>
      </c>
      <c r="W225" s="13">
        <v>42873</v>
      </c>
      <c r="X225" s="13" t="str">
        <f ca="1">""&amp;DATEDIF(W225,TODAY(),"y")&amp;" Th, "&amp;DATEDIF(W225,TODAY(),"ym")&amp;" Bln"</f>
        <v>9 Th, 3 Bln</v>
      </c>
      <c r="Y225" s="5" t="s">
        <v>95</v>
      </c>
      <c r="Z225" s="14"/>
      <c r="AA225" s="5" t="s">
        <v>96</v>
      </c>
      <c r="AB225" s="5" t="s">
        <v>97</v>
      </c>
      <c r="AC225" s="7" t="s">
        <v>777</v>
      </c>
      <c r="AD225" s="131">
        <v>4</v>
      </c>
      <c r="AE225" s="131">
        <v>11</v>
      </c>
      <c r="AF225" s="7" t="s">
        <v>521</v>
      </c>
      <c r="AG225" s="7" t="s">
        <v>178</v>
      </c>
      <c r="AH225" s="7" t="s">
        <v>178</v>
      </c>
      <c r="AI225" s="7"/>
      <c r="AJ225" s="7" t="s">
        <v>103</v>
      </c>
      <c r="AK225" s="7" t="s">
        <v>104</v>
      </c>
      <c r="AL225" s="7" t="s">
        <v>127</v>
      </c>
      <c r="AM225" s="15" t="s">
        <v>778</v>
      </c>
      <c r="AN225" s="15" t="s">
        <v>779</v>
      </c>
      <c r="AO225" s="8"/>
      <c r="AP225" s="8" t="s">
        <v>107</v>
      </c>
      <c r="AQ225" s="8" t="s">
        <v>146</v>
      </c>
      <c r="AR225" s="8" t="s">
        <v>108</v>
      </c>
      <c r="AS225" s="132">
        <v>17</v>
      </c>
      <c r="AT225" s="131">
        <v>116</v>
      </c>
      <c r="AU225" s="132" t="s">
        <v>182</v>
      </c>
      <c r="AV225" s="16" t="s">
        <v>112</v>
      </c>
      <c r="AW225" s="56" t="s">
        <v>549</v>
      </c>
      <c r="AX225" s="56" t="s">
        <v>183</v>
      </c>
      <c r="AY225" s="7" t="s">
        <v>780</v>
      </c>
      <c r="AZ225" s="10" t="s">
        <v>781</v>
      </c>
      <c r="BA225" s="7" t="s">
        <v>263</v>
      </c>
      <c r="BB225" s="52">
        <v>30400</v>
      </c>
      <c r="BC225" s="17" t="s">
        <v>96</v>
      </c>
      <c r="BD225" s="18" t="s">
        <v>778</v>
      </c>
      <c r="BE225" s="7" t="s">
        <v>216</v>
      </c>
      <c r="BF225" s="7" t="s">
        <v>276</v>
      </c>
      <c r="BG225" s="7" t="s">
        <v>782</v>
      </c>
      <c r="BH225" s="7" t="s">
        <v>783</v>
      </c>
      <c r="BI225" s="19" t="s">
        <v>784</v>
      </c>
      <c r="BJ225" s="20" t="s">
        <v>785</v>
      </c>
      <c r="BK225" s="21" t="s">
        <v>786</v>
      </c>
      <c r="BL225" s="7" t="s">
        <v>787</v>
      </c>
      <c r="BM225" s="22" t="s">
        <v>788</v>
      </c>
      <c r="BN225" s="8" t="s">
        <v>789</v>
      </c>
      <c r="BO225" s="49">
        <v>30415</v>
      </c>
      <c r="BP225" s="17" t="s">
        <v>96</v>
      </c>
      <c r="BQ225" s="18" t="s">
        <v>779</v>
      </c>
      <c r="BR225" s="7" t="s">
        <v>118</v>
      </c>
      <c r="BS225" s="7" t="s">
        <v>790</v>
      </c>
      <c r="BT225" s="7" t="s">
        <v>127</v>
      </c>
      <c r="BU225" s="8" t="s">
        <v>127</v>
      </c>
      <c r="BV225" s="23" t="s">
        <v>127</v>
      </c>
      <c r="BW225" s="24" t="s">
        <v>127</v>
      </c>
      <c r="BX225" s="21" t="s">
        <v>791</v>
      </c>
      <c r="BY225" s="21" t="s">
        <v>108</v>
      </c>
      <c r="BZ225" s="21" t="s">
        <v>108</v>
      </c>
      <c r="CA225" s="21"/>
      <c r="CB225" s="21"/>
      <c r="CC225" s="21"/>
      <c r="CD225" s="21" t="s">
        <v>108</v>
      </c>
      <c r="CE225" s="21" t="s">
        <v>108</v>
      </c>
      <c r="CF225" s="21"/>
      <c r="CG225" s="21" t="s">
        <v>108</v>
      </c>
      <c r="CH225" s="21"/>
      <c r="CI225" s="21"/>
      <c r="CJ225" s="21"/>
      <c r="CK225" s="21"/>
      <c r="CL225" s="21"/>
      <c r="CM225" s="25"/>
      <c r="CN225" s="25"/>
      <c r="CO225" s="25"/>
      <c r="CP225" s="26"/>
    </row>
    <row r="226" spans="1:94" s="27" customFormat="1" ht="23.25" customHeight="1">
      <c r="A226" s="4">
        <v>175</v>
      </c>
      <c r="B226" s="6"/>
      <c r="C226" s="6"/>
      <c r="D226" s="6"/>
      <c r="E226" s="6"/>
      <c r="F226" s="6"/>
      <c r="G226" s="6"/>
      <c r="H226" s="5" t="s">
        <v>85</v>
      </c>
      <c r="I226" s="6" t="s">
        <v>86</v>
      </c>
      <c r="J226" s="7" t="s">
        <v>1366</v>
      </c>
      <c r="K226" s="7" t="s">
        <v>1367</v>
      </c>
      <c r="L226" s="8"/>
      <c r="M226" s="5">
        <v>1970</v>
      </c>
      <c r="N226" s="5">
        <v>3176097254</v>
      </c>
      <c r="O226" s="5" t="s">
        <v>1368</v>
      </c>
      <c r="P226" s="10" t="s">
        <v>1369</v>
      </c>
      <c r="Q226" s="389" t="s">
        <v>1370</v>
      </c>
      <c r="R226" s="64" t="s">
        <v>4844</v>
      </c>
      <c r="S226" s="212" t="s">
        <v>12142</v>
      </c>
      <c r="T226" s="8" t="s">
        <v>1371</v>
      </c>
      <c r="U226" s="11" t="s">
        <v>172</v>
      </c>
      <c r="V226" s="12" t="s">
        <v>1372</v>
      </c>
      <c r="W226" s="13">
        <v>42820</v>
      </c>
      <c r="X226" s="13" t="str">
        <f ca="1">""&amp;DATEDIF(W226,TODAY(),"y")&amp;" Th, "&amp;DATEDIF(W226,TODAY(),"ym")&amp;" Bln"</f>
        <v>9 Th, 5 Bln</v>
      </c>
      <c r="Y226" s="5" t="s">
        <v>95</v>
      </c>
      <c r="Z226" s="14"/>
      <c r="AA226" s="5" t="s">
        <v>96</v>
      </c>
      <c r="AB226" s="5" t="s">
        <v>97</v>
      </c>
      <c r="AC226" s="7" t="s">
        <v>1373</v>
      </c>
      <c r="AD226" s="131">
        <v>2</v>
      </c>
      <c r="AE226" s="131">
        <v>7</v>
      </c>
      <c r="AF226" s="7" t="s">
        <v>686</v>
      </c>
      <c r="AG226" s="7" t="s">
        <v>687</v>
      </c>
      <c r="AH226" s="7" t="s">
        <v>141</v>
      </c>
      <c r="AI226" s="7"/>
      <c r="AJ226" s="7" t="s">
        <v>1374</v>
      </c>
      <c r="AK226" s="7" t="s">
        <v>104</v>
      </c>
      <c r="AL226" s="7" t="s">
        <v>461</v>
      </c>
      <c r="AM226" s="15" t="s">
        <v>1375</v>
      </c>
      <c r="AN226" s="15" t="s">
        <v>1375</v>
      </c>
      <c r="AO226" s="8"/>
      <c r="AP226" s="8" t="s">
        <v>146</v>
      </c>
      <c r="AQ226" s="8" t="s">
        <v>146</v>
      </c>
      <c r="AR226" s="8" t="s">
        <v>108</v>
      </c>
      <c r="AS226" s="132">
        <v>27</v>
      </c>
      <c r="AT226" s="131">
        <v>120</v>
      </c>
      <c r="AU226" s="132" t="s">
        <v>182</v>
      </c>
      <c r="AV226" s="16" t="s">
        <v>112</v>
      </c>
      <c r="AW226" s="56" t="s">
        <v>1376</v>
      </c>
      <c r="AX226" s="56" t="s">
        <v>114</v>
      </c>
      <c r="AY226" s="7" t="s">
        <v>1377</v>
      </c>
      <c r="AZ226" s="10" t="s">
        <v>1378</v>
      </c>
      <c r="BA226" s="7" t="s">
        <v>94</v>
      </c>
      <c r="BB226" s="52">
        <v>30500</v>
      </c>
      <c r="BC226" s="17" t="s">
        <v>737</v>
      </c>
      <c r="BD226" s="18" t="s">
        <v>1379</v>
      </c>
      <c r="BE226" s="7" t="s">
        <v>224</v>
      </c>
      <c r="BF226" s="7" t="s">
        <v>1380</v>
      </c>
      <c r="BG226" s="7" t="s">
        <v>226</v>
      </c>
      <c r="BH226" s="7" t="s">
        <v>1381</v>
      </c>
      <c r="BI226" s="19"/>
      <c r="BJ226" s="20" t="s">
        <v>1382</v>
      </c>
      <c r="BK226" s="21" t="s">
        <v>1383</v>
      </c>
      <c r="BL226" s="7" t="s">
        <v>1384</v>
      </c>
      <c r="BM226" s="22" t="s">
        <v>1385</v>
      </c>
      <c r="BN226" s="8" t="s">
        <v>1372</v>
      </c>
      <c r="BO226" s="49">
        <v>32204</v>
      </c>
      <c r="BP226" s="17" t="s">
        <v>96</v>
      </c>
      <c r="BQ226" s="18" t="s">
        <v>1375</v>
      </c>
      <c r="BR226" s="7" t="s">
        <v>153</v>
      </c>
      <c r="BS226" s="7" t="s">
        <v>1380</v>
      </c>
      <c r="BT226" s="7" t="s">
        <v>226</v>
      </c>
      <c r="BU226" s="8" t="s">
        <v>1386</v>
      </c>
      <c r="BV226" s="23"/>
      <c r="BW226" s="24" t="s">
        <v>1382</v>
      </c>
      <c r="BX226" s="21" t="s">
        <v>1387</v>
      </c>
      <c r="BY226" s="21" t="s">
        <v>108</v>
      </c>
      <c r="BZ226" s="21" t="s">
        <v>108</v>
      </c>
      <c r="CA226" s="21"/>
      <c r="CB226" s="21"/>
      <c r="CC226" s="21"/>
      <c r="CD226" s="21" t="s">
        <v>108</v>
      </c>
      <c r="CE226" s="21" t="s">
        <v>108</v>
      </c>
      <c r="CF226" s="21"/>
      <c r="CG226" s="21" t="s">
        <v>108</v>
      </c>
      <c r="CH226" s="21"/>
      <c r="CI226" s="21"/>
      <c r="CJ226" s="21" t="s">
        <v>108</v>
      </c>
      <c r="CK226" s="21" t="s">
        <v>108</v>
      </c>
      <c r="CL226" s="21" t="s">
        <v>108</v>
      </c>
      <c r="CM226" s="25"/>
      <c r="CN226" s="25"/>
      <c r="CO226" s="25"/>
      <c r="CP226" s="26"/>
    </row>
    <row r="227" spans="1:94" s="27" customFormat="1" ht="23.25" customHeight="1">
      <c r="A227" s="4">
        <v>126</v>
      </c>
      <c r="B227" s="6"/>
      <c r="C227" s="6"/>
      <c r="D227" s="6"/>
      <c r="E227" s="6"/>
      <c r="F227" s="6"/>
      <c r="G227" s="6"/>
      <c r="H227" s="5" t="s">
        <v>85</v>
      </c>
      <c r="I227" s="6" t="s">
        <v>86</v>
      </c>
      <c r="J227" s="7" t="s">
        <v>257</v>
      </c>
      <c r="K227" s="7" t="s">
        <v>258</v>
      </c>
      <c r="L227" s="8"/>
      <c r="M227" s="5">
        <v>1975</v>
      </c>
      <c r="N227" s="5">
        <v>3184037121</v>
      </c>
      <c r="O227" s="5" t="s">
        <v>259</v>
      </c>
      <c r="P227" s="10" t="s">
        <v>260</v>
      </c>
      <c r="Q227" s="389" t="s">
        <v>261</v>
      </c>
      <c r="R227" s="64" t="s">
        <v>4844</v>
      </c>
      <c r="S227" s="212" t="s">
        <v>12142</v>
      </c>
      <c r="T227" s="8" t="s">
        <v>262</v>
      </c>
      <c r="U227" s="11" t="s">
        <v>172</v>
      </c>
      <c r="V227" s="12" t="s">
        <v>263</v>
      </c>
      <c r="W227" s="13">
        <v>43148</v>
      </c>
      <c r="X227" s="13" t="str">
        <f ca="1">""&amp;DATEDIF(W227,TODAY(),"y")&amp;" Th, "&amp;DATEDIF(W227,TODAY(),"ym")&amp;" Bln"</f>
        <v>8 Th, 6 Bln</v>
      </c>
      <c r="Y227" s="5" t="s">
        <v>95</v>
      </c>
      <c r="Z227" s="14" t="s">
        <v>127</v>
      </c>
      <c r="AA227" s="5" t="s">
        <v>96</v>
      </c>
      <c r="AB227" s="5" t="s">
        <v>97</v>
      </c>
      <c r="AC227" s="7" t="s">
        <v>264</v>
      </c>
      <c r="AD227" s="131" t="s">
        <v>265</v>
      </c>
      <c r="AE227" s="131" t="s">
        <v>176</v>
      </c>
      <c r="AF227" s="7" t="s">
        <v>266</v>
      </c>
      <c r="AG227" s="7" t="s">
        <v>267</v>
      </c>
      <c r="AH227" s="7" t="s">
        <v>141</v>
      </c>
      <c r="AI227" s="7"/>
      <c r="AJ227" s="7" t="s">
        <v>268</v>
      </c>
      <c r="AK227" s="7" t="s">
        <v>179</v>
      </c>
      <c r="AL227" s="7" t="s">
        <v>269</v>
      </c>
      <c r="AM227" s="15" t="s">
        <v>270</v>
      </c>
      <c r="AN227" s="15" t="s">
        <v>270</v>
      </c>
      <c r="AO227" s="8"/>
      <c r="AP227" s="8" t="s">
        <v>146</v>
      </c>
      <c r="AQ227" s="8" t="s">
        <v>107</v>
      </c>
      <c r="AR227" s="8" t="s">
        <v>127</v>
      </c>
      <c r="AS227" s="132" t="s">
        <v>271</v>
      </c>
      <c r="AT227" s="131" t="s">
        <v>272</v>
      </c>
      <c r="AU227" s="132" t="s">
        <v>111</v>
      </c>
      <c r="AV227" s="16" t="s">
        <v>112</v>
      </c>
      <c r="AW227" s="56" t="s">
        <v>150</v>
      </c>
      <c r="AX227" s="56" t="s">
        <v>273</v>
      </c>
      <c r="AY227" s="7" t="s">
        <v>274</v>
      </c>
      <c r="AZ227" s="10" t="s">
        <v>275</v>
      </c>
      <c r="BA227" s="7" t="s">
        <v>94</v>
      </c>
      <c r="BB227" s="52">
        <v>33067</v>
      </c>
      <c r="BC227" s="17" t="s">
        <v>96</v>
      </c>
      <c r="BD227" s="18" t="s">
        <v>270</v>
      </c>
      <c r="BE227" s="7" t="s">
        <v>216</v>
      </c>
      <c r="BF227" s="7" t="s">
        <v>276</v>
      </c>
      <c r="BG227" s="7" t="s">
        <v>277</v>
      </c>
      <c r="BH227" s="7" t="s">
        <v>278</v>
      </c>
      <c r="BI227" s="19" t="s">
        <v>279</v>
      </c>
      <c r="BJ227" s="20" t="s">
        <v>280</v>
      </c>
      <c r="BK227" s="21" t="s">
        <v>281</v>
      </c>
      <c r="BL227" s="7" t="s">
        <v>282</v>
      </c>
      <c r="BM227" s="22" t="s">
        <v>283</v>
      </c>
      <c r="BN227" s="8" t="s">
        <v>284</v>
      </c>
      <c r="BO227" s="49">
        <v>34447</v>
      </c>
      <c r="BP227" s="17" t="s">
        <v>96</v>
      </c>
      <c r="BQ227" s="18" t="s">
        <v>285</v>
      </c>
      <c r="BR227" s="7" t="s">
        <v>216</v>
      </c>
      <c r="BS227" s="7" t="s">
        <v>126</v>
      </c>
      <c r="BT227" s="7" t="s">
        <v>162</v>
      </c>
      <c r="BU227" s="8" t="s">
        <v>127</v>
      </c>
      <c r="BV227" s="23" t="s">
        <v>127</v>
      </c>
      <c r="BW227" s="24" t="s">
        <v>127</v>
      </c>
      <c r="BX227" s="21" t="s">
        <v>286</v>
      </c>
      <c r="BY227" s="21" t="s">
        <v>108</v>
      </c>
      <c r="BZ227" s="21" t="s">
        <v>108</v>
      </c>
      <c r="CA227" s="21"/>
      <c r="CB227" s="21"/>
      <c r="CC227" s="21"/>
      <c r="CD227" s="21" t="s">
        <v>108</v>
      </c>
      <c r="CE227" s="21" t="s">
        <v>108</v>
      </c>
      <c r="CF227" s="21"/>
      <c r="CG227" s="21" t="s">
        <v>108</v>
      </c>
      <c r="CH227" s="21"/>
      <c r="CI227" s="21"/>
      <c r="CJ227" s="21" t="s">
        <v>108</v>
      </c>
      <c r="CK227" s="21" t="s">
        <v>108</v>
      </c>
      <c r="CL227" s="21" t="s">
        <v>108</v>
      </c>
      <c r="CM227" s="25"/>
      <c r="CN227" s="25"/>
      <c r="CO227" s="25"/>
      <c r="CP227" s="26"/>
    </row>
    <row r="228" spans="1:94" s="27" customFormat="1" ht="23.25" customHeight="1">
      <c r="A228" s="4">
        <v>177</v>
      </c>
      <c r="B228" s="6"/>
      <c r="C228" s="6"/>
      <c r="D228" s="6"/>
      <c r="E228" s="6"/>
      <c r="F228" s="6"/>
      <c r="G228" s="6"/>
      <c r="H228" s="5" t="s">
        <v>85</v>
      </c>
      <c r="I228" s="6" t="s">
        <v>86</v>
      </c>
      <c r="J228" s="7" t="s">
        <v>1409</v>
      </c>
      <c r="K228" s="7" t="s">
        <v>1410</v>
      </c>
      <c r="L228" s="8"/>
      <c r="M228" s="5">
        <v>1979</v>
      </c>
      <c r="N228" s="5">
        <v>3184732990</v>
      </c>
      <c r="O228" s="5" t="s">
        <v>1411</v>
      </c>
      <c r="P228" s="10" t="s">
        <v>1412</v>
      </c>
      <c r="Q228" s="389" t="s">
        <v>1413</v>
      </c>
      <c r="R228" s="64" t="s">
        <v>4844</v>
      </c>
      <c r="S228" s="212" t="s">
        <v>12142</v>
      </c>
      <c r="T228" s="8" t="s">
        <v>1414</v>
      </c>
      <c r="U228" s="11" t="s">
        <v>93</v>
      </c>
      <c r="V228" s="12" t="s">
        <v>222</v>
      </c>
      <c r="W228" s="13">
        <v>43113</v>
      </c>
      <c r="X228" s="13" t="str">
        <f ca="1">""&amp;DATEDIF(W228,TODAY(),"y")&amp;" Th, "&amp;DATEDIF(W228,TODAY(),"ym")&amp;" Bln"</f>
        <v>8 Th, 8 Bln</v>
      </c>
      <c r="Y228" s="5" t="s">
        <v>95</v>
      </c>
      <c r="Z228" s="14"/>
      <c r="AA228" s="5" t="s">
        <v>96</v>
      </c>
      <c r="AB228" s="5" t="s">
        <v>97</v>
      </c>
      <c r="AC228" s="7" t="s">
        <v>1415</v>
      </c>
      <c r="AD228" s="131">
        <v>12</v>
      </c>
      <c r="AE228" s="131">
        <v>7</v>
      </c>
      <c r="AF228" s="7" t="s">
        <v>1174</v>
      </c>
      <c r="AG228" s="7" t="s">
        <v>241</v>
      </c>
      <c r="AH228" s="7" t="s">
        <v>241</v>
      </c>
      <c r="AI228" s="7"/>
      <c r="AJ228" s="7" t="s">
        <v>103</v>
      </c>
      <c r="AK228" s="7" t="s">
        <v>179</v>
      </c>
      <c r="AL228" s="7" t="s">
        <v>1416</v>
      </c>
      <c r="AM228" s="15" t="s">
        <v>147</v>
      </c>
      <c r="AN228" s="15" t="s">
        <v>1417</v>
      </c>
      <c r="AO228" s="8"/>
      <c r="AP228" s="8" t="s">
        <v>107</v>
      </c>
      <c r="AQ228" s="8" t="s">
        <v>107</v>
      </c>
      <c r="AR228" s="8" t="s">
        <v>108</v>
      </c>
      <c r="AS228" s="132" t="s">
        <v>1418</v>
      </c>
      <c r="AT228" s="131" t="s">
        <v>1419</v>
      </c>
      <c r="AU228" s="132" t="s">
        <v>111</v>
      </c>
      <c r="AV228" s="16" t="s">
        <v>112</v>
      </c>
      <c r="AW228" s="56" t="s">
        <v>162</v>
      </c>
      <c r="AX228" s="56" t="s">
        <v>644</v>
      </c>
      <c r="AY228" s="7" t="s">
        <v>1420</v>
      </c>
      <c r="AZ228" s="10" t="s">
        <v>1421</v>
      </c>
      <c r="BA228" s="7" t="s">
        <v>395</v>
      </c>
      <c r="BB228" s="52">
        <v>32264</v>
      </c>
      <c r="BC228" s="17" t="s">
        <v>96</v>
      </c>
      <c r="BD228" s="18" t="s">
        <v>1422</v>
      </c>
      <c r="BE228" s="7" t="s">
        <v>118</v>
      </c>
      <c r="BF228" s="7" t="s">
        <v>276</v>
      </c>
      <c r="BG228" s="7" t="s">
        <v>1423</v>
      </c>
      <c r="BH228" s="7" t="s">
        <v>1424</v>
      </c>
      <c r="BI228" s="19"/>
      <c r="BJ228" s="20" t="s">
        <v>122</v>
      </c>
      <c r="BK228" s="21" t="s">
        <v>1425</v>
      </c>
      <c r="BL228" s="7" t="s">
        <v>1426</v>
      </c>
      <c r="BM228" s="22">
        <v>3517036809870010</v>
      </c>
      <c r="BN228" s="8" t="s">
        <v>1427</v>
      </c>
      <c r="BO228" s="49">
        <v>32048</v>
      </c>
      <c r="BP228" s="17" t="s">
        <v>96</v>
      </c>
      <c r="BQ228" s="18" t="s">
        <v>1417</v>
      </c>
      <c r="BR228" s="7" t="s">
        <v>153</v>
      </c>
      <c r="BS228" s="7" t="s">
        <v>247</v>
      </c>
      <c r="BT228" s="7" t="s">
        <v>1428</v>
      </c>
      <c r="BU228" s="8" t="s">
        <v>1429</v>
      </c>
      <c r="BV228" s="23"/>
      <c r="BW228" s="24" t="s">
        <v>250</v>
      </c>
      <c r="BX228" s="21" t="s">
        <v>1430</v>
      </c>
      <c r="BY228" s="21" t="s">
        <v>108</v>
      </c>
      <c r="BZ228" s="21" t="s">
        <v>108</v>
      </c>
      <c r="CA228" s="21"/>
      <c r="CB228" s="21"/>
      <c r="CC228" s="21"/>
      <c r="CD228" s="21" t="s">
        <v>108</v>
      </c>
      <c r="CE228" s="21" t="s">
        <v>108</v>
      </c>
      <c r="CF228" s="21"/>
      <c r="CG228" s="21" t="s">
        <v>108</v>
      </c>
      <c r="CH228" s="21"/>
      <c r="CI228" s="21"/>
      <c r="CJ228" s="21" t="s">
        <v>108</v>
      </c>
      <c r="CK228" s="21" t="s">
        <v>108</v>
      </c>
      <c r="CL228" s="21" t="s">
        <v>108</v>
      </c>
      <c r="CM228" s="25"/>
      <c r="CN228" s="25"/>
      <c r="CO228" s="25"/>
      <c r="CP228" s="26"/>
    </row>
    <row r="229" spans="1:94" s="27" customFormat="1" ht="23.25" customHeight="1">
      <c r="A229" s="4">
        <v>127</v>
      </c>
      <c r="B229" s="6"/>
      <c r="C229" s="6"/>
      <c r="D229" s="6"/>
      <c r="E229" s="6"/>
      <c r="F229" s="6"/>
      <c r="G229" s="6"/>
      <c r="H229" s="5" t="s">
        <v>85</v>
      </c>
      <c r="I229" s="6" t="s">
        <v>86</v>
      </c>
      <c r="J229" s="7" t="s">
        <v>287</v>
      </c>
      <c r="K229" s="7" t="s">
        <v>288</v>
      </c>
      <c r="L229" s="8"/>
      <c r="M229" s="5">
        <v>1981</v>
      </c>
      <c r="N229" s="10">
        <v>3182583398</v>
      </c>
      <c r="O229" s="10" t="s">
        <v>289</v>
      </c>
      <c r="P229" s="10" t="s">
        <v>290</v>
      </c>
      <c r="Q229" s="389" t="s">
        <v>291</v>
      </c>
      <c r="R229" s="64" t="s">
        <v>4844</v>
      </c>
      <c r="S229" s="212" t="s">
        <v>12142</v>
      </c>
      <c r="T229" s="8" t="s">
        <v>292</v>
      </c>
      <c r="U229" s="11" t="s">
        <v>93</v>
      </c>
      <c r="V229" s="12" t="s">
        <v>94</v>
      </c>
      <c r="W229" s="13">
        <v>43155</v>
      </c>
      <c r="X229" s="13" t="str">
        <f ca="1">""&amp;DATEDIF(W229,TODAY(),"y")&amp;" Th, "&amp;DATEDIF(W229,TODAY(),"ym")&amp;" Bln"</f>
        <v>8 Th, 6 Bln</v>
      </c>
      <c r="Y229" s="5" t="s">
        <v>95</v>
      </c>
      <c r="Z229" s="14"/>
      <c r="AA229" s="5" t="s">
        <v>96</v>
      </c>
      <c r="AB229" s="5" t="s">
        <v>97</v>
      </c>
      <c r="AC229" s="7" t="s">
        <v>2446</v>
      </c>
      <c r="AD229" s="131" t="s">
        <v>293</v>
      </c>
      <c r="AE229" s="131" t="s">
        <v>294</v>
      </c>
      <c r="AF229" s="7" t="s">
        <v>295</v>
      </c>
      <c r="AG229" s="7" t="s">
        <v>178</v>
      </c>
      <c r="AH229" s="7" t="s">
        <v>178</v>
      </c>
      <c r="AI229" s="7"/>
      <c r="AJ229" s="7" t="s">
        <v>94</v>
      </c>
      <c r="AK229" s="7" t="s">
        <v>104</v>
      </c>
      <c r="AL229" s="7" t="s">
        <v>296</v>
      </c>
      <c r="AM229" s="15" t="s">
        <v>162</v>
      </c>
      <c r="AN229" s="15" t="s">
        <v>297</v>
      </c>
      <c r="AO229" s="8"/>
      <c r="AP229" s="8" t="s">
        <v>298</v>
      </c>
      <c r="AQ229" s="8" t="s">
        <v>107</v>
      </c>
      <c r="AR229" s="8" t="s">
        <v>108</v>
      </c>
      <c r="AS229" s="132" t="s">
        <v>299</v>
      </c>
      <c r="AT229" s="131" t="s">
        <v>300</v>
      </c>
      <c r="AU229" s="132" t="s">
        <v>149</v>
      </c>
      <c r="AV229" s="16" t="s">
        <v>112</v>
      </c>
      <c r="AW229" s="56" t="s">
        <v>113</v>
      </c>
      <c r="AX229" s="56" t="s">
        <v>114</v>
      </c>
      <c r="AY229" s="7" t="s">
        <v>301</v>
      </c>
      <c r="AZ229" s="10" t="s">
        <v>302</v>
      </c>
      <c r="BA229" s="7" t="s">
        <v>94</v>
      </c>
      <c r="BB229" s="52">
        <v>31999</v>
      </c>
      <c r="BC229" s="17" t="s">
        <v>96</v>
      </c>
      <c r="BD229" s="18" t="s">
        <v>303</v>
      </c>
      <c r="BE229" s="7" t="s">
        <v>118</v>
      </c>
      <c r="BF229" s="7" t="s">
        <v>195</v>
      </c>
      <c r="BG229" s="7" t="s">
        <v>304</v>
      </c>
      <c r="BH229" s="7" t="s">
        <v>305</v>
      </c>
      <c r="BI229" s="19"/>
      <c r="BJ229" s="20" t="s">
        <v>306</v>
      </c>
      <c r="BK229" s="21" t="s">
        <v>307</v>
      </c>
      <c r="BL229" s="7" t="s">
        <v>308</v>
      </c>
      <c r="BM229" s="22" t="s">
        <v>309</v>
      </c>
      <c r="BN229" s="8" t="s">
        <v>94</v>
      </c>
      <c r="BO229" s="49">
        <v>31832</v>
      </c>
      <c r="BP229" s="17" t="s">
        <v>96</v>
      </c>
      <c r="BQ229" s="18" t="s">
        <v>297</v>
      </c>
      <c r="BR229" s="7" t="s">
        <v>216</v>
      </c>
      <c r="BS229" s="7" t="s">
        <v>126</v>
      </c>
      <c r="BT229" s="7" t="s">
        <v>162</v>
      </c>
      <c r="BU229" s="8" t="s">
        <v>162</v>
      </c>
      <c r="BV229" s="23"/>
      <c r="BW229" s="24" t="s">
        <v>163</v>
      </c>
      <c r="BX229" s="21" t="s">
        <v>310</v>
      </c>
      <c r="BY229" s="21" t="s">
        <v>108</v>
      </c>
      <c r="BZ229" s="21" t="s">
        <v>108</v>
      </c>
      <c r="CA229" s="21"/>
      <c r="CB229" s="21"/>
      <c r="CC229" s="21"/>
      <c r="CD229" s="21" t="s">
        <v>108</v>
      </c>
      <c r="CE229" s="21" t="s">
        <v>108</v>
      </c>
      <c r="CF229" s="21"/>
      <c r="CG229" s="21" t="s">
        <v>108</v>
      </c>
      <c r="CH229" s="21"/>
      <c r="CI229" s="21"/>
      <c r="CJ229" s="21" t="s">
        <v>108</v>
      </c>
      <c r="CK229" s="21" t="s">
        <v>108</v>
      </c>
      <c r="CL229" s="21" t="s">
        <v>108</v>
      </c>
      <c r="CM229" s="25"/>
      <c r="CN229" s="25"/>
      <c r="CO229" s="25"/>
      <c r="CP229" s="26"/>
    </row>
    <row r="230" spans="1:94" s="87" customFormat="1" ht="23.25" customHeight="1">
      <c r="A230" s="175">
        <v>130</v>
      </c>
      <c r="B230" s="61"/>
      <c r="C230" s="61"/>
      <c r="D230" s="61"/>
      <c r="E230" s="61"/>
      <c r="F230" s="61"/>
      <c r="G230" s="61"/>
      <c r="H230" s="62" t="s">
        <v>11310</v>
      </c>
      <c r="I230" s="61" t="s">
        <v>4774</v>
      </c>
      <c r="J230" s="63" t="s">
        <v>4791</v>
      </c>
      <c r="K230" s="63" t="s">
        <v>4792</v>
      </c>
      <c r="L230" s="64"/>
      <c r="M230" s="178">
        <v>2207</v>
      </c>
      <c r="N230" s="62" t="s">
        <v>11311</v>
      </c>
      <c r="O230" s="65" t="s">
        <v>11312</v>
      </c>
      <c r="P230" s="66" t="s">
        <v>11313</v>
      </c>
      <c r="Q230" s="391" t="s">
        <v>4793</v>
      </c>
      <c r="R230" s="64" t="s">
        <v>4844</v>
      </c>
      <c r="S230" s="212" t="s">
        <v>12142</v>
      </c>
      <c r="T230" s="64" t="s">
        <v>4794</v>
      </c>
      <c r="U230" s="67" t="s">
        <v>172</v>
      </c>
      <c r="V230" s="68" t="s">
        <v>94</v>
      </c>
      <c r="W230" s="69" t="s">
        <v>11314</v>
      </c>
      <c r="X230" s="62" t="s">
        <v>663</v>
      </c>
      <c r="Y230" s="62" t="s">
        <v>95</v>
      </c>
      <c r="Z230" s="14"/>
      <c r="AA230" s="62" t="s">
        <v>96</v>
      </c>
      <c r="AB230" s="62" t="s">
        <v>97</v>
      </c>
      <c r="AC230" s="70" t="s">
        <v>4795</v>
      </c>
      <c r="AD230" s="133">
        <v>2</v>
      </c>
      <c r="AE230" s="64">
        <v>2</v>
      </c>
      <c r="AF230" s="63" t="s">
        <v>1304</v>
      </c>
      <c r="AG230" s="63" t="s">
        <v>241</v>
      </c>
      <c r="AH230" s="63" t="s">
        <v>241</v>
      </c>
      <c r="AI230" s="63"/>
      <c r="AJ230" s="63" t="s">
        <v>103</v>
      </c>
      <c r="AK230" s="63"/>
      <c r="AL230" s="176"/>
      <c r="AM230" s="71"/>
      <c r="AN230" s="63" t="s">
        <v>11315</v>
      </c>
      <c r="AO230" s="64">
        <v>2</v>
      </c>
      <c r="AP230" s="64"/>
      <c r="AQ230" s="64"/>
      <c r="AR230" s="134"/>
      <c r="AS230" s="133">
        <v>23</v>
      </c>
      <c r="AT230" s="134">
        <v>120</v>
      </c>
      <c r="AU230" s="134" t="s">
        <v>498</v>
      </c>
      <c r="AV230" s="73"/>
      <c r="AW230" s="135" t="s">
        <v>549</v>
      </c>
      <c r="AX230" s="63" t="s">
        <v>114</v>
      </c>
      <c r="AY230" s="74" t="s">
        <v>4796</v>
      </c>
      <c r="AZ230" s="177" t="s">
        <v>11316</v>
      </c>
      <c r="BA230" s="75" t="s">
        <v>94</v>
      </c>
      <c r="BB230" s="75" t="s">
        <v>11317</v>
      </c>
      <c r="BC230" s="76" t="s">
        <v>96</v>
      </c>
      <c r="BD230" s="77" t="s">
        <v>11318</v>
      </c>
      <c r="BE230" s="63" t="s">
        <v>118</v>
      </c>
      <c r="BF230" s="63" t="s">
        <v>276</v>
      </c>
      <c r="BG230" s="63" t="s">
        <v>4797</v>
      </c>
      <c r="BH230" s="78" t="s">
        <v>4798</v>
      </c>
      <c r="BI230" s="79"/>
      <c r="BJ230" s="80"/>
      <c r="BK230" s="81"/>
      <c r="BL230" s="82" t="s">
        <v>4799</v>
      </c>
      <c r="BM230" s="77" t="s">
        <v>11319</v>
      </c>
      <c r="BN230" s="145" t="s">
        <v>94</v>
      </c>
      <c r="BO230" s="75" t="s">
        <v>11320</v>
      </c>
      <c r="BP230" s="76" t="s">
        <v>96</v>
      </c>
      <c r="BQ230" s="77" t="s">
        <v>4832</v>
      </c>
      <c r="BR230" s="63" t="s">
        <v>118</v>
      </c>
      <c r="BS230" s="63" t="s">
        <v>119</v>
      </c>
      <c r="BT230" s="64" t="s">
        <v>4800</v>
      </c>
      <c r="BU230" s="64" t="s">
        <v>3761</v>
      </c>
      <c r="BV230" s="79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4"/>
      <c r="CM230" s="85"/>
      <c r="CN230" s="85"/>
      <c r="CO230" s="85"/>
      <c r="CP230" s="86"/>
    </row>
    <row r="231" spans="1:94" s="27" customFormat="1" ht="23.25" customHeight="1">
      <c r="A231" s="4">
        <v>154</v>
      </c>
      <c r="B231" s="6"/>
      <c r="C231" s="6"/>
      <c r="D231" s="6"/>
      <c r="E231" s="6"/>
      <c r="F231" s="6"/>
      <c r="G231" s="6"/>
      <c r="H231" s="5" t="s">
        <v>85</v>
      </c>
      <c r="I231" s="6" t="s">
        <v>86</v>
      </c>
      <c r="J231" s="7" t="s">
        <v>287</v>
      </c>
      <c r="K231" s="7" t="s">
        <v>915</v>
      </c>
      <c r="L231" s="8"/>
      <c r="M231" s="5">
        <v>1994</v>
      </c>
      <c r="N231" s="10">
        <v>3182968934</v>
      </c>
      <c r="O231" s="10" t="s">
        <v>916</v>
      </c>
      <c r="P231" s="10" t="s">
        <v>917</v>
      </c>
      <c r="Q231" s="389" t="s">
        <v>918</v>
      </c>
      <c r="R231" s="64" t="s">
        <v>4844</v>
      </c>
      <c r="S231" s="212" t="s">
        <v>12142</v>
      </c>
      <c r="T231" s="8" t="s">
        <v>919</v>
      </c>
      <c r="U231" s="11" t="s">
        <v>93</v>
      </c>
      <c r="V231" s="12" t="s">
        <v>94</v>
      </c>
      <c r="W231" s="13">
        <v>43246</v>
      </c>
      <c r="X231" s="13" t="str">
        <f ca="1">""&amp;DATEDIF(W231,TODAY(),"y")&amp;" Th, "&amp;DATEDIF(W231,TODAY(),"ym")&amp;" Bln"</f>
        <v>8 Th, 3 Bln</v>
      </c>
      <c r="Y231" s="5" t="s">
        <v>95</v>
      </c>
      <c r="Z231" s="14"/>
      <c r="AA231" s="5" t="s">
        <v>96</v>
      </c>
      <c r="AB231" s="5" t="s">
        <v>97</v>
      </c>
      <c r="AC231" s="7" t="s">
        <v>920</v>
      </c>
      <c r="AD231" s="131">
        <v>2</v>
      </c>
      <c r="AE231" s="131">
        <v>3</v>
      </c>
      <c r="AF231" s="7" t="s">
        <v>921</v>
      </c>
      <c r="AG231" s="7" t="s">
        <v>687</v>
      </c>
      <c r="AH231" s="7" t="s">
        <v>141</v>
      </c>
      <c r="AI231" s="7"/>
      <c r="AJ231" s="7" t="s">
        <v>94</v>
      </c>
      <c r="AK231" s="7" t="s">
        <v>104</v>
      </c>
      <c r="AL231" s="7" t="s">
        <v>665</v>
      </c>
      <c r="AM231" s="15" t="s">
        <v>127</v>
      </c>
      <c r="AN231" s="15" t="s">
        <v>922</v>
      </c>
      <c r="AO231" s="8"/>
      <c r="AP231" s="8" t="s">
        <v>146</v>
      </c>
      <c r="AQ231" s="8" t="s">
        <v>147</v>
      </c>
      <c r="AR231" s="8" t="s">
        <v>147</v>
      </c>
      <c r="AS231" s="132">
        <v>20</v>
      </c>
      <c r="AT231" s="131">
        <v>102</v>
      </c>
      <c r="AU231" s="132" t="s">
        <v>111</v>
      </c>
      <c r="AV231" s="16" t="s">
        <v>112</v>
      </c>
      <c r="AW231" s="56" t="s">
        <v>113</v>
      </c>
      <c r="AX231" s="56" t="s">
        <v>114</v>
      </c>
      <c r="AY231" s="7" t="s">
        <v>923</v>
      </c>
      <c r="AZ231" s="10" t="s">
        <v>924</v>
      </c>
      <c r="BA231" s="7" t="s">
        <v>94</v>
      </c>
      <c r="BB231" s="52">
        <v>34263</v>
      </c>
      <c r="BC231" s="17" t="s">
        <v>96</v>
      </c>
      <c r="BD231" s="18" t="s">
        <v>922</v>
      </c>
      <c r="BE231" s="7" t="s">
        <v>118</v>
      </c>
      <c r="BF231" s="7" t="s">
        <v>925</v>
      </c>
      <c r="BG231" s="7" t="s">
        <v>926</v>
      </c>
      <c r="BH231" s="7" t="s">
        <v>927</v>
      </c>
      <c r="BI231" s="19" t="s">
        <v>928</v>
      </c>
      <c r="BJ231" s="20" t="s">
        <v>929</v>
      </c>
      <c r="BK231" s="21" t="s">
        <v>930</v>
      </c>
      <c r="BL231" s="7" t="s">
        <v>931</v>
      </c>
      <c r="BM231" s="22" t="s">
        <v>932</v>
      </c>
      <c r="BN231" s="8" t="s">
        <v>670</v>
      </c>
      <c r="BO231" s="49">
        <v>34440</v>
      </c>
      <c r="BP231" s="17" t="s">
        <v>96</v>
      </c>
      <c r="BQ231" s="18" t="s">
        <v>933</v>
      </c>
      <c r="BR231" s="7" t="s">
        <v>118</v>
      </c>
      <c r="BS231" s="7" t="s">
        <v>925</v>
      </c>
      <c r="BT231" s="7" t="s">
        <v>934</v>
      </c>
      <c r="BU231" s="8" t="s">
        <v>927</v>
      </c>
      <c r="BV231" s="23" t="s">
        <v>928</v>
      </c>
      <c r="BW231" s="24" t="s">
        <v>929</v>
      </c>
      <c r="BX231" s="21" t="s">
        <v>935</v>
      </c>
      <c r="BY231" s="21" t="s">
        <v>108</v>
      </c>
      <c r="BZ231" s="21" t="s">
        <v>108</v>
      </c>
      <c r="CA231" s="21"/>
      <c r="CB231" s="21"/>
      <c r="CC231" s="21"/>
      <c r="CD231" s="21" t="s">
        <v>108</v>
      </c>
      <c r="CE231" s="21" t="s">
        <v>108</v>
      </c>
      <c r="CF231" s="21"/>
      <c r="CG231" s="21" t="s">
        <v>108</v>
      </c>
      <c r="CH231" s="21"/>
      <c r="CI231" s="21"/>
      <c r="CJ231" s="21" t="s">
        <v>108</v>
      </c>
      <c r="CK231" s="21" t="s">
        <v>108</v>
      </c>
      <c r="CL231" s="21" t="s">
        <v>108</v>
      </c>
      <c r="CM231" s="25"/>
      <c r="CN231" s="25"/>
      <c r="CO231" s="25"/>
      <c r="CP231" s="26"/>
    </row>
    <row r="232" spans="1:94" s="27" customFormat="1" ht="23.25" customHeight="1">
      <c r="A232" s="4">
        <v>207</v>
      </c>
      <c r="B232" s="6"/>
      <c r="C232" s="6"/>
      <c r="D232" s="6"/>
      <c r="E232" s="6"/>
      <c r="F232" s="6"/>
      <c r="G232" s="6"/>
      <c r="H232" s="5" t="s">
        <v>85</v>
      </c>
      <c r="I232" s="6" t="s">
        <v>86</v>
      </c>
      <c r="J232" s="7" t="s">
        <v>166</v>
      </c>
      <c r="K232" s="7" t="s">
        <v>2061</v>
      </c>
      <c r="L232" s="8"/>
      <c r="M232" s="5">
        <v>1995</v>
      </c>
      <c r="N232" s="5">
        <v>3178757214</v>
      </c>
      <c r="O232" s="5" t="s">
        <v>2062</v>
      </c>
      <c r="P232" s="10" t="s">
        <v>2063</v>
      </c>
      <c r="Q232" s="389" t="s">
        <v>2064</v>
      </c>
      <c r="R232" s="64" t="s">
        <v>4844</v>
      </c>
      <c r="S232" s="212" t="s">
        <v>12142</v>
      </c>
      <c r="T232" s="8" t="s">
        <v>2065</v>
      </c>
      <c r="U232" s="11" t="s">
        <v>93</v>
      </c>
      <c r="V232" s="12" t="s">
        <v>94</v>
      </c>
      <c r="W232" s="13">
        <v>42984</v>
      </c>
      <c r="X232" s="13" t="str">
        <f ca="1">""&amp;DATEDIF(W232,TODAY(),"y")&amp;" Th, "&amp;DATEDIF(W232,TODAY(),"ym")&amp;" Bln"</f>
        <v>9 Th, 0 Bln</v>
      </c>
      <c r="Y232" s="5" t="s">
        <v>95</v>
      </c>
      <c r="Z232" s="14"/>
      <c r="AA232" s="5" t="s">
        <v>96</v>
      </c>
      <c r="AB232" s="5" t="s">
        <v>97</v>
      </c>
      <c r="AC232" s="7" t="s">
        <v>2066</v>
      </c>
      <c r="AD232" s="131" t="s">
        <v>293</v>
      </c>
      <c r="AE232" s="131">
        <v>10</v>
      </c>
      <c r="AF232" s="7" t="s">
        <v>139</v>
      </c>
      <c r="AG232" s="7" t="s">
        <v>140</v>
      </c>
      <c r="AH232" s="7" t="s">
        <v>141</v>
      </c>
      <c r="AI232" s="7"/>
      <c r="AJ232" s="7" t="s">
        <v>94</v>
      </c>
      <c r="AK232" s="7" t="s">
        <v>2067</v>
      </c>
      <c r="AL232" s="7" t="s">
        <v>2068</v>
      </c>
      <c r="AM232" s="15" t="s">
        <v>2069</v>
      </c>
      <c r="AN232" s="15" t="s">
        <v>2069</v>
      </c>
      <c r="AO232" s="8"/>
      <c r="AP232" s="8" t="s">
        <v>146</v>
      </c>
      <c r="AQ232" s="8" t="s">
        <v>146</v>
      </c>
      <c r="AR232" s="8" t="s">
        <v>108</v>
      </c>
      <c r="AS232" s="132">
        <v>16.649999999999999</v>
      </c>
      <c r="AT232" s="131">
        <v>110</v>
      </c>
      <c r="AU232" s="132" t="s">
        <v>182</v>
      </c>
      <c r="AV232" s="16" t="s">
        <v>112</v>
      </c>
      <c r="AW232" s="56" t="s">
        <v>150</v>
      </c>
      <c r="AX232" s="56" t="s">
        <v>2070</v>
      </c>
      <c r="AY232" s="7" t="s">
        <v>2071</v>
      </c>
      <c r="AZ232" s="10" t="s">
        <v>2072</v>
      </c>
      <c r="BA232" s="7" t="s">
        <v>2073</v>
      </c>
      <c r="BB232" s="52">
        <v>32691</v>
      </c>
      <c r="BC232" s="17" t="s">
        <v>96</v>
      </c>
      <c r="BD232" s="18" t="s">
        <v>2074</v>
      </c>
      <c r="BE232" s="7" t="s">
        <v>118</v>
      </c>
      <c r="BF232" s="7" t="s">
        <v>276</v>
      </c>
      <c r="BG232" s="7" t="s">
        <v>2075</v>
      </c>
      <c r="BH232" s="7" t="s">
        <v>2076</v>
      </c>
      <c r="BI232" s="19"/>
      <c r="BJ232" s="20">
        <v>19000000</v>
      </c>
      <c r="BK232" s="21" t="s">
        <v>2077</v>
      </c>
      <c r="BL232" s="7" t="s">
        <v>2078</v>
      </c>
      <c r="BM232" s="22" t="s">
        <v>2079</v>
      </c>
      <c r="BN232" s="8" t="s">
        <v>94</v>
      </c>
      <c r="BO232" s="49">
        <v>33208</v>
      </c>
      <c r="BP232" s="17" t="s">
        <v>96</v>
      </c>
      <c r="BQ232" s="18" t="s">
        <v>2069</v>
      </c>
      <c r="BR232" s="7" t="s">
        <v>118</v>
      </c>
      <c r="BS232" s="7" t="s">
        <v>276</v>
      </c>
      <c r="BT232" s="7" t="s">
        <v>2080</v>
      </c>
      <c r="BU232" s="8" t="s">
        <v>2081</v>
      </c>
      <c r="BV232" s="23"/>
      <c r="BW232" s="24">
        <v>24000000</v>
      </c>
      <c r="BX232" s="21" t="s">
        <v>2082</v>
      </c>
      <c r="BY232" s="21" t="s">
        <v>108</v>
      </c>
      <c r="BZ232" s="21" t="s">
        <v>108</v>
      </c>
      <c r="CA232" s="21"/>
      <c r="CB232" s="21"/>
      <c r="CC232" s="21"/>
      <c r="CD232" s="21" t="s">
        <v>108</v>
      </c>
      <c r="CE232" s="21" t="s">
        <v>108</v>
      </c>
      <c r="CF232" s="21"/>
      <c r="CG232" s="21" t="s">
        <v>108</v>
      </c>
      <c r="CH232" s="21"/>
      <c r="CI232" s="21"/>
      <c r="CJ232" s="21" t="s">
        <v>108</v>
      </c>
      <c r="CK232" s="21" t="s">
        <v>108</v>
      </c>
      <c r="CL232" s="21" t="s">
        <v>108</v>
      </c>
      <c r="CM232" s="25"/>
      <c r="CN232" s="25"/>
      <c r="CO232" s="25"/>
      <c r="CP232" s="26"/>
    </row>
    <row r="233" spans="1:94" s="27" customFormat="1" ht="23.25" customHeight="1">
      <c r="A233" s="4">
        <v>210</v>
      </c>
      <c r="B233" s="6"/>
      <c r="C233" s="6"/>
      <c r="D233" s="6"/>
      <c r="E233" s="6"/>
      <c r="F233" s="6"/>
      <c r="G233" s="6"/>
      <c r="H233" s="5" t="s">
        <v>85</v>
      </c>
      <c r="I233" s="6" t="s">
        <v>86</v>
      </c>
      <c r="J233" s="7" t="s">
        <v>2128</v>
      </c>
      <c r="K233" s="7" t="s">
        <v>2129</v>
      </c>
      <c r="L233" s="8"/>
      <c r="M233" s="5">
        <v>2003</v>
      </c>
      <c r="N233" s="5">
        <v>3172827260</v>
      </c>
      <c r="O233" s="5" t="s">
        <v>2130</v>
      </c>
      <c r="P233" s="10" t="s">
        <v>2131</v>
      </c>
      <c r="Q233" s="389" t="s">
        <v>2132</v>
      </c>
      <c r="R233" s="64" t="s">
        <v>4844</v>
      </c>
      <c r="S233" s="212" t="s">
        <v>12142</v>
      </c>
      <c r="T233" s="8" t="s">
        <v>2133</v>
      </c>
      <c r="U233" s="11" t="s">
        <v>172</v>
      </c>
      <c r="V233" s="12" t="s">
        <v>94</v>
      </c>
      <c r="W233" s="13">
        <v>42937</v>
      </c>
      <c r="X233" s="13" t="str">
        <f ca="1">""&amp;DATEDIF(W233,TODAY(),"y")&amp;" Th, "&amp;DATEDIF(W233,TODAY(),"ym")&amp;" Bln"</f>
        <v>9 Th, 1 Bln</v>
      </c>
      <c r="Y233" s="5" t="s">
        <v>95</v>
      </c>
      <c r="Z233" s="14"/>
      <c r="AA233" s="5" t="s">
        <v>96</v>
      </c>
      <c r="AB233" s="5" t="s">
        <v>97</v>
      </c>
      <c r="AC233" s="7" t="s">
        <v>2134</v>
      </c>
      <c r="AD233" s="131" t="s">
        <v>318</v>
      </c>
      <c r="AE233" s="131" t="s">
        <v>137</v>
      </c>
      <c r="AF233" s="7" t="s">
        <v>1976</v>
      </c>
      <c r="AG233" s="7" t="s">
        <v>140</v>
      </c>
      <c r="AH233" s="7" t="s">
        <v>141</v>
      </c>
      <c r="AI233" s="7"/>
      <c r="AJ233" s="7" t="s">
        <v>94</v>
      </c>
      <c r="AK233" s="7" t="s">
        <v>104</v>
      </c>
      <c r="AL233" s="7" t="s">
        <v>2135</v>
      </c>
      <c r="AM233" s="15" t="s">
        <v>2136</v>
      </c>
      <c r="AN233" s="15" t="s">
        <v>2136</v>
      </c>
      <c r="AO233" s="8"/>
      <c r="AP233" s="8" t="s">
        <v>107</v>
      </c>
      <c r="AQ233" s="8" t="s">
        <v>146</v>
      </c>
      <c r="AR233" s="8" t="s">
        <v>108</v>
      </c>
      <c r="AS233" s="132" t="s">
        <v>2137</v>
      </c>
      <c r="AT233" s="131" t="s">
        <v>2138</v>
      </c>
      <c r="AU233" s="132" t="s">
        <v>182</v>
      </c>
      <c r="AV233" s="16" t="s">
        <v>112</v>
      </c>
      <c r="AW233" s="56" t="s">
        <v>344</v>
      </c>
      <c r="AX233" s="56" t="s">
        <v>2139</v>
      </c>
      <c r="AY233" s="7" t="s">
        <v>2140</v>
      </c>
      <c r="AZ233" s="10" t="s">
        <v>2141</v>
      </c>
      <c r="BA233" s="7" t="s">
        <v>1031</v>
      </c>
      <c r="BB233" s="52">
        <v>30108</v>
      </c>
      <c r="BC233" s="17" t="s">
        <v>96</v>
      </c>
      <c r="BD233" s="18" t="s">
        <v>2142</v>
      </c>
      <c r="BE233" s="7" t="s">
        <v>216</v>
      </c>
      <c r="BF233" s="7" t="s">
        <v>247</v>
      </c>
      <c r="BG233" s="7" t="s">
        <v>2143</v>
      </c>
      <c r="BH233" s="7" t="s">
        <v>2144</v>
      </c>
      <c r="BI233" s="19" t="s">
        <v>2142</v>
      </c>
      <c r="BJ233" s="20">
        <v>10000000</v>
      </c>
      <c r="BK233" s="21" t="s">
        <v>2145</v>
      </c>
      <c r="BL233" s="7" t="s">
        <v>2146</v>
      </c>
      <c r="BM233" s="22" t="s">
        <v>2147</v>
      </c>
      <c r="BN233" s="8" t="s">
        <v>94</v>
      </c>
      <c r="BO233" s="49">
        <v>31359</v>
      </c>
      <c r="BP233" s="17" t="s">
        <v>96</v>
      </c>
      <c r="BQ233" s="18" t="s">
        <v>2136</v>
      </c>
      <c r="BR233" s="7" t="s">
        <v>216</v>
      </c>
      <c r="BS233" s="7" t="s">
        <v>126</v>
      </c>
      <c r="BT233" s="7" t="s">
        <v>2148</v>
      </c>
      <c r="BU233" s="8" t="s">
        <v>2149</v>
      </c>
      <c r="BV233" s="23" t="s">
        <v>2136</v>
      </c>
      <c r="BW233" s="24">
        <v>6000000</v>
      </c>
      <c r="BX233" s="21" t="s">
        <v>2150</v>
      </c>
      <c r="BY233" s="21" t="s">
        <v>108</v>
      </c>
      <c r="BZ233" s="21" t="s">
        <v>108</v>
      </c>
      <c r="CA233" s="21"/>
      <c r="CB233" s="21"/>
      <c r="CC233" s="21"/>
      <c r="CD233" s="21" t="s">
        <v>108</v>
      </c>
      <c r="CE233" s="21" t="s">
        <v>108</v>
      </c>
      <c r="CF233" s="21"/>
      <c r="CG233" s="21" t="s">
        <v>108</v>
      </c>
      <c r="CH233" s="21"/>
      <c r="CI233" s="21"/>
      <c r="CJ233" s="21" t="s">
        <v>108</v>
      </c>
      <c r="CK233" s="21" t="s">
        <v>108</v>
      </c>
      <c r="CL233" s="21" t="s">
        <v>108</v>
      </c>
      <c r="CM233" s="25"/>
      <c r="CN233" s="25"/>
      <c r="CO233" s="25"/>
      <c r="CP233" s="26"/>
    </row>
    <row r="234" spans="1:94" s="27" customFormat="1" ht="23.25" customHeight="1">
      <c r="A234" s="4">
        <v>186</v>
      </c>
      <c r="B234" s="6"/>
      <c r="C234" s="6"/>
      <c r="D234" s="6"/>
      <c r="E234" s="6"/>
      <c r="F234" s="6"/>
      <c r="G234" s="6"/>
      <c r="H234" s="5" t="s">
        <v>85</v>
      </c>
      <c r="I234" s="6" t="s">
        <v>86</v>
      </c>
      <c r="J234" s="7" t="s">
        <v>166</v>
      </c>
      <c r="K234" s="7" t="s">
        <v>1626</v>
      </c>
      <c r="L234" s="8"/>
      <c r="M234" s="5">
        <v>2016</v>
      </c>
      <c r="N234" s="10" t="s">
        <v>1627</v>
      </c>
      <c r="O234" s="10" t="s">
        <v>1628</v>
      </c>
      <c r="P234" s="10" t="s">
        <v>1629</v>
      </c>
      <c r="Q234" s="389" t="s">
        <v>1630</v>
      </c>
      <c r="R234" s="64" t="s">
        <v>4844</v>
      </c>
      <c r="S234" s="212" t="s">
        <v>12142</v>
      </c>
      <c r="T234" s="8" t="s">
        <v>1631</v>
      </c>
      <c r="U234" s="11" t="s">
        <v>93</v>
      </c>
      <c r="V234" s="12" t="s">
        <v>94</v>
      </c>
      <c r="W234" s="13">
        <v>43134</v>
      </c>
      <c r="X234" s="13" t="str">
        <f ca="1">""&amp;DATEDIF(W234,TODAY(),"y")&amp;" Th, "&amp;DATEDIF(W234,TODAY(),"ym")&amp;" Bln"</f>
        <v>8 Th, 7 Bln</v>
      </c>
      <c r="Y234" s="5" t="s">
        <v>95</v>
      </c>
      <c r="Z234" s="14"/>
      <c r="AA234" s="5" t="s">
        <v>96</v>
      </c>
      <c r="AB234" s="5" t="s">
        <v>97</v>
      </c>
      <c r="AC234" s="7" t="s">
        <v>1632</v>
      </c>
      <c r="AD234" s="131" t="s">
        <v>384</v>
      </c>
      <c r="AE234" s="131" t="s">
        <v>100</v>
      </c>
      <c r="AF234" s="7" t="s">
        <v>385</v>
      </c>
      <c r="AG234" s="7" t="s">
        <v>178</v>
      </c>
      <c r="AH234" s="7" t="s">
        <v>178</v>
      </c>
      <c r="AI234" s="7"/>
      <c r="AJ234" s="7" t="s">
        <v>94</v>
      </c>
      <c r="AK234" s="7" t="s">
        <v>386</v>
      </c>
      <c r="AL234" s="7" t="s">
        <v>688</v>
      </c>
      <c r="AM234" s="15" t="s">
        <v>127</v>
      </c>
      <c r="AN234" s="15" t="s">
        <v>1633</v>
      </c>
      <c r="AO234" s="8"/>
      <c r="AP234" s="8" t="s">
        <v>107</v>
      </c>
      <c r="AQ234" s="8" t="s">
        <v>107</v>
      </c>
      <c r="AR234" s="8" t="s">
        <v>127</v>
      </c>
      <c r="AS234" s="132" t="s">
        <v>322</v>
      </c>
      <c r="AT234" s="131" t="s">
        <v>1634</v>
      </c>
      <c r="AU234" s="132" t="s">
        <v>149</v>
      </c>
      <c r="AV234" s="16" t="s">
        <v>112</v>
      </c>
      <c r="AW234" s="56" t="s">
        <v>1635</v>
      </c>
      <c r="AX234" s="56" t="s">
        <v>114</v>
      </c>
      <c r="AY234" s="7" t="s">
        <v>1636</v>
      </c>
      <c r="AZ234" s="10" t="s">
        <v>1637</v>
      </c>
      <c r="BA234" s="7" t="s">
        <v>94</v>
      </c>
      <c r="BB234" s="52">
        <v>29712</v>
      </c>
      <c r="BC234" s="17" t="s">
        <v>96</v>
      </c>
      <c r="BD234" s="18" t="s">
        <v>1638</v>
      </c>
      <c r="BE234" s="7" t="s">
        <v>216</v>
      </c>
      <c r="BF234" s="7" t="s">
        <v>327</v>
      </c>
      <c r="BG234" s="7" t="s">
        <v>127</v>
      </c>
      <c r="BH234" s="7" t="s">
        <v>127</v>
      </c>
      <c r="BI234" s="19" t="s">
        <v>127</v>
      </c>
      <c r="BJ234" s="20" t="s">
        <v>1639</v>
      </c>
      <c r="BK234" s="21" t="s">
        <v>1640</v>
      </c>
      <c r="BL234" s="7" t="s">
        <v>1641</v>
      </c>
      <c r="BM234" s="22" t="s">
        <v>1642</v>
      </c>
      <c r="BN234" s="8" t="s">
        <v>511</v>
      </c>
      <c r="BO234" s="49">
        <v>32025</v>
      </c>
      <c r="BP234" s="17" t="s">
        <v>96</v>
      </c>
      <c r="BQ234" s="18" t="s">
        <v>1643</v>
      </c>
      <c r="BR234" s="7" t="s">
        <v>118</v>
      </c>
      <c r="BS234" s="7" t="s">
        <v>503</v>
      </c>
      <c r="BT234" s="7" t="s">
        <v>328</v>
      </c>
      <c r="BU234" s="8" t="s">
        <v>1644</v>
      </c>
      <c r="BV234" s="23" t="s">
        <v>1645</v>
      </c>
      <c r="BW234" s="24" t="s">
        <v>983</v>
      </c>
      <c r="BX234" s="21" t="s">
        <v>1646</v>
      </c>
      <c r="BY234" s="21" t="s">
        <v>1647</v>
      </c>
      <c r="BZ234" s="21" t="s">
        <v>94</v>
      </c>
      <c r="CA234" s="21">
        <v>29712</v>
      </c>
      <c r="CB234" s="21"/>
      <c r="CC234" s="21" t="s">
        <v>1648</v>
      </c>
      <c r="CD234" s="21" t="s">
        <v>216</v>
      </c>
      <c r="CE234" s="21" t="s">
        <v>327</v>
      </c>
      <c r="CF234" s="21" t="s">
        <v>96</v>
      </c>
      <c r="CG234" s="21" t="s">
        <v>1649</v>
      </c>
      <c r="CH234" s="21" t="s">
        <v>384</v>
      </c>
      <c r="CI234" s="21" t="s">
        <v>100</v>
      </c>
      <c r="CJ234" s="21" t="s">
        <v>385</v>
      </c>
      <c r="CK234" s="21" t="s">
        <v>178</v>
      </c>
      <c r="CL234" s="21" t="s">
        <v>94</v>
      </c>
      <c r="CM234" s="25"/>
      <c r="CN234" s="25"/>
      <c r="CO234" s="25"/>
      <c r="CP234" s="26"/>
    </row>
    <row r="235" spans="1:94" s="27" customFormat="1" ht="27.75" customHeight="1">
      <c r="A235" s="4">
        <v>187</v>
      </c>
      <c r="B235" s="28"/>
      <c r="C235" s="28"/>
      <c r="D235" s="28"/>
      <c r="E235" s="28"/>
      <c r="F235" s="28"/>
      <c r="G235" s="28"/>
      <c r="H235" s="29">
        <v>45834</v>
      </c>
      <c r="I235" s="28" t="s">
        <v>4774</v>
      </c>
      <c r="J235" s="30" t="s">
        <v>11388</v>
      </c>
      <c r="K235" s="30" t="s">
        <v>11389</v>
      </c>
      <c r="L235" s="31"/>
      <c r="M235" s="29">
        <v>2209</v>
      </c>
      <c r="N235" s="29">
        <v>3174784127</v>
      </c>
      <c r="O235" s="32" t="s">
        <v>11513</v>
      </c>
      <c r="P235" s="32" t="s">
        <v>11454</v>
      </c>
      <c r="Q235" s="390" t="s">
        <v>4812</v>
      </c>
      <c r="R235" s="64" t="s">
        <v>4844</v>
      </c>
      <c r="S235" s="212" t="s">
        <v>12142</v>
      </c>
      <c r="T235" s="31" t="s">
        <v>11302</v>
      </c>
      <c r="U235" s="33" t="s">
        <v>172</v>
      </c>
      <c r="V235" s="34" t="s">
        <v>11391</v>
      </c>
      <c r="W235" s="35">
        <v>43096</v>
      </c>
      <c r="X235" s="35" t="s">
        <v>11392</v>
      </c>
      <c r="Y235" s="31" t="s">
        <v>95</v>
      </c>
      <c r="Z235" s="36"/>
      <c r="AA235" s="31" t="s">
        <v>96</v>
      </c>
      <c r="AB235" s="31" t="s">
        <v>97</v>
      </c>
      <c r="AC235" s="30" t="s">
        <v>11393</v>
      </c>
      <c r="AD235" s="129"/>
      <c r="AE235" s="129"/>
      <c r="AF235" s="30" t="s">
        <v>11394</v>
      </c>
      <c r="AG235" s="30" t="s">
        <v>4829</v>
      </c>
      <c r="AH235" s="30" t="s">
        <v>141</v>
      </c>
      <c r="AI235" s="30"/>
      <c r="AJ235" s="30" t="s">
        <v>142</v>
      </c>
      <c r="AK235" s="30"/>
      <c r="AL235" s="30"/>
      <c r="AM235" s="37"/>
      <c r="AN235" s="37" t="s">
        <v>11395</v>
      </c>
      <c r="AO235" s="31"/>
      <c r="AP235" s="31"/>
      <c r="AQ235" s="31"/>
      <c r="AR235" s="31"/>
      <c r="AS235" s="130"/>
      <c r="AT235" s="129"/>
      <c r="AU235" s="130"/>
      <c r="AV235" s="38"/>
      <c r="AW235" s="123"/>
      <c r="AX235" s="123"/>
      <c r="AY235" s="30" t="s">
        <v>11396</v>
      </c>
      <c r="AZ235" s="32" t="s">
        <v>11397</v>
      </c>
      <c r="BA235" s="30" t="s">
        <v>11398</v>
      </c>
      <c r="BB235" s="53">
        <v>30610</v>
      </c>
      <c r="BC235" s="39" t="s">
        <v>96</v>
      </c>
      <c r="BD235" s="40"/>
      <c r="BE235" s="30"/>
      <c r="BF235" s="30"/>
      <c r="BG235" s="30"/>
      <c r="BH235" s="30"/>
      <c r="BI235" s="41"/>
      <c r="BJ235" s="42"/>
      <c r="BK235" s="43"/>
      <c r="BL235" s="30" t="s">
        <v>11399</v>
      </c>
      <c r="BM235" s="44" t="s">
        <v>11400</v>
      </c>
      <c r="BN235" s="125" t="s">
        <v>511</v>
      </c>
      <c r="BO235" s="50">
        <v>34090</v>
      </c>
      <c r="BP235" s="39" t="s">
        <v>96</v>
      </c>
      <c r="BQ235" s="40"/>
      <c r="BR235" s="30"/>
      <c r="BS235" s="30"/>
      <c r="BT235" s="30"/>
      <c r="BU235" s="30"/>
      <c r="BV235" s="45"/>
      <c r="BW235" s="46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25"/>
      <c r="CN235" s="25"/>
      <c r="CO235" s="25"/>
      <c r="CP235" s="26"/>
    </row>
    <row r="236" spans="1:94" s="27" customFormat="1" ht="23.25" customHeight="1">
      <c r="A236" s="4">
        <v>217</v>
      </c>
      <c r="B236" s="6"/>
      <c r="C236" s="6"/>
      <c r="D236" s="6"/>
      <c r="E236" s="6"/>
      <c r="F236" s="6"/>
      <c r="G236" s="6"/>
      <c r="H236" s="5" t="s">
        <v>85</v>
      </c>
      <c r="I236" s="6" t="s">
        <v>86</v>
      </c>
      <c r="J236" s="7" t="s">
        <v>2261</v>
      </c>
      <c r="K236" s="7" t="s">
        <v>2262</v>
      </c>
      <c r="L236" s="8"/>
      <c r="M236" s="5">
        <v>2025</v>
      </c>
      <c r="N236" s="5">
        <v>3180548759</v>
      </c>
      <c r="O236" s="5" t="s">
        <v>2263</v>
      </c>
      <c r="P236" s="10" t="s">
        <v>2264</v>
      </c>
      <c r="Q236" s="389" t="s">
        <v>2265</v>
      </c>
      <c r="R236" s="64" t="s">
        <v>4844</v>
      </c>
      <c r="S236" s="212" t="s">
        <v>12142</v>
      </c>
      <c r="T236" s="8" t="s">
        <v>2266</v>
      </c>
      <c r="U236" s="11" t="s">
        <v>172</v>
      </c>
      <c r="V236" s="12" t="s">
        <v>2267</v>
      </c>
      <c r="W236" s="13">
        <v>43370</v>
      </c>
      <c r="X236" s="13" t="str">
        <f t="shared" ref="X236:X256" ca="1" si="4">""&amp;DATEDIF(W236,TODAY(),"y")&amp;" Th, "&amp;DATEDIF(W236,TODAY(),"ym")&amp;" Bln"</f>
        <v>7 Th, 11 Bln</v>
      </c>
      <c r="Y236" s="5" t="s">
        <v>95</v>
      </c>
      <c r="Z236" s="14"/>
      <c r="AA236" s="5" t="s">
        <v>96</v>
      </c>
      <c r="AB236" s="5" t="s">
        <v>97</v>
      </c>
      <c r="AC236" s="7" t="s">
        <v>2268</v>
      </c>
      <c r="AD236" s="131" t="s">
        <v>100</v>
      </c>
      <c r="AE236" s="131" t="s">
        <v>99</v>
      </c>
      <c r="AF236" s="7" t="s">
        <v>2269</v>
      </c>
      <c r="AG236" s="7" t="s">
        <v>2270</v>
      </c>
      <c r="AH236" s="7" t="s">
        <v>141</v>
      </c>
      <c r="AI236" s="7"/>
      <c r="AJ236" s="7" t="s">
        <v>2267</v>
      </c>
      <c r="AK236" s="7" t="s">
        <v>104</v>
      </c>
      <c r="AL236" s="7" t="s">
        <v>146</v>
      </c>
      <c r="AM236" s="15" t="s">
        <v>2271</v>
      </c>
      <c r="AN236" s="15" t="s">
        <v>2271</v>
      </c>
      <c r="AO236" s="8"/>
      <c r="AP236" s="8" t="s">
        <v>146</v>
      </c>
      <c r="AQ236" s="8" t="s">
        <v>107</v>
      </c>
      <c r="AR236" s="8" t="s">
        <v>147</v>
      </c>
      <c r="AS236" s="132">
        <v>22</v>
      </c>
      <c r="AT236" s="131">
        <v>117</v>
      </c>
      <c r="AU236" s="132" t="s">
        <v>498</v>
      </c>
      <c r="AV236" s="16" t="s">
        <v>112</v>
      </c>
      <c r="AW236" s="56" t="s">
        <v>162</v>
      </c>
      <c r="AX236" s="56" t="s">
        <v>2272</v>
      </c>
      <c r="AY236" s="7" t="s">
        <v>2273</v>
      </c>
      <c r="AZ236" s="10" t="s">
        <v>2274</v>
      </c>
      <c r="BA236" s="7" t="s">
        <v>94</v>
      </c>
      <c r="BB236" s="52">
        <v>32665</v>
      </c>
      <c r="BC236" s="17" t="s">
        <v>96</v>
      </c>
      <c r="BD236" s="18" t="s">
        <v>2271</v>
      </c>
      <c r="BE236" s="7" t="s">
        <v>118</v>
      </c>
      <c r="BF236" s="7" t="s">
        <v>247</v>
      </c>
      <c r="BG236" s="7" t="s">
        <v>452</v>
      </c>
      <c r="BH236" s="7" t="s">
        <v>452</v>
      </c>
      <c r="BI236" s="19" t="s">
        <v>2271</v>
      </c>
      <c r="BJ236" s="20" t="s">
        <v>2275</v>
      </c>
      <c r="BK236" s="21" t="s">
        <v>2276</v>
      </c>
      <c r="BL236" s="7" t="s">
        <v>2277</v>
      </c>
      <c r="BM236" s="22" t="s">
        <v>2278</v>
      </c>
      <c r="BN236" s="8" t="s">
        <v>2279</v>
      </c>
      <c r="BO236" s="49">
        <v>34183</v>
      </c>
      <c r="BP236" s="17" t="s">
        <v>96</v>
      </c>
      <c r="BQ236" s="18" t="s">
        <v>2280</v>
      </c>
      <c r="BR236" s="7" t="s">
        <v>118</v>
      </c>
      <c r="BS236" s="7" t="s">
        <v>126</v>
      </c>
      <c r="BT236" s="7" t="s">
        <v>452</v>
      </c>
      <c r="BU236" s="8" t="s">
        <v>452</v>
      </c>
      <c r="BV236" s="23" t="s">
        <v>2280</v>
      </c>
      <c r="BW236" s="24">
        <v>0</v>
      </c>
      <c r="BX236" s="21" t="s">
        <v>2281</v>
      </c>
      <c r="BY236" s="21" t="s">
        <v>108</v>
      </c>
      <c r="BZ236" s="21" t="s">
        <v>108</v>
      </c>
      <c r="CA236" s="21"/>
      <c r="CB236" s="21"/>
      <c r="CC236" s="21"/>
      <c r="CD236" s="21" t="s">
        <v>108</v>
      </c>
      <c r="CE236" s="21" t="s">
        <v>108</v>
      </c>
      <c r="CF236" s="21"/>
      <c r="CG236" s="21" t="s">
        <v>108</v>
      </c>
      <c r="CH236" s="21"/>
      <c r="CI236" s="21"/>
      <c r="CJ236" s="21" t="s">
        <v>108</v>
      </c>
      <c r="CK236" s="21" t="s">
        <v>108</v>
      </c>
      <c r="CL236" s="21" t="s">
        <v>108</v>
      </c>
      <c r="CM236" s="25"/>
      <c r="CN236" s="25"/>
      <c r="CO236" s="25"/>
      <c r="CP236" s="26"/>
    </row>
    <row r="237" spans="1:94" s="27" customFormat="1" ht="23.25" customHeight="1">
      <c r="A237" s="4">
        <v>137</v>
      </c>
      <c r="B237" s="6"/>
      <c r="C237" s="6"/>
      <c r="D237" s="6"/>
      <c r="E237" s="6"/>
      <c r="F237" s="6"/>
      <c r="G237" s="6"/>
      <c r="H237" s="5" t="s">
        <v>85</v>
      </c>
      <c r="I237" s="6" t="s">
        <v>86</v>
      </c>
      <c r="J237" s="7" t="s">
        <v>513</v>
      </c>
      <c r="K237" s="7" t="s">
        <v>514</v>
      </c>
      <c r="L237" s="8"/>
      <c r="M237" s="5">
        <v>2026</v>
      </c>
      <c r="N237" s="5">
        <v>3176098629</v>
      </c>
      <c r="O237" s="5" t="s">
        <v>515</v>
      </c>
      <c r="P237" s="10" t="s">
        <v>516</v>
      </c>
      <c r="Q237" s="389" t="s">
        <v>517</v>
      </c>
      <c r="R237" s="64" t="s">
        <v>4844</v>
      </c>
      <c r="S237" s="212" t="s">
        <v>12142</v>
      </c>
      <c r="T237" s="8" t="s">
        <v>518</v>
      </c>
      <c r="U237" s="11" t="s">
        <v>172</v>
      </c>
      <c r="V237" s="12" t="s">
        <v>519</v>
      </c>
      <c r="W237" s="13">
        <v>42921</v>
      </c>
      <c r="X237" s="13" t="str">
        <f t="shared" ca="1" si="4"/>
        <v>9 Th, 2 Bln</v>
      </c>
      <c r="Y237" s="5" t="s">
        <v>95</v>
      </c>
      <c r="Z237" s="14"/>
      <c r="AA237" s="5" t="s">
        <v>96</v>
      </c>
      <c r="AB237" s="5" t="s">
        <v>97</v>
      </c>
      <c r="AC237" s="7" t="s">
        <v>520</v>
      </c>
      <c r="AD237" s="131" t="s">
        <v>137</v>
      </c>
      <c r="AE237" s="131">
        <v>11</v>
      </c>
      <c r="AF237" s="7" t="s">
        <v>521</v>
      </c>
      <c r="AG237" s="7" t="s">
        <v>178</v>
      </c>
      <c r="AH237" s="7" t="s">
        <v>178</v>
      </c>
      <c r="AI237" s="7"/>
      <c r="AJ237" s="7" t="s">
        <v>94</v>
      </c>
      <c r="AK237" s="7" t="s">
        <v>386</v>
      </c>
      <c r="AL237" s="7" t="s">
        <v>522</v>
      </c>
      <c r="AM237" s="15" t="s">
        <v>127</v>
      </c>
      <c r="AN237" s="15" t="s">
        <v>523</v>
      </c>
      <c r="AO237" s="8"/>
      <c r="AP237" s="8" t="s">
        <v>298</v>
      </c>
      <c r="AQ237" s="8" t="s">
        <v>107</v>
      </c>
      <c r="AR237" s="8" t="s">
        <v>127</v>
      </c>
      <c r="AS237" s="132" t="s">
        <v>524</v>
      </c>
      <c r="AT237" s="131" t="s">
        <v>525</v>
      </c>
      <c r="AU237" s="132" t="s">
        <v>182</v>
      </c>
      <c r="AV237" s="16" t="s">
        <v>112</v>
      </c>
      <c r="AW237" s="56" t="s">
        <v>392</v>
      </c>
      <c r="AX237" s="56" t="s">
        <v>526</v>
      </c>
      <c r="AY237" s="7" t="s">
        <v>527</v>
      </c>
      <c r="AZ237" s="10" t="s">
        <v>528</v>
      </c>
      <c r="BA237" s="7" t="s">
        <v>529</v>
      </c>
      <c r="BB237" s="52">
        <v>28294</v>
      </c>
      <c r="BC237" s="17" t="s">
        <v>96</v>
      </c>
      <c r="BD237" s="18" t="s">
        <v>530</v>
      </c>
      <c r="BE237" s="7" t="s">
        <v>118</v>
      </c>
      <c r="BF237" s="7" t="s">
        <v>531</v>
      </c>
      <c r="BG237" s="7" t="s">
        <v>532</v>
      </c>
      <c r="BH237" s="7" t="s">
        <v>533</v>
      </c>
      <c r="BI237" s="19" t="s">
        <v>127</v>
      </c>
      <c r="BJ237" s="20">
        <v>20000000</v>
      </c>
      <c r="BK237" s="21" t="s">
        <v>534</v>
      </c>
      <c r="BL237" s="7" t="s">
        <v>535</v>
      </c>
      <c r="BM237" s="22" t="s">
        <v>536</v>
      </c>
      <c r="BN237" s="8" t="s">
        <v>537</v>
      </c>
      <c r="BO237" s="49">
        <v>31310</v>
      </c>
      <c r="BP237" s="17" t="s">
        <v>96</v>
      </c>
      <c r="BQ237" s="18" t="s">
        <v>523</v>
      </c>
      <c r="BR237" s="7" t="s">
        <v>216</v>
      </c>
      <c r="BS237" s="7" t="s">
        <v>254</v>
      </c>
      <c r="BT237" s="7" t="s">
        <v>127</v>
      </c>
      <c r="BU237" s="8" t="s">
        <v>127</v>
      </c>
      <c r="BV237" s="23" t="s">
        <v>127</v>
      </c>
      <c r="BW237" s="24" t="s">
        <v>127</v>
      </c>
      <c r="BX237" s="21" t="s">
        <v>538</v>
      </c>
      <c r="BY237" s="21" t="s">
        <v>108</v>
      </c>
      <c r="BZ237" s="21" t="s">
        <v>108</v>
      </c>
      <c r="CA237" s="21"/>
      <c r="CB237" s="21"/>
      <c r="CC237" s="21"/>
      <c r="CD237" s="21" t="s">
        <v>108</v>
      </c>
      <c r="CE237" s="21" t="s">
        <v>108</v>
      </c>
      <c r="CF237" s="21"/>
      <c r="CG237" s="21" t="s">
        <v>108</v>
      </c>
      <c r="CH237" s="21"/>
      <c r="CI237" s="21"/>
      <c r="CJ237" s="21" t="s">
        <v>108</v>
      </c>
      <c r="CK237" s="21" t="s">
        <v>108</v>
      </c>
      <c r="CL237" s="21" t="s">
        <v>108</v>
      </c>
      <c r="CM237" s="25"/>
      <c r="CN237" s="25"/>
      <c r="CO237" s="25"/>
      <c r="CP237" s="26"/>
    </row>
    <row r="238" spans="1:94" s="27" customFormat="1" ht="23.25" customHeight="1">
      <c r="A238" s="4">
        <v>138</v>
      </c>
      <c r="B238" s="6"/>
      <c r="C238" s="6"/>
      <c r="D238" s="6"/>
      <c r="E238" s="6"/>
      <c r="F238" s="6"/>
      <c r="G238" s="6"/>
      <c r="H238" s="5" t="s">
        <v>85</v>
      </c>
      <c r="I238" s="6" t="s">
        <v>86</v>
      </c>
      <c r="J238" s="7" t="s">
        <v>539</v>
      </c>
      <c r="K238" s="7" t="s">
        <v>540</v>
      </c>
      <c r="L238" s="8"/>
      <c r="M238" s="5">
        <v>2027</v>
      </c>
      <c r="N238" s="5">
        <v>3179766995</v>
      </c>
      <c r="O238" s="5" t="s">
        <v>541</v>
      </c>
      <c r="P238" s="10" t="s">
        <v>542</v>
      </c>
      <c r="Q238" s="389" t="s">
        <v>13416</v>
      </c>
      <c r="R238" s="64" t="s">
        <v>4844</v>
      </c>
      <c r="S238" s="212" t="s">
        <v>12142</v>
      </c>
      <c r="T238" s="8" t="s">
        <v>543</v>
      </c>
      <c r="U238" s="11" t="s">
        <v>172</v>
      </c>
      <c r="V238" s="12" t="s">
        <v>544</v>
      </c>
      <c r="W238" s="13">
        <v>43083</v>
      </c>
      <c r="X238" s="13" t="str">
        <f t="shared" ca="1" si="4"/>
        <v>8 Th, 9 Bln</v>
      </c>
      <c r="Y238" s="5" t="s">
        <v>95</v>
      </c>
      <c r="Z238" s="14"/>
      <c r="AA238" s="5" t="s">
        <v>96</v>
      </c>
      <c r="AB238" s="5" t="s">
        <v>97</v>
      </c>
      <c r="AC238" s="7" t="s">
        <v>545</v>
      </c>
      <c r="AD238" s="131" t="s">
        <v>318</v>
      </c>
      <c r="AE238" s="131" t="s">
        <v>546</v>
      </c>
      <c r="AF238" s="7" t="s">
        <v>426</v>
      </c>
      <c r="AG238" s="7" t="s">
        <v>547</v>
      </c>
      <c r="AH238" s="7" t="s">
        <v>178</v>
      </c>
      <c r="AI238" s="7"/>
      <c r="AJ238" s="7" t="s">
        <v>103</v>
      </c>
      <c r="AK238" s="7" t="s">
        <v>104</v>
      </c>
      <c r="AL238" s="7" t="s">
        <v>461</v>
      </c>
      <c r="AM238" s="15" t="s">
        <v>548</v>
      </c>
      <c r="AN238" s="15" t="s">
        <v>548</v>
      </c>
      <c r="AO238" s="8"/>
      <c r="AP238" s="8" t="s">
        <v>107</v>
      </c>
      <c r="AQ238" s="8" t="s">
        <v>107</v>
      </c>
      <c r="AR238" s="8" t="s">
        <v>108</v>
      </c>
      <c r="AS238" s="132">
        <v>22</v>
      </c>
      <c r="AT238" s="131">
        <v>112</v>
      </c>
      <c r="AU238" s="132" t="s">
        <v>182</v>
      </c>
      <c r="AV238" s="16" t="s">
        <v>112</v>
      </c>
      <c r="AW238" s="56" t="s">
        <v>549</v>
      </c>
      <c r="AX238" s="56" t="s">
        <v>427</v>
      </c>
      <c r="AY238" s="7" t="s">
        <v>550</v>
      </c>
      <c r="AZ238" s="10" t="s">
        <v>551</v>
      </c>
      <c r="BA238" s="7" t="s">
        <v>552</v>
      </c>
      <c r="BB238" s="52">
        <v>27054</v>
      </c>
      <c r="BC238" s="17" t="s">
        <v>96</v>
      </c>
      <c r="BD238" s="18" t="s">
        <v>553</v>
      </c>
      <c r="BE238" s="7" t="s">
        <v>118</v>
      </c>
      <c r="BF238" s="7" t="s">
        <v>554</v>
      </c>
      <c r="BG238" s="7" t="s">
        <v>555</v>
      </c>
      <c r="BH238" s="7" t="s">
        <v>103</v>
      </c>
      <c r="BI238" s="19"/>
      <c r="BJ238" s="20" t="s">
        <v>556</v>
      </c>
      <c r="BK238" s="21"/>
      <c r="BL238" s="7" t="s">
        <v>557</v>
      </c>
      <c r="BM238" s="22" t="s">
        <v>558</v>
      </c>
      <c r="BN238" s="8" t="s">
        <v>559</v>
      </c>
      <c r="BO238" s="49">
        <v>31251</v>
      </c>
      <c r="BP238" s="17" t="s">
        <v>96</v>
      </c>
      <c r="BQ238" s="18" t="s">
        <v>548</v>
      </c>
      <c r="BR238" s="7" t="s">
        <v>216</v>
      </c>
      <c r="BS238" s="7" t="s">
        <v>126</v>
      </c>
      <c r="BT238" s="7" t="s">
        <v>560</v>
      </c>
      <c r="BU238" s="8" t="s">
        <v>544</v>
      </c>
      <c r="BV238" s="23"/>
      <c r="BW238" s="24">
        <v>0</v>
      </c>
      <c r="BX238" s="21"/>
      <c r="BY238" s="21" t="s">
        <v>108</v>
      </c>
      <c r="BZ238" s="21" t="s">
        <v>108</v>
      </c>
      <c r="CA238" s="21"/>
      <c r="CB238" s="21"/>
      <c r="CC238" s="21"/>
      <c r="CD238" s="21" t="s">
        <v>108</v>
      </c>
      <c r="CE238" s="21" t="s">
        <v>108</v>
      </c>
      <c r="CF238" s="21"/>
      <c r="CG238" s="21" t="s">
        <v>108</v>
      </c>
      <c r="CH238" s="21"/>
      <c r="CI238" s="21"/>
      <c r="CJ238" s="21" t="s">
        <v>108</v>
      </c>
      <c r="CK238" s="21" t="s">
        <v>108</v>
      </c>
      <c r="CL238" s="21" t="s">
        <v>108</v>
      </c>
      <c r="CM238" s="25"/>
      <c r="CN238" s="25"/>
      <c r="CO238" s="25"/>
      <c r="CP238" s="26"/>
    </row>
    <row r="239" spans="1:94" s="27" customFormat="1" ht="23.25" customHeight="1">
      <c r="A239" s="4">
        <v>218</v>
      </c>
      <c r="B239" s="6"/>
      <c r="C239" s="6"/>
      <c r="D239" s="6"/>
      <c r="E239" s="6"/>
      <c r="F239" s="6"/>
      <c r="G239" s="6"/>
      <c r="H239" s="5" t="s">
        <v>85</v>
      </c>
      <c r="I239" s="6" t="s">
        <v>86</v>
      </c>
      <c r="J239" s="7" t="s">
        <v>2282</v>
      </c>
      <c r="K239" s="7" t="s">
        <v>329</v>
      </c>
      <c r="L239" s="8"/>
      <c r="M239" s="5">
        <v>2030</v>
      </c>
      <c r="N239" s="5">
        <v>3175588484</v>
      </c>
      <c r="O239" s="5" t="s">
        <v>2283</v>
      </c>
      <c r="P239" s="10" t="s">
        <v>2284</v>
      </c>
      <c r="Q239" s="389" t="s">
        <v>13422</v>
      </c>
      <c r="R239" s="64" t="s">
        <v>4844</v>
      </c>
      <c r="S239" s="212" t="s">
        <v>12142</v>
      </c>
      <c r="T239" s="8" t="s">
        <v>2285</v>
      </c>
      <c r="U239" s="11" t="s">
        <v>172</v>
      </c>
      <c r="V239" s="12" t="s">
        <v>544</v>
      </c>
      <c r="W239" s="13">
        <v>42875</v>
      </c>
      <c r="X239" s="13" t="str">
        <f t="shared" ca="1" si="4"/>
        <v>9 Th, 3 Bln</v>
      </c>
      <c r="Y239" s="5" t="s">
        <v>95</v>
      </c>
      <c r="Z239" s="14"/>
      <c r="AA239" s="5" t="s">
        <v>96</v>
      </c>
      <c r="AB239" s="5" t="s">
        <v>97</v>
      </c>
      <c r="AC239" s="7" t="s">
        <v>2286</v>
      </c>
      <c r="AD239" s="131">
        <v>12</v>
      </c>
      <c r="AE239" s="131" t="s">
        <v>293</v>
      </c>
      <c r="AF239" s="7" t="s">
        <v>2287</v>
      </c>
      <c r="AG239" s="7" t="s">
        <v>2288</v>
      </c>
      <c r="AH239" s="7" t="s">
        <v>141</v>
      </c>
      <c r="AI239" s="7"/>
      <c r="AJ239" s="7" t="s">
        <v>94</v>
      </c>
      <c r="AK239" s="7" t="s">
        <v>179</v>
      </c>
      <c r="AL239" s="7" t="s">
        <v>1325</v>
      </c>
      <c r="AM239" s="15" t="s">
        <v>2289</v>
      </c>
      <c r="AN239" s="15" t="s">
        <v>2290</v>
      </c>
      <c r="AO239" s="8"/>
      <c r="AP239" s="8" t="s">
        <v>146</v>
      </c>
      <c r="AQ239" s="8" t="s">
        <v>146</v>
      </c>
      <c r="AR239" s="8" t="s">
        <v>108</v>
      </c>
      <c r="AS239" s="132">
        <v>18</v>
      </c>
      <c r="AT239" s="131">
        <v>120</v>
      </c>
      <c r="AU239" s="132" t="s">
        <v>149</v>
      </c>
      <c r="AV239" s="16" t="s">
        <v>112</v>
      </c>
      <c r="AW239" s="56" t="s">
        <v>113</v>
      </c>
      <c r="AX239" s="56" t="s">
        <v>2291</v>
      </c>
      <c r="AY239" s="7" t="s">
        <v>2292</v>
      </c>
      <c r="AZ239" s="10" t="s">
        <v>2293</v>
      </c>
      <c r="BA239" s="7" t="s">
        <v>94</v>
      </c>
      <c r="BB239" s="52">
        <v>33597</v>
      </c>
      <c r="BC239" s="17" t="s">
        <v>96</v>
      </c>
      <c r="BD239" s="18" t="s">
        <v>2290</v>
      </c>
      <c r="BE239" s="7" t="s">
        <v>216</v>
      </c>
      <c r="BF239" s="7" t="s">
        <v>574</v>
      </c>
      <c r="BG239" s="7" t="s">
        <v>2294</v>
      </c>
      <c r="BH239" s="7" t="s">
        <v>2295</v>
      </c>
      <c r="BI239" s="19"/>
      <c r="BJ239" s="20" t="s">
        <v>983</v>
      </c>
      <c r="BK239" s="21" t="s">
        <v>2296</v>
      </c>
      <c r="BL239" s="7" t="s">
        <v>2297</v>
      </c>
      <c r="BM239" s="22" t="s">
        <v>2298</v>
      </c>
      <c r="BN239" s="8" t="s">
        <v>544</v>
      </c>
      <c r="BO239" s="49">
        <v>33952</v>
      </c>
      <c r="BP239" s="17" t="s">
        <v>96</v>
      </c>
      <c r="BQ239" s="18" t="s">
        <v>2289</v>
      </c>
      <c r="BR239" s="7" t="s">
        <v>216</v>
      </c>
      <c r="BS239" s="7" t="s">
        <v>582</v>
      </c>
      <c r="BT239" s="7" t="s">
        <v>452</v>
      </c>
      <c r="BU239" s="8" t="s">
        <v>2299</v>
      </c>
      <c r="BV239" s="23" t="s">
        <v>2289</v>
      </c>
      <c r="BW239" s="24">
        <v>0</v>
      </c>
      <c r="BX239" s="21" t="s">
        <v>2300</v>
      </c>
      <c r="BY239" s="21" t="s">
        <v>108</v>
      </c>
      <c r="BZ239" s="21" t="s">
        <v>108</v>
      </c>
      <c r="CA239" s="21"/>
      <c r="CB239" s="21"/>
      <c r="CC239" s="21"/>
      <c r="CD239" s="21" t="s">
        <v>108</v>
      </c>
      <c r="CE239" s="21" t="s">
        <v>108</v>
      </c>
      <c r="CF239" s="21"/>
      <c r="CG239" s="21" t="s">
        <v>108</v>
      </c>
      <c r="CH239" s="21"/>
      <c r="CI239" s="21"/>
      <c r="CJ239" s="21" t="s">
        <v>108</v>
      </c>
      <c r="CK239" s="21" t="s">
        <v>108</v>
      </c>
      <c r="CL239" s="21" t="s">
        <v>108</v>
      </c>
      <c r="CM239" s="25"/>
      <c r="CN239" s="25"/>
      <c r="CO239" s="25"/>
      <c r="CP239" s="26"/>
    </row>
    <row r="240" spans="1:94" s="27" customFormat="1" ht="30.75" customHeight="1">
      <c r="A240" s="4">
        <v>163</v>
      </c>
      <c r="B240" s="6"/>
      <c r="C240" s="6"/>
      <c r="D240" s="6"/>
      <c r="E240" s="6"/>
      <c r="F240" s="6"/>
      <c r="G240" s="6"/>
      <c r="H240" s="5" t="s">
        <v>85</v>
      </c>
      <c r="I240" s="6" t="s">
        <v>86</v>
      </c>
      <c r="J240" s="7" t="s">
        <v>1121</v>
      </c>
      <c r="K240" s="7" t="s">
        <v>1122</v>
      </c>
      <c r="L240" s="8"/>
      <c r="M240" s="5">
        <v>2032</v>
      </c>
      <c r="N240" s="5">
        <v>3177306413</v>
      </c>
      <c r="O240" s="5" t="s">
        <v>1123</v>
      </c>
      <c r="P240" s="10" t="s">
        <v>1124</v>
      </c>
      <c r="Q240" s="389" t="s">
        <v>1125</v>
      </c>
      <c r="R240" s="64" t="s">
        <v>4844</v>
      </c>
      <c r="S240" s="212" t="s">
        <v>12142</v>
      </c>
      <c r="T240" s="8" t="s">
        <v>1126</v>
      </c>
      <c r="U240" s="11" t="s">
        <v>172</v>
      </c>
      <c r="V240" s="12" t="s">
        <v>94</v>
      </c>
      <c r="W240" s="13">
        <v>42992</v>
      </c>
      <c r="X240" s="13" t="str">
        <f t="shared" ca="1" si="4"/>
        <v>9 Th, 0 Bln</v>
      </c>
      <c r="Y240" s="5" t="s">
        <v>95</v>
      </c>
      <c r="Z240" s="14"/>
      <c r="AA240" s="5" t="s">
        <v>96</v>
      </c>
      <c r="AB240" s="5" t="s">
        <v>97</v>
      </c>
      <c r="AC240" s="7" t="s">
        <v>1127</v>
      </c>
      <c r="AD240" s="131" t="s">
        <v>137</v>
      </c>
      <c r="AE240" s="131">
        <v>12</v>
      </c>
      <c r="AF240" s="7" t="s">
        <v>139</v>
      </c>
      <c r="AG240" s="7" t="s">
        <v>732</v>
      </c>
      <c r="AH240" s="7" t="s">
        <v>141</v>
      </c>
      <c r="AI240" s="7"/>
      <c r="AJ240" s="7" t="s">
        <v>94</v>
      </c>
      <c r="AK240" s="7" t="s">
        <v>386</v>
      </c>
      <c r="AL240" s="7" t="s">
        <v>1128</v>
      </c>
      <c r="AM240" s="15" t="s">
        <v>1129</v>
      </c>
      <c r="AN240" s="15" t="s">
        <v>1129</v>
      </c>
      <c r="AO240" s="8"/>
      <c r="AP240" s="8" t="s">
        <v>146</v>
      </c>
      <c r="AQ240" s="8" t="s">
        <v>146</v>
      </c>
      <c r="AR240" s="8" t="s">
        <v>147</v>
      </c>
      <c r="AS240" s="132">
        <v>23</v>
      </c>
      <c r="AT240" s="131">
        <v>122</v>
      </c>
      <c r="AU240" s="132" t="s">
        <v>182</v>
      </c>
      <c r="AV240" s="16" t="s">
        <v>112</v>
      </c>
      <c r="AW240" s="56" t="s">
        <v>1130</v>
      </c>
      <c r="AX240" s="56" t="s">
        <v>734</v>
      </c>
      <c r="AY240" s="7" t="s">
        <v>1131</v>
      </c>
      <c r="AZ240" s="10" t="s">
        <v>1132</v>
      </c>
      <c r="BA240" s="7" t="s">
        <v>519</v>
      </c>
      <c r="BB240" s="52">
        <v>33483</v>
      </c>
      <c r="BC240" s="17" t="s">
        <v>96</v>
      </c>
      <c r="BD240" s="18" t="s">
        <v>1133</v>
      </c>
      <c r="BE240" s="7" t="s">
        <v>216</v>
      </c>
      <c r="BF240" s="7" t="s">
        <v>247</v>
      </c>
      <c r="BG240" s="7" t="s">
        <v>327</v>
      </c>
      <c r="BH240" s="7" t="s">
        <v>1134</v>
      </c>
      <c r="BI240" s="19"/>
      <c r="BJ240" s="20" t="s">
        <v>556</v>
      </c>
      <c r="BK240" s="21" t="s">
        <v>1135</v>
      </c>
      <c r="BL240" s="7" t="s">
        <v>1136</v>
      </c>
      <c r="BM240" s="22" t="s">
        <v>1137</v>
      </c>
      <c r="BN240" s="8" t="s">
        <v>603</v>
      </c>
      <c r="BO240" s="49">
        <v>33399</v>
      </c>
      <c r="BP240" s="17" t="s">
        <v>96</v>
      </c>
      <c r="BQ240" s="18" t="s">
        <v>1129</v>
      </c>
      <c r="BR240" s="7" t="s">
        <v>118</v>
      </c>
      <c r="BS240" s="7" t="s">
        <v>247</v>
      </c>
      <c r="BT240" s="7" t="s">
        <v>1138</v>
      </c>
      <c r="BU240" s="8" t="s">
        <v>1139</v>
      </c>
      <c r="BV240" s="23"/>
      <c r="BW240" s="24" t="s">
        <v>250</v>
      </c>
      <c r="BX240" s="21" t="s">
        <v>1140</v>
      </c>
      <c r="BY240" s="21" t="s">
        <v>1141</v>
      </c>
      <c r="BZ240" s="21" t="s">
        <v>603</v>
      </c>
      <c r="CA240" s="21"/>
      <c r="CB240" s="21"/>
      <c r="CC240" s="21" t="s">
        <v>1142</v>
      </c>
      <c r="CD240" s="21" t="s">
        <v>216</v>
      </c>
      <c r="CE240" s="21" t="s">
        <v>1143</v>
      </c>
      <c r="CF240" s="21" t="s">
        <v>96</v>
      </c>
      <c r="CG240" s="21" t="s">
        <v>1144</v>
      </c>
      <c r="CH240" s="21" t="s">
        <v>100</v>
      </c>
      <c r="CI240" s="21" t="s">
        <v>293</v>
      </c>
      <c r="CJ240" s="21" t="s">
        <v>1145</v>
      </c>
      <c r="CK240" s="21" t="s">
        <v>1146</v>
      </c>
      <c r="CL240" s="21" t="s">
        <v>603</v>
      </c>
      <c r="CM240" s="25"/>
      <c r="CN240" s="25"/>
      <c r="CO240" s="25"/>
      <c r="CP240" s="26"/>
    </row>
    <row r="241" spans="1:97" s="27" customFormat="1" ht="23.25" customHeight="1">
      <c r="A241" s="4">
        <v>164</v>
      </c>
      <c r="B241" s="6"/>
      <c r="C241" s="6"/>
      <c r="D241" s="6"/>
      <c r="E241" s="6"/>
      <c r="F241" s="6"/>
      <c r="G241" s="6"/>
      <c r="H241" s="5" t="s">
        <v>85</v>
      </c>
      <c r="I241" s="6" t="s">
        <v>86</v>
      </c>
      <c r="J241" s="7" t="s">
        <v>1147</v>
      </c>
      <c r="K241" s="7" t="s">
        <v>1148</v>
      </c>
      <c r="L241" s="8"/>
      <c r="M241" s="5">
        <v>2033</v>
      </c>
      <c r="N241" s="5">
        <v>3188259954</v>
      </c>
      <c r="O241" s="5" t="s">
        <v>1149</v>
      </c>
      <c r="P241" s="10" t="s">
        <v>1150</v>
      </c>
      <c r="Q241" s="389" t="s">
        <v>1151</v>
      </c>
      <c r="R241" s="64" t="s">
        <v>4844</v>
      </c>
      <c r="S241" s="212" t="s">
        <v>12142</v>
      </c>
      <c r="T241" s="8" t="s">
        <v>1152</v>
      </c>
      <c r="U241" s="11" t="s">
        <v>172</v>
      </c>
      <c r="V241" s="12" t="s">
        <v>1153</v>
      </c>
      <c r="W241" s="13">
        <v>43118</v>
      </c>
      <c r="X241" s="13" t="str">
        <f t="shared" ca="1" si="4"/>
        <v>8 Th, 7 Bln</v>
      </c>
      <c r="Y241" s="5" t="s">
        <v>95</v>
      </c>
      <c r="Z241" s="14"/>
      <c r="AA241" s="5" t="s">
        <v>96</v>
      </c>
      <c r="AB241" s="5" t="s">
        <v>97</v>
      </c>
      <c r="AC241" s="7" t="s">
        <v>1154</v>
      </c>
      <c r="AD241" s="131" t="s">
        <v>293</v>
      </c>
      <c r="AE241" s="131" t="s">
        <v>293</v>
      </c>
      <c r="AF241" s="7" t="s">
        <v>1155</v>
      </c>
      <c r="AG241" s="7" t="s">
        <v>140</v>
      </c>
      <c r="AH241" s="7" t="s">
        <v>141</v>
      </c>
      <c r="AI241" s="7"/>
      <c r="AJ241" s="7" t="s">
        <v>94</v>
      </c>
      <c r="AK241" s="7" t="s">
        <v>179</v>
      </c>
      <c r="AL241" s="7" t="s">
        <v>1156</v>
      </c>
      <c r="AM241" s="15" t="s">
        <v>1157</v>
      </c>
      <c r="AN241" s="15" t="s">
        <v>1158</v>
      </c>
      <c r="AO241" s="8"/>
      <c r="AP241" s="8" t="s">
        <v>389</v>
      </c>
      <c r="AQ241" s="8" t="s">
        <v>298</v>
      </c>
      <c r="AR241" s="8" t="s">
        <v>108</v>
      </c>
      <c r="AS241" s="132">
        <v>27</v>
      </c>
      <c r="AT241" s="131">
        <v>110</v>
      </c>
      <c r="AU241" s="132" t="s">
        <v>182</v>
      </c>
      <c r="AV241" s="16" t="s">
        <v>112</v>
      </c>
      <c r="AW241" s="56" t="s">
        <v>162</v>
      </c>
      <c r="AX241" s="56" t="s">
        <v>114</v>
      </c>
      <c r="AY241" s="7" t="s">
        <v>1159</v>
      </c>
      <c r="AZ241" s="10" t="s">
        <v>1160</v>
      </c>
      <c r="BA241" s="7" t="s">
        <v>1161</v>
      </c>
      <c r="BB241" s="52">
        <v>28494</v>
      </c>
      <c r="BC241" s="17" t="s">
        <v>96</v>
      </c>
      <c r="BD241" s="18" t="s">
        <v>1162</v>
      </c>
      <c r="BE241" s="7" t="s">
        <v>216</v>
      </c>
      <c r="BF241" s="7" t="s">
        <v>276</v>
      </c>
      <c r="BG241" s="7" t="s">
        <v>1163</v>
      </c>
      <c r="BH241" s="7" t="s">
        <v>1164</v>
      </c>
      <c r="BI241" s="19"/>
      <c r="BJ241" s="20" t="s">
        <v>1084</v>
      </c>
      <c r="BK241" s="21"/>
      <c r="BL241" s="7" t="s">
        <v>1165</v>
      </c>
      <c r="BM241" s="22" t="s">
        <v>1166</v>
      </c>
      <c r="BN241" s="8" t="s">
        <v>435</v>
      </c>
      <c r="BO241" s="49">
        <v>28615</v>
      </c>
      <c r="BP241" s="17" t="s">
        <v>96</v>
      </c>
      <c r="BQ241" s="18" t="s">
        <v>1158</v>
      </c>
      <c r="BR241" s="7" t="s">
        <v>216</v>
      </c>
      <c r="BS241" s="7" t="s">
        <v>276</v>
      </c>
      <c r="BT241" s="7" t="s">
        <v>1163</v>
      </c>
      <c r="BU241" s="8" t="s">
        <v>1164</v>
      </c>
      <c r="BV241" s="23"/>
      <c r="BW241" s="24" t="s">
        <v>250</v>
      </c>
      <c r="BX241" s="21" t="s">
        <v>1167</v>
      </c>
      <c r="BY241" s="21" t="s">
        <v>108</v>
      </c>
      <c r="BZ241" s="21" t="s">
        <v>108</v>
      </c>
      <c r="CA241" s="21"/>
      <c r="CB241" s="21"/>
      <c r="CC241" s="21"/>
      <c r="CD241" s="21" t="s">
        <v>108</v>
      </c>
      <c r="CE241" s="21" t="s">
        <v>108</v>
      </c>
      <c r="CF241" s="21"/>
      <c r="CG241" s="21" t="s">
        <v>108</v>
      </c>
      <c r="CH241" s="21"/>
      <c r="CI241" s="21"/>
      <c r="CJ241" s="21" t="s">
        <v>108</v>
      </c>
      <c r="CK241" s="21" t="s">
        <v>108</v>
      </c>
      <c r="CL241" s="21" t="s">
        <v>108</v>
      </c>
      <c r="CM241" s="25"/>
      <c r="CN241" s="25"/>
      <c r="CO241" s="25"/>
      <c r="CP241" s="26"/>
    </row>
    <row r="242" spans="1:97" s="27" customFormat="1" ht="27.75" customHeight="1">
      <c r="A242" s="4">
        <v>165</v>
      </c>
      <c r="B242" s="28"/>
      <c r="C242" s="28"/>
      <c r="D242" s="28"/>
      <c r="E242" s="28"/>
      <c r="F242" s="28"/>
      <c r="G242" s="28"/>
      <c r="H242" s="29" t="s">
        <v>85</v>
      </c>
      <c r="I242" s="28" t="s">
        <v>86</v>
      </c>
      <c r="J242" s="30" t="s">
        <v>166</v>
      </c>
      <c r="K242" s="30" t="s">
        <v>1168</v>
      </c>
      <c r="L242" s="31"/>
      <c r="M242" s="29">
        <v>2036</v>
      </c>
      <c r="N242" s="29">
        <v>3177995371</v>
      </c>
      <c r="O242" s="29" t="s">
        <v>1169</v>
      </c>
      <c r="P242" s="32" t="s">
        <v>1170</v>
      </c>
      <c r="Q242" s="390" t="s">
        <v>1171</v>
      </c>
      <c r="R242" s="64" t="s">
        <v>4844</v>
      </c>
      <c r="S242" s="212" t="s">
        <v>12142</v>
      </c>
      <c r="T242" s="31" t="s">
        <v>171</v>
      </c>
      <c r="U242" s="33" t="s">
        <v>172</v>
      </c>
      <c r="V242" s="34" t="s">
        <v>94</v>
      </c>
      <c r="W242" s="35">
        <v>42888</v>
      </c>
      <c r="X242" s="35" t="str">
        <f t="shared" ca="1" si="4"/>
        <v>9 Th, 3 Bln</v>
      </c>
      <c r="Y242" s="31" t="s">
        <v>425</v>
      </c>
      <c r="Z242" s="36" t="s">
        <v>1172</v>
      </c>
      <c r="AA242" s="31" t="s">
        <v>96</v>
      </c>
      <c r="AB242" s="31" t="s">
        <v>97</v>
      </c>
      <c r="AC242" s="30" t="s">
        <v>1173</v>
      </c>
      <c r="AD242" s="129" t="s">
        <v>176</v>
      </c>
      <c r="AE242" s="129" t="s">
        <v>175</v>
      </c>
      <c r="AF242" s="30" t="s">
        <v>1174</v>
      </c>
      <c r="AG242" s="30" t="s">
        <v>241</v>
      </c>
      <c r="AH242" s="30" t="s">
        <v>241</v>
      </c>
      <c r="AI242" s="30"/>
      <c r="AJ242" s="30" t="s">
        <v>103</v>
      </c>
      <c r="AK242" s="30" t="s">
        <v>104</v>
      </c>
      <c r="AL242" s="30" t="s">
        <v>1175</v>
      </c>
      <c r="AM242" s="37" t="s">
        <v>127</v>
      </c>
      <c r="AN242" s="37" t="s">
        <v>1176</v>
      </c>
      <c r="AO242" s="31"/>
      <c r="AP242" s="31" t="s">
        <v>146</v>
      </c>
      <c r="AQ242" s="31" t="s">
        <v>146</v>
      </c>
      <c r="AR242" s="31" t="s">
        <v>127</v>
      </c>
      <c r="AS242" s="130" t="s">
        <v>1177</v>
      </c>
      <c r="AT242" s="129" t="s">
        <v>1178</v>
      </c>
      <c r="AU242" s="130" t="s">
        <v>182</v>
      </c>
      <c r="AV242" s="38" t="s">
        <v>112</v>
      </c>
      <c r="AW242" s="123" t="s">
        <v>549</v>
      </c>
      <c r="AX242" s="123" t="s">
        <v>183</v>
      </c>
      <c r="AY242" s="30" t="s">
        <v>1179</v>
      </c>
      <c r="AZ242" s="32" t="s">
        <v>1180</v>
      </c>
      <c r="BA242" s="30" t="s">
        <v>395</v>
      </c>
      <c r="BB242" s="53">
        <v>32937</v>
      </c>
      <c r="BC242" s="39" t="s">
        <v>96</v>
      </c>
      <c r="BD242" s="40" t="s">
        <v>1181</v>
      </c>
      <c r="BE242" s="30" t="s">
        <v>118</v>
      </c>
      <c r="BF242" s="30" t="s">
        <v>471</v>
      </c>
      <c r="BG242" s="30" t="s">
        <v>1182</v>
      </c>
      <c r="BH242" s="30" t="s">
        <v>1183</v>
      </c>
      <c r="BI242" s="41" t="s">
        <v>1184</v>
      </c>
      <c r="BJ242" s="42" t="s">
        <v>1185</v>
      </c>
      <c r="BK242" s="43" t="s">
        <v>1186</v>
      </c>
      <c r="BL242" s="30" t="s">
        <v>1187</v>
      </c>
      <c r="BM242" s="44" t="s">
        <v>1188</v>
      </c>
      <c r="BN242" s="125" t="s">
        <v>94</v>
      </c>
      <c r="BO242" s="50">
        <v>33593</v>
      </c>
      <c r="BP242" s="39" t="s">
        <v>96</v>
      </c>
      <c r="BQ242" s="40" t="s">
        <v>1176</v>
      </c>
      <c r="BR242" s="30" t="s">
        <v>118</v>
      </c>
      <c r="BS242" s="30" t="s">
        <v>471</v>
      </c>
      <c r="BT242" s="30" t="s">
        <v>1189</v>
      </c>
      <c r="BU242" s="30" t="s">
        <v>1190</v>
      </c>
      <c r="BV242" s="45" t="s">
        <v>1191</v>
      </c>
      <c r="BW242" s="46" t="s">
        <v>1192</v>
      </c>
      <c r="BX242" s="47" t="s">
        <v>1193</v>
      </c>
      <c r="BY242" s="47" t="s">
        <v>1194</v>
      </c>
      <c r="BZ242" s="47" t="s">
        <v>94</v>
      </c>
      <c r="CA242" s="47">
        <v>24984</v>
      </c>
      <c r="CB242" s="47"/>
      <c r="CC242" s="47" t="s">
        <v>1195</v>
      </c>
      <c r="CD242" s="47" t="s">
        <v>118</v>
      </c>
      <c r="CE242" s="47" t="s">
        <v>126</v>
      </c>
      <c r="CF242" s="47" t="s">
        <v>96</v>
      </c>
      <c r="CG242" s="47" t="s">
        <v>1196</v>
      </c>
      <c r="CH242" s="47" t="s">
        <v>966</v>
      </c>
      <c r="CI242" s="47" t="s">
        <v>966</v>
      </c>
      <c r="CJ242" s="47" t="s">
        <v>1174</v>
      </c>
      <c r="CK242" s="47" t="s">
        <v>241</v>
      </c>
      <c r="CL242" s="47" t="s">
        <v>103</v>
      </c>
      <c r="CM242" s="25"/>
      <c r="CN242" s="25"/>
      <c r="CO242" s="25"/>
      <c r="CP242" s="26"/>
    </row>
    <row r="243" spans="1:97" s="27" customFormat="1" ht="23.25" customHeight="1">
      <c r="A243" s="4">
        <v>167</v>
      </c>
      <c r="B243" s="6"/>
      <c r="C243" s="6"/>
      <c r="D243" s="6"/>
      <c r="E243" s="6"/>
      <c r="F243" s="6"/>
      <c r="G243" s="6"/>
      <c r="H243" s="5" t="s">
        <v>85</v>
      </c>
      <c r="I243" s="6" t="s">
        <v>86</v>
      </c>
      <c r="J243" s="7" t="s">
        <v>1218</v>
      </c>
      <c r="K243" s="7" t="s">
        <v>374</v>
      </c>
      <c r="L243" s="8"/>
      <c r="M243" s="5">
        <v>2039</v>
      </c>
      <c r="N243" s="5">
        <v>3185698865</v>
      </c>
      <c r="O243" s="5" t="s">
        <v>1219</v>
      </c>
      <c r="P243" s="10" t="s">
        <v>1220</v>
      </c>
      <c r="Q243" s="389" t="s">
        <v>1221</v>
      </c>
      <c r="R243" s="64" t="s">
        <v>4844</v>
      </c>
      <c r="S243" s="212" t="s">
        <v>12142</v>
      </c>
      <c r="T243" s="8" t="s">
        <v>1222</v>
      </c>
      <c r="U243" s="11" t="s">
        <v>93</v>
      </c>
      <c r="V243" s="12" t="s">
        <v>94</v>
      </c>
      <c r="W243" s="13">
        <v>43267</v>
      </c>
      <c r="X243" s="13" t="str">
        <f t="shared" ca="1" si="4"/>
        <v>8 Th, 3 Bln</v>
      </c>
      <c r="Y243" s="5" t="s">
        <v>95</v>
      </c>
      <c r="Z243" s="14"/>
      <c r="AA243" s="5" t="s">
        <v>96</v>
      </c>
      <c r="AB243" s="5" t="s">
        <v>97</v>
      </c>
      <c r="AC243" s="7" t="s">
        <v>1223</v>
      </c>
      <c r="AD243" s="131" t="s">
        <v>293</v>
      </c>
      <c r="AE243" s="131" t="s">
        <v>546</v>
      </c>
      <c r="AF243" s="7" t="s">
        <v>240</v>
      </c>
      <c r="AG243" s="7" t="s">
        <v>241</v>
      </c>
      <c r="AH243" s="7" t="s">
        <v>241</v>
      </c>
      <c r="AI243" s="7"/>
      <c r="AJ243" s="7" t="s">
        <v>94</v>
      </c>
      <c r="AK243" s="7" t="s">
        <v>104</v>
      </c>
      <c r="AL243" s="7" t="s">
        <v>438</v>
      </c>
      <c r="AM243" s="15" t="s">
        <v>1224</v>
      </c>
      <c r="AN243" s="15" t="s">
        <v>1224</v>
      </c>
      <c r="AO243" s="8"/>
      <c r="AP243" s="8" t="s">
        <v>107</v>
      </c>
      <c r="AQ243" s="8" t="s">
        <v>107</v>
      </c>
      <c r="AR243" s="8" t="s">
        <v>108</v>
      </c>
      <c r="AS243" s="132" t="s">
        <v>1225</v>
      </c>
      <c r="AT243" s="131" t="s">
        <v>1226</v>
      </c>
      <c r="AU243" s="132" t="s">
        <v>182</v>
      </c>
      <c r="AV243" s="16" t="s">
        <v>112</v>
      </c>
      <c r="AW243" s="56" t="s">
        <v>162</v>
      </c>
      <c r="AX243" s="56" t="s">
        <v>114</v>
      </c>
      <c r="AY243" s="7" t="s">
        <v>1227</v>
      </c>
      <c r="AZ243" s="10" t="s">
        <v>1228</v>
      </c>
      <c r="BA243" s="7" t="s">
        <v>94</v>
      </c>
      <c r="BB243" s="52">
        <v>32057</v>
      </c>
      <c r="BC243" s="17" t="s">
        <v>96</v>
      </c>
      <c r="BD243" s="18" t="s">
        <v>1224</v>
      </c>
      <c r="BE243" s="7" t="s">
        <v>153</v>
      </c>
      <c r="BF243" s="7" t="s">
        <v>925</v>
      </c>
      <c r="BG243" s="7" t="s">
        <v>1229</v>
      </c>
      <c r="BH243" s="7" t="s">
        <v>1223</v>
      </c>
      <c r="BI243" s="19" t="s">
        <v>1230</v>
      </c>
      <c r="BJ243" s="20" t="s">
        <v>1231</v>
      </c>
      <c r="BK243" s="21" t="s">
        <v>1232</v>
      </c>
      <c r="BL243" s="7" t="s">
        <v>1233</v>
      </c>
      <c r="BM243" s="22" t="s">
        <v>1234</v>
      </c>
      <c r="BN243" s="8" t="s">
        <v>94</v>
      </c>
      <c r="BO243" s="49">
        <v>32675</v>
      </c>
      <c r="BP243" s="17" t="s">
        <v>96</v>
      </c>
      <c r="BQ243" s="18" t="s">
        <v>1235</v>
      </c>
      <c r="BR243" s="7" t="s">
        <v>118</v>
      </c>
      <c r="BS243" s="7" t="s">
        <v>126</v>
      </c>
      <c r="BT243" s="7" t="s">
        <v>452</v>
      </c>
      <c r="BU243" s="8" t="s">
        <v>94</v>
      </c>
      <c r="BV243" s="23" t="s">
        <v>127</v>
      </c>
      <c r="BW243" s="24" t="s">
        <v>127</v>
      </c>
      <c r="BX243" s="21" t="s">
        <v>1236</v>
      </c>
      <c r="BY243" s="21" t="s">
        <v>108</v>
      </c>
      <c r="BZ243" s="21" t="s">
        <v>108</v>
      </c>
      <c r="CA243" s="21"/>
      <c r="CB243" s="21"/>
      <c r="CC243" s="21"/>
      <c r="CD243" s="21" t="s">
        <v>108</v>
      </c>
      <c r="CE243" s="21" t="s">
        <v>108</v>
      </c>
      <c r="CF243" s="21"/>
      <c r="CG243" s="21" t="s">
        <v>108</v>
      </c>
      <c r="CH243" s="21"/>
      <c r="CI243" s="21"/>
      <c r="CJ243" s="21" t="s">
        <v>108</v>
      </c>
      <c r="CK243" s="21" t="s">
        <v>108</v>
      </c>
      <c r="CL243" s="21" t="s">
        <v>108</v>
      </c>
      <c r="CM243" s="25"/>
      <c r="CN243" s="25"/>
      <c r="CO243" s="25"/>
      <c r="CP243" s="26"/>
    </row>
    <row r="244" spans="1:97" s="27" customFormat="1" ht="23.25" customHeight="1">
      <c r="A244" s="4">
        <v>191</v>
      </c>
      <c r="B244" s="6"/>
      <c r="C244" s="6"/>
      <c r="D244" s="6"/>
      <c r="E244" s="6"/>
      <c r="F244" s="6"/>
      <c r="G244" s="6"/>
      <c r="H244" s="5" t="s">
        <v>85</v>
      </c>
      <c r="I244" s="6" t="s">
        <v>86</v>
      </c>
      <c r="J244" s="7" t="s">
        <v>1713</v>
      </c>
      <c r="K244" s="7" t="s">
        <v>1714</v>
      </c>
      <c r="L244" s="8"/>
      <c r="M244" s="5">
        <v>2042</v>
      </c>
      <c r="N244" s="5">
        <v>3183386824</v>
      </c>
      <c r="O244" s="5" t="s">
        <v>1715</v>
      </c>
      <c r="P244" s="10" t="s">
        <v>1716</v>
      </c>
      <c r="Q244" s="389" t="s">
        <v>1717</v>
      </c>
      <c r="R244" s="64" t="s">
        <v>4844</v>
      </c>
      <c r="S244" s="212" t="s">
        <v>12142</v>
      </c>
      <c r="T244" s="8" t="s">
        <v>1718</v>
      </c>
      <c r="U244" s="11" t="s">
        <v>93</v>
      </c>
      <c r="V244" s="12" t="s">
        <v>94</v>
      </c>
      <c r="W244" s="13">
        <v>43298</v>
      </c>
      <c r="X244" s="13" t="str">
        <f t="shared" ca="1" si="4"/>
        <v>8 Th, 1 Bln</v>
      </c>
      <c r="Y244" s="5" t="s">
        <v>95</v>
      </c>
      <c r="Z244" s="14"/>
      <c r="AA244" s="5" t="s">
        <v>96</v>
      </c>
      <c r="AB244" s="5" t="s">
        <v>97</v>
      </c>
      <c r="AC244" s="7" t="s">
        <v>1719</v>
      </c>
      <c r="AD244" s="131" t="s">
        <v>100</v>
      </c>
      <c r="AE244" s="131" t="s">
        <v>293</v>
      </c>
      <c r="AF244" s="7" t="s">
        <v>942</v>
      </c>
      <c r="AG244" s="7" t="s">
        <v>178</v>
      </c>
      <c r="AH244" s="7" t="s">
        <v>178</v>
      </c>
      <c r="AI244" s="7"/>
      <c r="AJ244" s="7" t="s">
        <v>94</v>
      </c>
      <c r="AK244" s="7" t="s">
        <v>179</v>
      </c>
      <c r="AL244" s="7" t="s">
        <v>688</v>
      </c>
      <c r="AM244" s="15" t="s">
        <v>127</v>
      </c>
      <c r="AN244" s="15" t="s">
        <v>1720</v>
      </c>
      <c r="AO244" s="8"/>
      <c r="AP244" s="8" t="s">
        <v>293</v>
      </c>
      <c r="AQ244" s="8" t="s">
        <v>293</v>
      </c>
      <c r="AR244" s="8" t="s">
        <v>127</v>
      </c>
      <c r="AS244" s="132" t="s">
        <v>1721</v>
      </c>
      <c r="AT244" s="131">
        <v>100</v>
      </c>
      <c r="AU244" s="132" t="s">
        <v>149</v>
      </c>
      <c r="AV244" s="16" t="s">
        <v>112</v>
      </c>
      <c r="AW244" s="56" t="s">
        <v>392</v>
      </c>
      <c r="AX244" s="56" t="s">
        <v>1722</v>
      </c>
      <c r="AY244" s="7" t="s">
        <v>1723</v>
      </c>
      <c r="AZ244" s="10" t="s">
        <v>1724</v>
      </c>
      <c r="BA244" s="7" t="s">
        <v>502</v>
      </c>
      <c r="BB244" s="52">
        <v>33564</v>
      </c>
      <c r="BC244" s="17" t="s">
        <v>96</v>
      </c>
      <c r="BD244" s="18" t="s">
        <v>1725</v>
      </c>
      <c r="BE244" s="7" t="s">
        <v>118</v>
      </c>
      <c r="BF244" s="7" t="s">
        <v>119</v>
      </c>
      <c r="BG244" s="7" t="s">
        <v>1726</v>
      </c>
      <c r="BH244" s="7" t="s">
        <v>127</v>
      </c>
      <c r="BI244" s="19" t="s">
        <v>127</v>
      </c>
      <c r="BJ244" s="20" t="s">
        <v>1727</v>
      </c>
      <c r="BK244" s="21" t="s">
        <v>1728</v>
      </c>
      <c r="BL244" s="7" t="s">
        <v>1729</v>
      </c>
      <c r="BM244" s="22" t="s">
        <v>1730</v>
      </c>
      <c r="BN244" s="8" t="s">
        <v>94</v>
      </c>
      <c r="BO244" s="49">
        <v>33895</v>
      </c>
      <c r="BP244" s="17" t="s">
        <v>96</v>
      </c>
      <c r="BQ244" s="18" t="s">
        <v>1720</v>
      </c>
      <c r="BR244" s="7" t="s">
        <v>118</v>
      </c>
      <c r="BS244" s="7" t="s">
        <v>1731</v>
      </c>
      <c r="BT244" s="7" t="s">
        <v>1732</v>
      </c>
      <c r="BU244" s="8" t="s">
        <v>1733</v>
      </c>
      <c r="BV244" s="23" t="s">
        <v>1734</v>
      </c>
      <c r="BW244" s="24">
        <v>500</v>
      </c>
      <c r="BX244" s="21" t="s">
        <v>1735</v>
      </c>
      <c r="BY244" s="21" t="s">
        <v>108</v>
      </c>
      <c r="BZ244" s="21" t="s">
        <v>108</v>
      </c>
      <c r="CA244" s="21"/>
      <c r="CB244" s="21"/>
      <c r="CC244" s="21"/>
      <c r="CD244" s="21" t="s">
        <v>108</v>
      </c>
      <c r="CE244" s="21" t="s">
        <v>108</v>
      </c>
      <c r="CF244" s="21"/>
      <c r="CG244" s="21" t="s">
        <v>108</v>
      </c>
      <c r="CH244" s="21"/>
      <c r="CI244" s="21"/>
      <c r="CJ244" s="21" t="s">
        <v>108</v>
      </c>
      <c r="CK244" s="21" t="s">
        <v>108</v>
      </c>
      <c r="CL244" s="21" t="s">
        <v>108</v>
      </c>
      <c r="CM244" s="25"/>
      <c r="CN244" s="25"/>
      <c r="CO244" s="25"/>
      <c r="CP244" s="26"/>
    </row>
    <row r="245" spans="1:97" s="27" customFormat="1" ht="23.25" customHeight="1">
      <c r="A245" s="4">
        <v>141</v>
      </c>
      <c r="B245" s="6"/>
      <c r="C245" s="6"/>
      <c r="D245" s="6"/>
      <c r="E245" s="6"/>
      <c r="F245" s="6"/>
      <c r="G245" s="6"/>
      <c r="H245" s="5" t="s">
        <v>85</v>
      </c>
      <c r="I245" s="6" t="s">
        <v>86</v>
      </c>
      <c r="J245" s="7" t="s">
        <v>166</v>
      </c>
      <c r="K245" s="7" t="s">
        <v>609</v>
      </c>
      <c r="L245" s="8"/>
      <c r="M245" s="5">
        <v>2043</v>
      </c>
      <c r="N245" s="5">
        <v>3177123972</v>
      </c>
      <c r="O245" s="5" t="s">
        <v>610</v>
      </c>
      <c r="P245" s="10" t="s">
        <v>611</v>
      </c>
      <c r="Q245" s="389" t="s">
        <v>612</v>
      </c>
      <c r="R245" s="64" t="s">
        <v>4844</v>
      </c>
      <c r="S245" s="212" t="s">
        <v>12142</v>
      </c>
      <c r="T245" s="8" t="s">
        <v>613</v>
      </c>
      <c r="U245" s="11" t="s">
        <v>93</v>
      </c>
      <c r="V245" s="12" t="s">
        <v>444</v>
      </c>
      <c r="W245" s="13">
        <v>43047</v>
      </c>
      <c r="X245" s="13" t="str">
        <f t="shared" ca="1" si="4"/>
        <v>8 Th, 10 Bln</v>
      </c>
      <c r="Y245" s="5" t="s">
        <v>95</v>
      </c>
      <c r="Z245" s="14"/>
      <c r="AA245" s="5" t="s">
        <v>96</v>
      </c>
      <c r="AB245" s="5" t="s">
        <v>97</v>
      </c>
      <c r="AC245" s="7" t="s">
        <v>614</v>
      </c>
      <c r="AD245" s="131" t="s">
        <v>137</v>
      </c>
      <c r="AE245" s="131">
        <v>20</v>
      </c>
      <c r="AF245" s="7" t="s">
        <v>615</v>
      </c>
      <c r="AG245" s="7" t="s">
        <v>178</v>
      </c>
      <c r="AH245" s="7" t="s">
        <v>178</v>
      </c>
      <c r="AI245" s="7"/>
      <c r="AJ245" s="7" t="s">
        <v>94</v>
      </c>
      <c r="AK245" s="7" t="s">
        <v>104</v>
      </c>
      <c r="AL245" s="7" t="s">
        <v>616</v>
      </c>
      <c r="AM245" s="15" t="s">
        <v>127</v>
      </c>
      <c r="AN245" s="15" t="s">
        <v>617</v>
      </c>
      <c r="AO245" s="8"/>
      <c r="AP245" s="8" t="s">
        <v>107</v>
      </c>
      <c r="AQ245" s="8" t="s">
        <v>298</v>
      </c>
      <c r="AR245" s="8" t="s">
        <v>127</v>
      </c>
      <c r="AS245" s="132">
        <v>19</v>
      </c>
      <c r="AT245" s="131" t="s">
        <v>618</v>
      </c>
      <c r="AU245" s="132" t="s">
        <v>182</v>
      </c>
      <c r="AV245" s="16" t="s">
        <v>112</v>
      </c>
      <c r="AW245" s="56" t="s">
        <v>619</v>
      </c>
      <c r="AX245" s="56" t="s">
        <v>114</v>
      </c>
      <c r="AY245" s="7" t="s">
        <v>620</v>
      </c>
      <c r="AZ245" s="10" t="s">
        <v>621</v>
      </c>
      <c r="BA245" s="7" t="s">
        <v>444</v>
      </c>
      <c r="BB245" s="52">
        <v>31613</v>
      </c>
      <c r="BC245" s="17" t="s">
        <v>96</v>
      </c>
      <c r="BD245" s="18" t="s">
        <v>617</v>
      </c>
      <c r="BE245" s="7" t="s">
        <v>153</v>
      </c>
      <c r="BF245" s="7" t="s">
        <v>622</v>
      </c>
      <c r="BG245" s="7" t="s">
        <v>623</v>
      </c>
      <c r="BH245" s="7" t="s">
        <v>624</v>
      </c>
      <c r="BI245" s="19"/>
      <c r="BJ245" s="20" t="s">
        <v>625</v>
      </c>
      <c r="BK245" s="21"/>
      <c r="BL245" s="7" t="s">
        <v>626</v>
      </c>
      <c r="BM245" s="22" t="s">
        <v>627</v>
      </c>
      <c r="BN245" s="8" t="s">
        <v>444</v>
      </c>
      <c r="BO245" s="49">
        <v>31466</v>
      </c>
      <c r="BP245" s="17" t="s">
        <v>96</v>
      </c>
      <c r="BQ245" s="18" t="s">
        <v>628</v>
      </c>
      <c r="BR245" s="7" t="s">
        <v>153</v>
      </c>
      <c r="BS245" s="7" t="s">
        <v>629</v>
      </c>
      <c r="BT245" s="7" t="s">
        <v>630</v>
      </c>
      <c r="BU245" s="8" t="s">
        <v>631</v>
      </c>
      <c r="BV245" s="23"/>
      <c r="BW245" s="24" t="s">
        <v>632</v>
      </c>
      <c r="BX245" s="21"/>
      <c r="BY245" s="21" t="s">
        <v>108</v>
      </c>
      <c r="BZ245" s="21" t="s">
        <v>108</v>
      </c>
      <c r="CA245" s="21"/>
      <c r="CB245" s="21"/>
      <c r="CC245" s="21"/>
      <c r="CD245" s="21" t="s">
        <v>108</v>
      </c>
      <c r="CE245" s="21" t="s">
        <v>108</v>
      </c>
      <c r="CF245" s="21"/>
      <c r="CG245" s="21" t="s">
        <v>108</v>
      </c>
      <c r="CH245" s="21"/>
      <c r="CI245" s="21"/>
      <c r="CJ245" s="21" t="s">
        <v>108</v>
      </c>
      <c r="CK245" s="21" t="s">
        <v>108</v>
      </c>
      <c r="CL245" s="21" t="s">
        <v>108</v>
      </c>
      <c r="CM245" s="25"/>
      <c r="CN245" s="25"/>
      <c r="CO245" s="25"/>
      <c r="CP245" s="26"/>
    </row>
    <row r="246" spans="1:97" s="27" customFormat="1" ht="23.25" customHeight="1">
      <c r="A246" s="4">
        <v>192</v>
      </c>
      <c r="B246" s="6"/>
      <c r="C246" s="6"/>
      <c r="D246" s="6"/>
      <c r="E246" s="6"/>
      <c r="F246" s="6"/>
      <c r="G246" s="6"/>
      <c r="H246" s="5" t="s">
        <v>85</v>
      </c>
      <c r="I246" s="6" t="s">
        <v>86</v>
      </c>
      <c r="J246" s="7" t="s">
        <v>166</v>
      </c>
      <c r="K246" s="7" t="s">
        <v>374</v>
      </c>
      <c r="L246" s="8"/>
      <c r="M246" s="5">
        <v>2046</v>
      </c>
      <c r="N246" s="5">
        <v>3185718851</v>
      </c>
      <c r="O246" s="5" t="s">
        <v>1736</v>
      </c>
      <c r="P246" s="10" t="s">
        <v>1737</v>
      </c>
      <c r="Q246" s="389" t="s">
        <v>13418</v>
      </c>
      <c r="R246" s="64" t="s">
        <v>4844</v>
      </c>
      <c r="S246" s="212" t="s">
        <v>12142</v>
      </c>
      <c r="T246" s="8" t="s">
        <v>1738</v>
      </c>
      <c r="U246" s="11" t="s">
        <v>93</v>
      </c>
      <c r="V246" s="12" t="s">
        <v>94</v>
      </c>
      <c r="W246" s="13">
        <v>43254</v>
      </c>
      <c r="X246" s="13" t="str">
        <f t="shared" ca="1" si="4"/>
        <v>8 Th, 3 Bln</v>
      </c>
      <c r="Y246" s="5" t="s">
        <v>95</v>
      </c>
      <c r="Z246" s="14"/>
      <c r="AA246" s="5" t="s">
        <v>96</v>
      </c>
      <c r="AB246" s="5" t="s">
        <v>97</v>
      </c>
      <c r="AC246" s="7" t="s">
        <v>1739</v>
      </c>
      <c r="AD246" s="131" t="s">
        <v>265</v>
      </c>
      <c r="AE246" s="131" t="s">
        <v>827</v>
      </c>
      <c r="AF246" s="7" t="s">
        <v>1740</v>
      </c>
      <c r="AG246" s="7" t="s">
        <v>178</v>
      </c>
      <c r="AH246" s="7" t="s">
        <v>178</v>
      </c>
      <c r="AI246" s="7"/>
      <c r="AJ246" s="7" t="s">
        <v>103</v>
      </c>
      <c r="AK246" s="7" t="s">
        <v>179</v>
      </c>
      <c r="AL246" s="7" t="s">
        <v>1106</v>
      </c>
      <c r="AM246" s="15" t="s">
        <v>1741</v>
      </c>
      <c r="AN246" s="15" t="s">
        <v>1742</v>
      </c>
      <c r="AO246" s="8"/>
      <c r="AP246" s="8" t="s">
        <v>146</v>
      </c>
      <c r="AQ246" s="8" t="s">
        <v>147</v>
      </c>
      <c r="AR246" s="8" t="s">
        <v>108</v>
      </c>
      <c r="AS246" s="132">
        <v>25</v>
      </c>
      <c r="AT246" s="131">
        <v>110</v>
      </c>
      <c r="AU246" s="132" t="s">
        <v>111</v>
      </c>
      <c r="AV246" s="16" t="s">
        <v>112</v>
      </c>
      <c r="AW246" s="56" t="s">
        <v>150</v>
      </c>
      <c r="AX246" s="56" t="s">
        <v>323</v>
      </c>
      <c r="AY246" s="7" t="s">
        <v>1743</v>
      </c>
      <c r="AZ246" s="10" t="s">
        <v>1744</v>
      </c>
      <c r="BA246" s="7" t="s">
        <v>94</v>
      </c>
      <c r="BB246" s="52">
        <v>33158</v>
      </c>
      <c r="BC246" s="17" t="s">
        <v>96</v>
      </c>
      <c r="BD246" s="18" t="s">
        <v>1745</v>
      </c>
      <c r="BE246" s="7" t="s">
        <v>153</v>
      </c>
      <c r="BF246" s="7" t="s">
        <v>471</v>
      </c>
      <c r="BG246" s="7" t="s">
        <v>1746</v>
      </c>
      <c r="BH246" s="7" t="s">
        <v>1747</v>
      </c>
      <c r="BI246" s="19"/>
      <c r="BJ246" s="20" t="s">
        <v>818</v>
      </c>
      <c r="BK246" s="21"/>
      <c r="BL246" s="7" t="s">
        <v>1748</v>
      </c>
      <c r="BM246" s="22" t="s">
        <v>1749</v>
      </c>
      <c r="BN246" s="8" t="s">
        <v>94</v>
      </c>
      <c r="BO246" s="49">
        <v>32945</v>
      </c>
      <c r="BP246" s="17" t="s">
        <v>96</v>
      </c>
      <c r="BQ246" s="18" t="s">
        <v>1742</v>
      </c>
      <c r="BR246" s="7" t="s">
        <v>118</v>
      </c>
      <c r="BS246" s="7" t="s">
        <v>471</v>
      </c>
      <c r="BT246" s="7" t="s">
        <v>1750</v>
      </c>
      <c r="BU246" s="8" t="s">
        <v>2448</v>
      </c>
      <c r="BV246" s="23"/>
      <c r="BW246" s="24" t="s">
        <v>1084</v>
      </c>
      <c r="BX246" s="21" t="s">
        <v>1751</v>
      </c>
      <c r="BY246" s="21" t="s">
        <v>108</v>
      </c>
      <c r="BZ246" s="21" t="s">
        <v>108</v>
      </c>
      <c r="CA246" s="21"/>
      <c r="CB246" s="21"/>
      <c r="CC246" s="21"/>
      <c r="CD246" s="21" t="s">
        <v>108</v>
      </c>
      <c r="CE246" s="21" t="s">
        <v>108</v>
      </c>
      <c r="CF246" s="21"/>
      <c r="CG246" s="21" t="s">
        <v>108</v>
      </c>
      <c r="CH246" s="21"/>
      <c r="CI246" s="21"/>
      <c r="CJ246" s="21" t="s">
        <v>108</v>
      </c>
      <c r="CK246" s="21" t="s">
        <v>108</v>
      </c>
      <c r="CL246" s="21" t="s">
        <v>108</v>
      </c>
      <c r="CM246" s="25"/>
      <c r="CN246" s="25"/>
      <c r="CO246" s="25"/>
      <c r="CP246" s="26"/>
    </row>
    <row r="247" spans="1:97" s="27" customFormat="1" ht="23.25" customHeight="1">
      <c r="A247" s="4">
        <v>223</v>
      </c>
      <c r="B247" s="6"/>
      <c r="C247" s="6"/>
      <c r="D247" s="6"/>
      <c r="E247" s="6"/>
      <c r="F247" s="6"/>
      <c r="G247" s="6"/>
      <c r="H247" s="5" t="s">
        <v>85</v>
      </c>
      <c r="I247" s="6" t="s">
        <v>86</v>
      </c>
      <c r="J247" s="7" t="s">
        <v>2402</v>
      </c>
      <c r="K247" s="7" t="s">
        <v>2403</v>
      </c>
      <c r="L247" s="8"/>
      <c r="M247" s="5">
        <v>2050</v>
      </c>
      <c r="N247" s="5">
        <v>3177128967</v>
      </c>
      <c r="O247" s="5" t="s">
        <v>2404</v>
      </c>
      <c r="P247" s="10" t="s">
        <v>2405</v>
      </c>
      <c r="Q247" s="389" t="s">
        <v>2406</v>
      </c>
      <c r="R247" s="64" t="s">
        <v>4844</v>
      </c>
      <c r="S247" s="212" t="s">
        <v>12142</v>
      </c>
      <c r="T247" s="8" t="s">
        <v>2407</v>
      </c>
      <c r="U247" s="11" t="s">
        <v>172</v>
      </c>
      <c r="V247" s="12" t="s">
        <v>94</v>
      </c>
      <c r="W247" s="13">
        <v>43029</v>
      </c>
      <c r="X247" s="13" t="str">
        <f t="shared" ca="1" si="4"/>
        <v>8 Th, 10 Bln</v>
      </c>
      <c r="Y247" s="5" t="s">
        <v>95</v>
      </c>
      <c r="Z247" s="14"/>
      <c r="AA247" s="5" t="s">
        <v>96</v>
      </c>
      <c r="AB247" s="5" t="s">
        <v>97</v>
      </c>
      <c r="AC247" s="7" t="s">
        <v>2408</v>
      </c>
      <c r="AD247" s="131" t="s">
        <v>99</v>
      </c>
      <c r="AE247" s="131">
        <v>16</v>
      </c>
      <c r="AF247" s="7" t="s">
        <v>1395</v>
      </c>
      <c r="AG247" s="7" t="s">
        <v>140</v>
      </c>
      <c r="AH247" s="7" t="s">
        <v>141</v>
      </c>
      <c r="AI247" s="7"/>
      <c r="AJ247" s="7" t="s">
        <v>94</v>
      </c>
      <c r="AK247" s="7" t="s">
        <v>104</v>
      </c>
      <c r="AL247" s="7" t="s">
        <v>665</v>
      </c>
      <c r="AM247" s="15" t="s">
        <v>2409</v>
      </c>
      <c r="AN247" s="15" t="s">
        <v>2410</v>
      </c>
      <c r="AO247" s="8"/>
      <c r="AP247" s="8" t="s">
        <v>146</v>
      </c>
      <c r="AQ247" s="8" t="s">
        <v>146</v>
      </c>
      <c r="AR247" s="8" t="s">
        <v>108</v>
      </c>
      <c r="AS247" s="132">
        <v>23</v>
      </c>
      <c r="AT247" s="131">
        <v>120</v>
      </c>
      <c r="AU247" s="132" t="s">
        <v>182</v>
      </c>
      <c r="AV247" s="16" t="s">
        <v>112</v>
      </c>
      <c r="AW247" s="56" t="s">
        <v>549</v>
      </c>
      <c r="AX247" s="56" t="s">
        <v>183</v>
      </c>
      <c r="AY247" s="7" t="s">
        <v>2411</v>
      </c>
      <c r="AZ247" s="10" t="s">
        <v>2412</v>
      </c>
      <c r="BA247" s="7" t="s">
        <v>94</v>
      </c>
      <c r="BB247" s="52">
        <v>32642</v>
      </c>
      <c r="BC247" s="17" t="s">
        <v>96</v>
      </c>
      <c r="BD247" s="18" t="s">
        <v>2409</v>
      </c>
      <c r="BE247" s="7" t="s">
        <v>118</v>
      </c>
      <c r="BF247" s="7" t="s">
        <v>327</v>
      </c>
      <c r="BG247" s="7" t="s">
        <v>2413</v>
      </c>
      <c r="BH247" s="7" t="s">
        <v>2414</v>
      </c>
      <c r="BI247" s="19"/>
      <c r="BJ247" s="20" t="s">
        <v>1084</v>
      </c>
      <c r="BK247" s="21"/>
      <c r="BL247" s="7" t="s">
        <v>2415</v>
      </c>
      <c r="BM247" s="22" t="s">
        <v>2416</v>
      </c>
      <c r="BN247" s="8" t="s">
        <v>2417</v>
      </c>
      <c r="BO247" s="49">
        <v>33094</v>
      </c>
      <c r="BP247" s="17" t="s">
        <v>96</v>
      </c>
      <c r="BQ247" s="18" t="s">
        <v>2410</v>
      </c>
      <c r="BR247" s="7" t="s">
        <v>118</v>
      </c>
      <c r="BS247" s="7" t="s">
        <v>327</v>
      </c>
      <c r="BT247" s="7" t="s">
        <v>2418</v>
      </c>
      <c r="BU247" s="8" t="s">
        <v>2419</v>
      </c>
      <c r="BV247" s="23"/>
      <c r="BW247" s="24" t="s">
        <v>983</v>
      </c>
      <c r="BX247" s="21"/>
      <c r="BY247" s="21" t="s">
        <v>108</v>
      </c>
      <c r="BZ247" s="21" t="s">
        <v>108</v>
      </c>
      <c r="CA247" s="21"/>
      <c r="CB247" s="21"/>
      <c r="CC247" s="21"/>
      <c r="CD247" s="21" t="s">
        <v>108</v>
      </c>
      <c r="CE247" s="21" t="s">
        <v>108</v>
      </c>
      <c r="CF247" s="21"/>
      <c r="CG247" s="21" t="s">
        <v>108</v>
      </c>
      <c r="CH247" s="21"/>
      <c r="CI247" s="21"/>
      <c r="CJ247" s="21" t="s">
        <v>108</v>
      </c>
      <c r="CK247" s="21" t="s">
        <v>108</v>
      </c>
      <c r="CL247" s="21" t="s">
        <v>108</v>
      </c>
      <c r="CM247" s="25"/>
      <c r="CN247" s="25"/>
      <c r="CO247" s="25"/>
      <c r="CP247" s="26"/>
    </row>
    <row r="248" spans="1:97" s="27" customFormat="1" ht="23.25" customHeight="1">
      <c r="A248" s="4">
        <v>195</v>
      </c>
      <c r="B248" s="6"/>
      <c r="C248" s="6"/>
      <c r="D248" s="6"/>
      <c r="E248" s="6"/>
      <c r="F248" s="6"/>
      <c r="G248" s="6"/>
      <c r="H248" s="5" t="s">
        <v>85</v>
      </c>
      <c r="I248" s="6" t="s">
        <v>86</v>
      </c>
      <c r="J248" s="7" t="s">
        <v>1809</v>
      </c>
      <c r="K248" s="7" t="s">
        <v>1810</v>
      </c>
      <c r="L248" s="8"/>
      <c r="M248" s="5">
        <v>2054</v>
      </c>
      <c r="N248" s="5">
        <v>3173889257</v>
      </c>
      <c r="O248" s="5" t="s">
        <v>1811</v>
      </c>
      <c r="P248" s="10" t="s">
        <v>1812</v>
      </c>
      <c r="Q248" s="389" t="s">
        <v>1813</v>
      </c>
      <c r="R248" s="64" t="s">
        <v>4844</v>
      </c>
      <c r="S248" s="212" t="s">
        <v>12142</v>
      </c>
      <c r="T248" s="8" t="s">
        <v>1814</v>
      </c>
      <c r="U248" s="11" t="s">
        <v>172</v>
      </c>
      <c r="V248" s="12" t="s">
        <v>94</v>
      </c>
      <c r="W248" s="13">
        <v>43049</v>
      </c>
      <c r="X248" s="13" t="str">
        <f t="shared" ca="1" si="4"/>
        <v>8 Th, 10 Bln</v>
      </c>
      <c r="Y248" s="5" t="s">
        <v>95</v>
      </c>
      <c r="Z248" s="14" t="s">
        <v>127</v>
      </c>
      <c r="AA248" s="5" t="s">
        <v>96</v>
      </c>
      <c r="AB248" s="5" t="s">
        <v>97</v>
      </c>
      <c r="AC248" s="7" t="s">
        <v>1815</v>
      </c>
      <c r="AD248" s="131" t="s">
        <v>207</v>
      </c>
      <c r="AE248" s="131" t="s">
        <v>293</v>
      </c>
      <c r="AF248" s="7" t="s">
        <v>921</v>
      </c>
      <c r="AG248" s="7" t="s">
        <v>687</v>
      </c>
      <c r="AH248" s="7" t="s">
        <v>141</v>
      </c>
      <c r="AI248" s="7"/>
      <c r="AJ248" s="7" t="s">
        <v>94</v>
      </c>
      <c r="AK248" s="7" t="s">
        <v>179</v>
      </c>
      <c r="AL248" s="7" t="s">
        <v>688</v>
      </c>
      <c r="AM248" s="15" t="s">
        <v>127</v>
      </c>
      <c r="AN248" s="15" t="s">
        <v>1816</v>
      </c>
      <c r="AO248" s="8"/>
      <c r="AP248" s="8" t="s">
        <v>146</v>
      </c>
      <c r="AQ248" s="8" t="s">
        <v>147</v>
      </c>
      <c r="AR248" s="8" t="s">
        <v>147</v>
      </c>
      <c r="AS248" s="132">
        <v>15</v>
      </c>
      <c r="AT248" s="131">
        <v>107</v>
      </c>
      <c r="AU248" s="132" t="s">
        <v>149</v>
      </c>
      <c r="AV248" s="16" t="s">
        <v>112</v>
      </c>
      <c r="AW248" s="56" t="s">
        <v>150</v>
      </c>
      <c r="AX248" s="56" t="s">
        <v>114</v>
      </c>
      <c r="AY248" s="7" t="s">
        <v>1817</v>
      </c>
      <c r="AZ248" s="10" t="s">
        <v>1818</v>
      </c>
      <c r="BA248" s="7" t="s">
        <v>94</v>
      </c>
      <c r="BB248" s="52">
        <v>32709</v>
      </c>
      <c r="BC248" s="17" t="s">
        <v>96</v>
      </c>
      <c r="BD248" s="18" t="s">
        <v>1816</v>
      </c>
      <c r="BE248" s="7" t="s">
        <v>153</v>
      </c>
      <c r="BF248" s="7" t="s">
        <v>327</v>
      </c>
      <c r="BG248" s="7" t="s">
        <v>1819</v>
      </c>
      <c r="BH248" s="7" t="s">
        <v>1820</v>
      </c>
      <c r="BI248" s="19" t="s">
        <v>1821</v>
      </c>
      <c r="BJ248" s="20">
        <v>4500000</v>
      </c>
      <c r="BK248" s="21" t="s">
        <v>1822</v>
      </c>
      <c r="BL248" s="7" t="s">
        <v>1823</v>
      </c>
      <c r="BM248" s="22" t="s">
        <v>1824</v>
      </c>
      <c r="BN248" s="8" t="s">
        <v>1825</v>
      </c>
      <c r="BO248" s="49">
        <v>32577</v>
      </c>
      <c r="BP248" s="17" t="s">
        <v>96</v>
      </c>
      <c r="BQ248" s="18" t="s">
        <v>1826</v>
      </c>
      <c r="BR248" s="7" t="s">
        <v>118</v>
      </c>
      <c r="BS248" s="7" t="s">
        <v>471</v>
      </c>
      <c r="BT248" s="7" t="s">
        <v>1819</v>
      </c>
      <c r="BU248" s="8" t="s">
        <v>1827</v>
      </c>
      <c r="BV248" s="23" t="s">
        <v>1828</v>
      </c>
      <c r="BW248" s="24" t="s">
        <v>1829</v>
      </c>
      <c r="BX248" s="21" t="s">
        <v>1830</v>
      </c>
      <c r="BY248" s="21" t="s">
        <v>1831</v>
      </c>
      <c r="BZ248" s="21" t="s">
        <v>713</v>
      </c>
      <c r="CA248" s="21">
        <v>22792</v>
      </c>
      <c r="CB248" s="21"/>
      <c r="CC248" s="21" t="s">
        <v>1832</v>
      </c>
      <c r="CD248" s="21" t="s">
        <v>118</v>
      </c>
      <c r="CE248" s="21" t="s">
        <v>913</v>
      </c>
      <c r="CF248" s="21" t="s">
        <v>96</v>
      </c>
      <c r="CG248" s="21" t="s">
        <v>1833</v>
      </c>
      <c r="CH248" s="21" t="s">
        <v>207</v>
      </c>
      <c r="CI248" s="21" t="s">
        <v>293</v>
      </c>
      <c r="CJ248" s="21" t="s">
        <v>921</v>
      </c>
      <c r="CK248" s="21" t="s">
        <v>687</v>
      </c>
      <c r="CL248" s="21" t="s">
        <v>94</v>
      </c>
      <c r="CM248" s="25"/>
      <c r="CN248" s="25"/>
      <c r="CO248" s="25"/>
      <c r="CP248" s="26"/>
    </row>
    <row r="249" spans="1:97" s="27" customFormat="1" ht="23.25" customHeight="1">
      <c r="A249" s="4">
        <v>172</v>
      </c>
      <c r="B249" s="6"/>
      <c r="C249" s="6"/>
      <c r="D249" s="6"/>
      <c r="E249" s="6"/>
      <c r="F249" s="6"/>
      <c r="G249" s="6"/>
      <c r="H249" s="5" t="s">
        <v>85</v>
      </c>
      <c r="I249" s="6" t="s">
        <v>86</v>
      </c>
      <c r="J249" s="7" t="s">
        <v>257</v>
      </c>
      <c r="K249" s="7" t="s">
        <v>1319</v>
      </c>
      <c r="L249" s="8"/>
      <c r="M249" s="5">
        <v>2061</v>
      </c>
      <c r="N249" s="5">
        <v>3172409829</v>
      </c>
      <c r="O249" s="5" t="s">
        <v>1320</v>
      </c>
      <c r="P249" s="10" t="s">
        <v>1321</v>
      </c>
      <c r="Q249" s="389" t="s">
        <v>1322</v>
      </c>
      <c r="R249" s="64" t="s">
        <v>4844</v>
      </c>
      <c r="S249" s="212" t="s">
        <v>12142</v>
      </c>
      <c r="T249" s="8" t="s">
        <v>1323</v>
      </c>
      <c r="U249" s="11" t="s">
        <v>93</v>
      </c>
      <c r="V249" s="12" t="s">
        <v>94</v>
      </c>
      <c r="W249" s="13">
        <v>43086</v>
      </c>
      <c r="X249" s="13" t="str">
        <f t="shared" ca="1" si="4"/>
        <v>8 Th, 8 Bln</v>
      </c>
      <c r="Y249" s="5" t="s">
        <v>95</v>
      </c>
      <c r="Z249" s="14"/>
      <c r="AA249" s="5" t="s">
        <v>96</v>
      </c>
      <c r="AB249" s="5" t="s">
        <v>97</v>
      </c>
      <c r="AC249" s="7" t="s">
        <v>1324</v>
      </c>
      <c r="AD249" s="131" t="s">
        <v>207</v>
      </c>
      <c r="AE249" s="131" t="s">
        <v>99</v>
      </c>
      <c r="AF249" s="7" t="s">
        <v>177</v>
      </c>
      <c r="AG249" s="7" t="s">
        <v>178</v>
      </c>
      <c r="AH249" s="7" t="s">
        <v>178</v>
      </c>
      <c r="AI249" s="7"/>
      <c r="AJ249" s="7" t="s">
        <v>103</v>
      </c>
      <c r="AK249" s="7" t="s">
        <v>179</v>
      </c>
      <c r="AL249" s="7" t="s">
        <v>1325</v>
      </c>
      <c r="AM249" s="15" t="s">
        <v>1326</v>
      </c>
      <c r="AN249" s="15" t="s">
        <v>1327</v>
      </c>
      <c r="AO249" s="8"/>
      <c r="AP249" s="8" t="s">
        <v>107</v>
      </c>
      <c r="AQ249" s="8" t="s">
        <v>107</v>
      </c>
      <c r="AR249" s="8" t="s">
        <v>1326</v>
      </c>
      <c r="AS249" s="132">
        <v>18</v>
      </c>
      <c r="AT249" s="131">
        <v>122</v>
      </c>
      <c r="AU249" s="132" t="s">
        <v>182</v>
      </c>
      <c r="AV249" s="16" t="s">
        <v>112</v>
      </c>
      <c r="AW249" s="56" t="s">
        <v>150</v>
      </c>
      <c r="AX249" s="56" t="s">
        <v>114</v>
      </c>
      <c r="AY249" s="7" t="s">
        <v>1328</v>
      </c>
      <c r="AZ249" s="10" t="s">
        <v>1329</v>
      </c>
      <c r="BA249" s="7" t="s">
        <v>94</v>
      </c>
      <c r="BB249" s="52">
        <v>31500</v>
      </c>
      <c r="BC249" s="17" t="s">
        <v>96</v>
      </c>
      <c r="BD249" s="18" t="s">
        <v>1330</v>
      </c>
      <c r="BE249" s="7" t="s">
        <v>153</v>
      </c>
      <c r="BF249" s="7" t="s">
        <v>1331</v>
      </c>
      <c r="BG249" s="7" t="s">
        <v>1332</v>
      </c>
      <c r="BH249" s="7" t="s">
        <v>1333</v>
      </c>
      <c r="BI249" s="19" t="s">
        <v>1326</v>
      </c>
      <c r="BJ249" s="20" t="s">
        <v>607</v>
      </c>
      <c r="BK249" s="21"/>
      <c r="BL249" s="7" t="s">
        <v>1334</v>
      </c>
      <c r="BM249" s="22" t="s">
        <v>1335</v>
      </c>
      <c r="BN249" s="8" t="s">
        <v>94</v>
      </c>
      <c r="BO249" s="49">
        <v>32856</v>
      </c>
      <c r="BP249" s="17" t="s">
        <v>96</v>
      </c>
      <c r="BQ249" s="18" t="s">
        <v>1336</v>
      </c>
      <c r="BR249" s="7" t="s">
        <v>118</v>
      </c>
      <c r="BS249" s="7" t="s">
        <v>126</v>
      </c>
      <c r="BT249" s="7" t="s">
        <v>1326</v>
      </c>
      <c r="BU249" s="8" t="s">
        <v>1326</v>
      </c>
      <c r="BV249" s="23"/>
      <c r="BW249" s="24" t="s">
        <v>1326</v>
      </c>
      <c r="BX249" s="21" t="s">
        <v>1337</v>
      </c>
      <c r="BY249" s="21" t="s">
        <v>108</v>
      </c>
      <c r="BZ249" s="21" t="s">
        <v>108</v>
      </c>
      <c r="CA249" s="21"/>
      <c r="CB249" s="21"/>
      <c r="CC249" s="21"/>
      <c r="CD249" s="21" t="s">
        <v>108</v>
      </c>
      <c r="CE249" s="21" t="s">
        <v>108</v>
      </c>
      <c r="CF249" s="21"/>
      <c r="CG249" s="21" t="s">
        <v>108</v>
      </c>
      <c r="CH249" s="21"/>
      <c r="CI249" s="21"/>
      <c r="CJ249" s="21" t="s">
        <v>108</v>
      </c>
      <c r="CK249" s="21" t="s">
        <v>108</v>
      </c>
      <c r="CL249" s="21" t="s">
        <v>108</v>
      </c>
      <c r="CM249" s="25"/>
      <c r="CN249" s="25"/>
      <c r="CO249" s="25"/>
      <c r="CP249" s="26"/>
    </row>
    <row r="250" spans="1:97" s="87" customFormat="1" ht="23.25" customHeight="1">
      <c r="A250" s="175">
        <v>225</v>
      </c>
      <c r="B250" s="61"/>
      <c r="C250" s="61"/>
      <c r="D250" s="61"/>
      <c r="E250" s="61"/>
      <c r="F250" s="61"/>
      <c r="G250" s="61"/>
      <c r="H250" s="69">
        <v>45995</v>
      </c>
      <c r="I250" s="61" t="s">
        <v>4774</v>
      </c>
      <c r="J250" s="63" t="s">
        <v>11493</v>
      </c>
      <c r="K250" s="63" t="s">
        <v>11494</v>
      </c>
      <c r="L250" s="64"/>
      <c r="M250" s="178">
        <v>2217</v>
      </c>
      <c r="N250" s="66" t="s">
        <v>11495</v>
      </c>
      <c r="O250" s="65" t="s">
        <v>11496</v>
      </c>
      <c r="P250" s="66" t="s">
        <v>11497</v>
      </c>
      <c r="Q250" s="391" t="s">
        <v>11498</v>
      </c>
      <c r="R250" s="64" t="s">
        <v>4844</v>
      </c>
      <c r="S250" s="212" t="s">
        <v>12142</v>
      </c>
      <c r="T250" s="64" t="s">
        <v>11499</v>
      </c>
      <c r="U250" s="67" t="s">
        <v>93</v>
      </c>
      <c r="V250" s="68" t="s">
        <v>94</v>
      </c>
      <c r="W250" s="69">
        <v>43234</v>
      </c>
      <c r="X250" s="62" t="str">
        <f t="shared" ca="1" si="4"/>
        <v>8 Th, 4 Bln</v>
      </c>
      <c r="Y250" s="62" t="s">
        <v>95</v>
      </c>
      <c r="Z250" s="14"/>
      <c r="AA250" s="62" t="s">
        <v>96</v>
      </c>
      <c r="AB250" s="62" t="s">
        <v>97</v>
      </c>
      <c r="AC250" s="70" t="s">
        <v>11500</v>
      </c>
      <c r="AD250" s="133">
        <v>3</v>
      </c>
      <c r="AE250" s="64">
        <v>6</v>
      </c>
      <c r="AF250" s="63" t="s">
        <v>177</v>
      </c>
      <c r="AG250" s="63" t="s">
        <v>178</v>
      </c>
      <c r="AH250" s="63" t="s">
        <v>178</v>
      </c>
      <c r="AI250" s="63"/>
      <c r="AJ250" s="63" t="s">
        <v>103</v>
      </c>
      <c r="AK250" s="63" t="s">
        <v>104</v>
      </c>
      <c r="AL250" s="176" t="s">
        <v>461</v>
      </c>
      <c r="AM250" s="71" t="s">
        <v>127</v>
      </c>
      <c r="AN250" s="77" t="s">
        <v>11501</v>
      </c>
      <c r="AO250" s="64">
        <v>1</v>
      </c>
      <c r="AP250" s="64">
        <v>0</v>
      </c>
      <c r="AQ250" s="64">
        <v>0</v>
      </c>
      <c r="AR250" s="134">
        <v>0</v>
      </c>
      <c r="AS250" s="133">
        <v>20</v>
      </c>
      <c r="AT250" s="134">
        <v>117</v>
      </c>
      <c r="AU250" s="134" t="s">
        <v>149</v>
      </c>
      <c r="AV250" s="73" t="s">
        <v>112</v>
      </c>
      <c r="AW250" s="135" t="s">
        <v>9693</v>
      </c>
      <c r="AX250" s="63" t="s">
        <v>183</v>
      </c>
      <c r="AY250" s="74" t="s">
        <v>11502</v>
      </c>
      <c r="AZ250" s="179" t="s">
        <v>11503</v>
      </c>
      <c r="BA250" s="75" t="s">
        <v>94</v>
      </c>
      <c r="BB250" s="75">
        <v>33082</v>
      </c>
      <c r="BC250" s="76" t="s">
        <v>96</v>
      </c>
      <c r="BD250" s="77" t="s">
        <v>11504</v>
      </c>
      <c r="BE250" s="63" t="s">
        <v>11505</v>
      </c>
      <c r="BF250" s="63" t="s">
        <v>925</v>
      </c>
      <c r="BG250" s="63" t="s">
        <v>11506</v>
      </c>
      <c r="BH250" s="78" t="s">
        <v>11507</v>
      </c>
      <c r="BI250" s="79"/>
      <c r="BJ250" s="80">
        <v>5000000</v>
      </c>
      <c r="BK250" s="89" t="s">
        <v>11508</v>
      </c>
      <c r="BL250" s="82" t="s">
        <v>11509</v>
      </c>
      <c r="BM250" s="77" t="s">
        <v>11510</v>
      </c>
      <c r="BN250" s="145" t="s">
        <v>444</v>
      </c>
      <c r="BO250" s="75">
        <v>34450</v>
      </c>
      <c r="BP250" s="76" t="s">
        <v>96</v>
      </c>
      <c r="BQ250" s="77" t="s">
        <v>11501</v>
      </c>
      <c r="BR250" s="63" t="s">
        <v>118</v>
      </c>
      <c r="BS250" s="63" t="s">
        <v>126</v>
      </c>
      <c r="BT250" s="64"/>
      <c r="BU250" s="64"/>
      <c r="BV250" s="79"/>
      <c r="BW250" s="83"/>
      <c r="BX250" s="90" t="s">
        <v>11511</v>
      </c>
      <c r="BY250" s="83" t="s">
        <v>11512</v>
      </c>
      <c r="BZ250" s="83" t="s">
        <v>94</v>
      </c>
      <c r="CA250" s="83"/>
      <c r="CB250" s="83"/>
      <c r="CC250" s="91" t="s">
        <v>108</v>
      </c>
      <c r="CD250" s="83"/>
      <c r="CE250" s="83"/>
      <c r="CF250" s="83"/>
      <c r="CG250" s="83"/>
      <c r="CH250" s="83"/>
      <c r="CI250" s="83"/>
      <c r="CJ250" s="83"/>
      <c r="CK250" s="83"/>
      <c r="CL250" s="84"/>
      <c r="CN250" s="85"/>
      <c r="CO250" s="85"/>
      <c r="CP250" s="85"/>
      <c r="CQ250" s="85"/>
      <c r="CR250" s="85"/>
      <c r="CS250" s="86"/>
    </row>
    <row r="251" spans="1:97" s="27" customFormat="1" ht="23.25" customHeight="1">
      <c r="A251" s="4">
        <v>147</v>
      </c>
      <c r="B251" s="6"/>
      <c r="C251" s="6"/>
      <c r="D251" s="6"/>
      <c r="E251" s="6"/>
      <c r="F251" s="6"/>
      <c r="G251" s="6"/>
      <c r="H251" s="5" t="s">
        <v>85</v>
      </c>
      <c r="I251" s="6" t="s">
        <v>86</v>
      </c>
      <c r="J251" s="7" t="s">
        <v>747</v>
      </c>
      <c r="K251" s="7" t="s">
        <v>748</v>
      </c>
      <c r="L251" s="8"/>
      <c r="M251" s="5">
        <v>1961</v>
      </c>
      <c r="N251" s="10" t="s">
        <v>749</v>
      </c>
      <c r="O251" s="10" t="s">
        <v>750</v>
      </c>
      <c r="P251" s="10" t="s">
        <v>751</v>
      </c>
      <c r="Q251" s="389" t="s">
        <v>752</v>
      </c>
      <c r="R251" s="8" t="s">
        <v>5466</v>
      </c>
      <c r="S251" s="212" t="s">
        <v>12143</v>
      </c>
      <c r="T251" s="8" t="s">
        <v>753</v>
      </c>
      <c r="U251" s="11" t="s">
        <v>172</v>
      </c>
      <c r="V251" s="12" t="s">
        <v>444</v>
      </c>
      <c r="W251" s="13">
        <v>43023</v>
      </c>
      <c r="X251" s="13" t="str">
        <f t="shared" ca="1" si="4"/>
        <v>8 Th, 11 Bln</v>
      </c>
      <c r="Y251" s="5" t="s">
        <v>95</v>
      </c>
      <c r="Z251" s="14"/>
      <c r="AA251" s="5" t="s">
        <v>96</v>
      </c>
      <c r="AB251" s="5" t="s">
        <v>97</v>
      </c>
      <c r="AC251" s="7" t="s">
        <v>754</v>
      </c>
      <c r="AD251" s="131" t="s">
        <v>99</v>
      </c>
      <c r="AE251" s="131">
        <v>10</v>
      </c>
      <c r="AF251" s="7" t="s">
        <v>755</v>
      </c>
      <c r="AG251" s="7" t="s">
        <v>102</v>
      </c>
      <c r="AH251" s="7" t="s">
        <v>102</v>
      </c>
      <c r="AI251" s="7"/>
      <c r="AJ251" s="7" t="s">
        <v>103</v>
      </c>
      <c r="AK251" s="7" t="s">
        <v>179</v>
      </c>
      <c r="AL251" s="7" t="s">
        <v>756</v>
      </c>
      <c r="AM251" s="15" t="s">
        <v>757</v>
      </c>
      <c r="AN251" s="15" t="s">
        <v>758</v>
      </c>
      <c r="AO251" s="8"/>
      <c r="AP251" s="8" t="s">
        <v>146</v>
      </c>
      <c r="AQ251" s="8" t="s">
        <v>147</v>
      </c>
      <c r="AR251" s="8" t="s">
        <v>147</v>
      </c>
      <c r="AS251" s="132">
        <v>24</v>
      </c>
      <c r="AT251" s="131">
        <v>114</v>
      </c>
      <c r="AU251" s="132" t="s">
        <v>149</v>
      </c>
      <c r="AV251" s="16" t="s">
        <v>112</v>
      </c>
      <c r="AW251" s="56" t="s">
        <v>150</v>
      </c>
      <c r="AX251" s="56" t="s">
        <v>114</v>
      </c>
      <c r="AY251" s="7" t="s">
        <v>759</v>
      </c>
      <c r="AZ251" s="10" t="s">
        <v>760</v>
      </c>
      <c r="BA251" s="7" t="s">
        <v>444</v>
      </c>
      <c r="BB251" s="52">
        <v>33103</v>
      </c>
      <c r="BC251" s="17" t="s">
        <v>96</v>
      </c>
      <c r="BD251" s="18" t="s">
        <v>757</v>
      </c>
      <c r="BE251" s="7" t="s">
        <v>153</v>
      </c>
      <c r="BF251" s="7" t="s">
        <v>276</v>
      </c>
      <c r="BG251" s="7" t="s">
        <v>761</v>
      </c>
      <c r="BH251" s="7" t="s">
        <v>762</v>
      </c>
      <c r="BI251" s="19" t="s">
        <v>763</v>
      </c>
      <c r="BJ251" s="20">
        <v>4000000</v>
      </c>
      <c r="BK251" s="21" t="s">
        <v>764</v>
      </c>
      <c r="BL251" s="7" t="s">
        <v>765</v>
      </c>
      <c r="BM251" s="22" t="s">
        <v>766</v>
      </c>
      <c r="BN251" s="8" t="s">
        <v>444</v>
      </c>
      <c r="BO251" s="49">
        <v>32910</v>
      </c>
      <c r="BP251" s="17" t="s">
        <v>96</v>
      </c>
      <c r="BQ251" s="18" t="s">
        <v>758</v>
      </c>
      <c r="BR251" s="7" t="s">
        <v>153</v>
      </c>
      <c r="BS251" s="7" t="s">
        <v>767</v>
      </c>
      <c r="BT251" s="7" t="s">
        <v>768</v>
      </c>
      <c r="BU251" s="8" t="s">
        <v>769</v>
      </c>
      <c r="BV251" s="23" t="s">
        <v>770</v>
      </c>
      <c r="BW251" s="24">
        <v>3600000</v>
      </c>
      <c r="BX251" s="21" t="s">
        <v>771</v>
      </c>
      <c r="BY251" s="21" t="s">
        <v>108</v>
      </c>
      <c r="BZ251" s="21" t="s">
        <v>108</v>
      </c>
      <c r="CA251" s="21"/>
      <c r="CB251" s="21"/>
      <c r="CC251" s="21"/>
      <c r="CD251" s="21" t="s">
        <v>108</v>
      </c>
      <c r="CE251" s="21" t="s">
        <v>108</v>
      </c>
      <c r="CF251" s="21"/>
      <c r="CG251" s="21" t="s">
        <v>108</v>
      </c>
      <c r="CH251" s="21"/>
      <c r="CI251" s="21"/>
      <c r="CJ251" s="21"/>
      <c r="CK251" s="21"/>
      <c r="CL251" s="21"/>
      <c r="CM251" s="25"/>
      <c r="CN251" s="25"/>
      <c r="CO251" s="25"/>
      <c r="CP251" s="26"/>
    </row>
    <row r="252" spans="1:97" s="27" customFormat="1" ht="23.25" customHeight="1">
      <c r="A252" s="4">
        <v>201</v>
      </c>
      <c r="B252" s="6"/>
      <c r="C252" s="6"/>
      <c r="D252" s="6"/>
      <c r="E252" s="6"/>
      <c r="F252" s="6"/>
      <c r="G252" s="6"/>
      <c r="H252" s="5" t="s">
        <v>85</v>
      </c>
      <c r="I252" s="6" t="s">
        <v>86</v>
      </c>
      <c r="J252" s="7" t="s">
        <v>402</v>
      </c>
      <c r="K252" s="7" t="s">
        <v>1937</v>
      </c>
      <c r="L252" s="8"/>
      <c r="M252" s="5">
        <v>1962</v>
      </c>
      <c r="N252" s="5">
        <v>3173123610</v>
      </c>
      <c r="O252" s="5" t="s">
        <v>1938</v>
      </c>
      <c r="P252" s="10" t="s">
        <v>1939</v>
      </c>
      <c r="Q252" s="389" t="s">
        <v>1940</v>
      </c>
      <c r="R252" s="8" t="s">
        <v>5466</v>
      </c>
      <c r="S252" s="212" t="s">
        <v>12143</v>
      </c>
      <c r="T252" s="8" t="s">
        <v>1941</v>
      </c>
      <c r="U252" s="11" t="s">
        <v>172</v>
      </c>
      <c r="V252" s="12" t="s">
        <v>94</v>
      </c>
      <c r="W252" s="13">
        <v>42903</v>
      </c>
      <c r="X252" s="13" t="str">
        <f t="shared" ca="1" si="4"/>
        <v>9 Th, 2 Bln</v>
      </c>
      <c r="Y252" s="5" t="s">
        <v>95</v>
      </c>
      <c r="Z252" s="14"/>
      <c r="AA252" s="5" t="s">
        <v>96</v>
      </c>
      <c r="AB252" s="5" t="s">
        <v>97</v>
      </c>
      <c r="AC252" s="7" t="s">
        <v>1942</v>
      </c>
      <c r="AD252" s="131" t="s">
        <v>546</v>
      </c>
      <c r="AE252" s="131" t="s">
        <v>384</v>
      </c>
      <c r="AF252" s="7" t="s">
        <v>942</v>
      </c>
      <c r="AG252" s="7" t="s">
        <v>178</v>
      </c>
      <c r="AH252" s="7" t="s">
        <v>178</v>
      </c>
      <c r="AI252" s="7"/>
      <c r="AJ252" s="7" t="s">
        <v>94</v>
      </c>
      <c r="AK252" s="7" t="s">
        <v>104</v>
      </c>
      <c r="AL252" s="7" t="s">
        <v>1943</v>
      </c>
      <c r="AM252" s="15" t="s">
        <v>127</v>
      </c>
      <c r="AN252" s="15" t="s">
        <v>1944</v>
      </c>
      <c r="AO252" s="8"/>
      <c r="AP252" s="8" t="s">
        <v>107</v>
      </c>
      <c r="AQ252" s="8" t="s">
        <v>107</v>
      </c>
      <c r="AR252" s="8" t="s">
        <v>108</v>
      </c>
      <c r="AS252" s="132" t="s">
        <v>873</v>
      </c>
      <c r="AT252" s="131" t="s">
        <v>1945</v>
      </c>
      <c r="AU252" s="132" t="s">
        <v>149</v>
      </c>
      <c r="AV252" s="16" t="s">
        <v>112</v>
      </c>
      <c r="AW252" s="56" t="s">
        <v>150</v>
      </c>
      <c r="AX252" s="56" t="s">
        <v>1946</v>
      </c>
      <c r="AY252" s="7" t="s">
        <v>1947</v>
      </c>
      <c r="AZ252" s="10" t="s">
        <v>127</v>
      </c>
      <c r="BA252" s="7" t="s">
        <v>127</v>
      </c>
      <c r="BB252" s="52">
        <v>32138</v>
      </c>
      <c r="BC252" s="17" t="s">
        <v>127</v>
      </c>
      <c r="BD252" s="18" t="s">
        <v>127</v>
      </c>
      <c r="BE252" s="7" t="s">
        <v>118</v>
      </c>
      <c r="BF252" s="7" t="s">
        <v>127</v>
      </c>
      <c r="BG252" s="7" t="s">
        <v>127</v>
      </c>
      <c r="BH252" s="7" t="s">
        <v>127</v>
      </c>
      <c r="BI252" s="19"/>
      <c r="BJ252" s="20" t="s">
        <v>127</v>
      </c>
      <c r="BK252" s="21"/>
      <c r="BL252" s="7" t="s">
        <v>1948</v>
      </c>
      <c r="BM252" s="22" t="s">
        <v>1949</v>
      </c>
      <c r="BN252" s="8" t="s">
        <v>603</v>
      </c>
      <c r="BO252" s="49">
        <v>31929</v>
      </c>
      <c r="BP252" s="17" t="s">
        <v>96</v>
      </c>
      <c r="BQ252" s="18" t="s">
        <v>1944</v>
      </c>
      <c r="BR252" s="7" t="s">
        <v>118</v>
      </c>
      <c r="BS252" s="7" t="s">
        <v>276</v>
      </c>
      <c r="BT252" s="7" t="s">
        <v>1950</v>
      </c>
      <c r="BU252" s="8" t="s">
        <v>1951</v>
      </c>
      <c r="BV252" s="23"/>
      <c r="BW252" s="24" t="s">
        <v>556</v>
      </c>
      <c r="BX252" s="21" t="s">
        <v>1952</v>
      </c>
      <c r="BY252" s="21" t="s">
        <v>108</v>
      </c>
      <c r="BZ252" s="21" t="s">
        <v>108</v>
      </c>
      <c r="CA252" s="21"/>
      <c r="CB252" s="21"/>
      <c r="CC252" s="21"/>
      <c r="CD252" s="21" t="s">
        <v>108</v>
      </c>
      <c r="CE252" s="21" t="s">
        <v>108</v>
      </c>
      <c r="CF252" s="21"/>
      <c r="CG252" s="21" t="s">
        <v>108</v>
      </c>
      <c r="CH252" s="21"/>
      <c r="CI252" s="21"/>
      <c r="CJ252" s="21"/>
      <c r="CK252" s="21"/>
      <c r="CL252" s="21"/>
      <c r="CM252" s="25"/>
      <c r="CN252" s="25"/>
      <c r="CO252" s="25"/>
      <c r="CP252" s="26"/>
    </row>
    <row r="253" spans="1:97" s="27" customFormat="1" ht="23.25" customHeight="1">
      <c r="A253" s="4">
        <v>149</v>
      </c>
      <c r="B253" s="6"/>
      <c r="C253" s="6"/>
      <c r="D253" s="6"/>
      <c r="E253" s="6"/>
      <c r="F253" s="6"/>
      <c r="G253" s="6"/>
      <c r="H253" s="5" t="s">
        <v>85</v>
      </c>
      <c r="I253" s="6" t="s">
        <v>86</v>
      </c>
      <c r="J253" s="7" t="s">
        <v>792</v>
      </c>
      <c r="K253" s="7" t="s">
        <v>793</v>
      </c>
      <c r="L253" s="8"/>
      <c r="M253" s="5">
        <v>1965</v>
      </c>
      <c r="N253" s="5">
        <v>3180136048</v>
      </c>
      <c r="O253" s="5" t="s">
        <v>794</v>
      </c>
      <c r="P253" s="10" t="s">
        <v>795</v>
      </c>
      <c r="Q253" s="389" t="s">
        <v>796</v>
      </c>
      <c r="R253" s="8" t="s">
        <v>5466</v>
      </c>
      <c r="S253" s="212" t="s">
        <v>12143</v>
      </c>
      <c r="T253" s="8" t="s">
        <v>797</v>
      </c>
      <c r="U253" s="11" t="s">
        <v>93</v>
      </c>
      <c r="V253" s="12" t="s">
        <v>94</v>
      </c>
      <c r="W253" s="13">
        <v>43113</v>
      </c>
      <c r="X253" s="13" t="str">
        <f t="shared" ca="1" si="4"/>
        <v>8 Th, 8 Bln</v>
      </c>
      <c r="Y253" s="5" t="s">
        <v>95</v>
      </c>
      <c r="Z253" s="14"/>
      <c r="AA253" s="5" t="s">
        <v>96</v>
      </c>
      <c r="AB253" s="5" t="s">
        <v>97</v>
      </c>
      <c r="AC253" s="7" t="s">
        <v>798</v>
      </c>
      <c r="AD253" s="131" t="s">
        <v>176</v>
      </c>
      <c r="AE253" s="131" t="s">
        <v>358</v>
      </c>
      <c r="AF253" s="7" t="s">
        <v>521</v>
      </c>
      <c r="AG253" s="7" t="s">
        <v>178</v>
      </c>
      <c r="AH253" s="7" t="s">
        <v>178</v>
      </c>
      <c r="AI253" s="7"/>
      <c r="AJ253" s="7" t="s">
        <v>94</v>
      </c>
      <c r="AK253" s="7" t="s">
        <v>104</v>
      </c>
      <c r="AL253" s="7" t="s">
        <v>461</v>
      </c>
      <c r="AM253" s="15" t="s">
        <v>799</v>
      </c>
      <c r="AN253" s="15" t="s">
        <v>799</v>
      </c>
      <c r="AO253" s="8"/>
      <c r="AP253" s="8" t="s">
        <v>298</v>
      </c>
      <c r="AQ253" s="8" t="s">
        <v>107</v>
      </c>
      <c r="AR253" s="8" t="s">
        <v>108</v>
      </c>
      <c r="AS253" s="132" t="s">
        <v>800</v>
      </c>
      <c r="AT253" s="131" t="s">
        <v>801</v>
      </c>
      <c r="AU253" s="132" t="s">
        <v>149</v>
      </c>
      <c r="AV253" s="16" t="s">
        <v>112</v>
      </c>
      <c r="AW253" s="56" t="s">
        <v>802</v>
      </c>
      <c r="AX253" s="56" t="s">
        <v>114</v>
      </c>
      <c r="AY253" s="7" t="s">
        <v>803</v>
      </c>
      <c r="AZ253" s="10" t="s">
        <v>804</v>
      </c>
      <c r="BA253" s="7" t="s">
        <v>94</v>
      </c>
      <c r="BB253" s="52">
        <v>29701</v>
      </c>
      <c r="BC253" s="17" t="s">
        <v>96</v>
      </c>
      <c r="BD253" s="18" t="s">
        <v>799</v>
      </c>
      <c r="BE253" s="7" t="s">
        <v>153</v>
      </c>
      <c r="BF253" s="7" t="s">
        <v>327</v>
      </c>
      <c r="BG253" s="7" t="s">
        <v>805</v>
      </c>
      <c r="BH253" s="7" t="s">
        <v>806</v>
      </c>
      <c r="BI253" s="19" t="s">
        <v>807</v>
      </c>
      <c r="BJ253" s="20" t="s">
        <v>808</v>
      </c>
      <c r="BK253" s="21" t="s">
        <v>809</v>
      </c>
      <c r="BL253" s="7" t="s">
        <v>810</v>
      </c>
      <c r="BM253" s="22" t="s">
        <v>811</v>
      </c>
      <c r="BN253" s="8" t="s">
        <v>812</v>
      </c>
      <c r="BO253" s="49">
        <v>28979</v>
      </c>
      <c r="BP253" s="17" t="s">
        <v>96</v>
      </c>
      <c r="BQ253" s="18" t="s">
        <v>813</v>
      </c>
      <c r="BR253" s="7" t="s">
        <v>118</v>
      </c>
      <c r="BS253" s="7" t="s">
        <v>814</v>
      </c>
      <c r="BT253" s="7" t="s">
        <v>815</v>
      </c>
      <c r="BU253" s="8" t="s">
        <v>816</v>
      </c>
      <c r="BV253" s="23" t="s">
        <v>817</v>
      </c>
      <c r="BW253" s="24" t="s">
        <v>818</v>
      </c>
      <c r="BX253" s="21" t="s">
        <v>819</v>
      </c>
      <c r="BY253" s="21" t="s">
        <v>108</v>
      </c>
      <c r="BZ253" s="21" t="s">
        <v>108</v>
      </c>
      <c r="CA253" s="21"/>
      <c r="CB253" s="21"/>
      <c r="CC253" s="21"/>
      <c r="CD253" s="21" t="s">
        <v>108</v>
      </c>
      <c r="CE253" s="21" t="s">
        <v>108</v>
      </c>
      <c r="CF253" s="21"/>
      <c r="CG253" s="21" t="s">
        <v>108</v>
      </c>
      <c r="CH253" s="21"/>
      <c r="CI253" s="21"/>
      <c r="CJ253" s="21"/>
      <c r="CK253" s="21"/>
      <c r="CL253" s="21"/>
      <c r="CM253" s="25"/>
      <c r="CN253" s="25"/>
      <c r="CO253" s="25"/>
      <c r="CP253" s="26"/>
    </row>
    <row r="254" spans="1:97" s="27" customFormat="1" ht="23.25" customHeight="1">
      <c r="A254" s="4">
        <v>202</v>
      </c>
      <c r="B254" s="6"/>
      <c r="C254" s="6"/>
      <c r="D254" s="6"/>
      <c r="E254" s="6"/>
      <c r="F254" s="6"/>
      <c r="G254" s="6"/>
      <c r="H254" s="5" t="s">
        <v>85</v>
      </c>
      <c r="I254" s="6" t="s">
        <v>86</v>
      </c>
      <c r="J254" s="7" t="s">
        <v>1953</v>
      </c>
      <c r="K254" s="7" t="s">
        <v>1954</v>
      </c>
      <c r="L254" s="8"/>
      <c r="M254" s="5">
        <v>1966</v>
      </c>
      <c r="N254" s="5">
        <v>3174124260</v>
      </c>
      <c r="O254" s="5" t="s">
        <v>1955</v>
      </c>
      <c r="P254" s="10" t="s">
        <v>1956</v>
      </c>
      <c r="Q254" s="389" t="s">
        <v>1957</v>
      </c>
      <c r="R254" s="8" t="s">
        <v>5466</v>
      </c>
      <c r="S254" s="212" t="s">
        <v>12143</v>
      </c>
      <c r="T254" s="8" t="s">
        <v>1958</v>
      </c>
      <c r="U254" s="11" t="s">
        <v>93</v>
      </c>
      <c r="V254" s="12" t="s">
        <v>1959</v>
      </c>
      <c r="W254" s="13">
        <v>43073</v>
      </c>
      <c r="X254" s="13" t="str">
        <f t="shared" ca="1" si="4"/>
        <v>8 Th, 9 Bln</v>
      </c>
      <c r="Y254" s="5" t="s">
        <v>95</v>
      </c>
      <c r="Z254" s="14"/>
      <c r="AA254" s="5" t="s">
        <v>96</v>
      </c>
      <c r="AB254" s="5" t="s">
        <v>97</v>
      </c>
      <c r="AC254" s="7" t="s">
        <v>1960</v>
      </c>
      <c r="AD254" s="131">
        <v>1</v>
      </c>
      <c r="AE254" s="131">
        <v>12</v>
      </c>
      <c r="AF254" s="7" t="s">
        <v>1961</v>
      </c>
      <c r="AG254" s="7" t="s">
        <v>1962</v>
      </c>
      <c r="AH254" s="7" t="s">
        <v>141</v>
      </c>
      <c r="AI254" s="7"/>
      <c r="AJ254" s="7" t="s">
        <v>1959</v>
      </c>
      <c r="AK254" s="7" t="s">
        <v>108</v>
      </c>
      <c r="AL254" s="7" t="s">
        <v>108</v>
      </c>
      <c r="AM254" s="15" t="s">
        <v>108</v>
      </c>
      <c r="AN254" s="15"/>
      <c r="AO254" s="8"/>
      <c r="AP254" s="8" t="s">
        <v>107</v>
      </c>
      <c r="AQ254" s="8" t="s">
        <v>146</v>
      </c>
      <c r="AR254" s="8" t="s">
        <v>147</v>
      </c>
      <c r="AS254" s="132"/>
      <c r="AT254" s="131"/>
      <c r="AU254" s="132"/>
      <c r="AV254" s="16" t="s">
        <v>108</v>
      </c>
      <c r="AW254" s="56" t="s">
        <v>108</v>
      </c>
      <c r="AX254" s="56" t="s">
        <v>114</v>
      </c>
      <c r="AY254" s="7" t="s">
        <v>1963</v>
      </c>
      <c r="AZ254" s="10" t="s">
        <v>1964</v>
      </c>
      <c r="BA254" s="7" t="s">
        <v>1765</v>
      </c>
      <c r="BB254" s="52">
        <v>32543</v>
      </c>
      <c r="BC254" s="17" t="s">
        <v>96</v>
      </c>
      <c r="BD254" s="18"/>
      <c r="BE254" s="7" t="s">
        <v>153</v>
      </c>
      <c r="BF254" s="7" t="s">
        <v>108</v>
      </c>
      <c r="BG254" s="7" t="s">
        <v>108</v>
      </c>
      <c r="BH254" s="7" t="s">
        <v>108</v>
      </c>
      <c r="BI254" s="19"/>
      <c r="BJ254" s="20"/>
      <c r="BK254" s="21"/>
      <c r="BL254" s="7" t="s">
        <v>1965</v>
      </c>
      <c r="BM254" s="22" t="s">
        <v>1966</v>
      </c>
      <c r="BN254" s="8" t="s">
        <v>1967</v>
      </c>
      <c r="BO254" s="49">
        <v>34056</v>
      </c>
      <c r="BP254" s="17" t="s">
        <v>96</v>
      </c>
      <c r="BQ254" s="18" t="s">
        <v>1968</v>
      </c>
      <c r="BR254" s="7" t="s">
        <v>118</v>
      </c>
      <c r="BS254" s="7" t="s">
        <v>108</v>
      </c>
      <c r="BT254" s="7" t="s">
        <v>108</v>
      </c>
      <c r="BU254" s="8" t="s">
        <v>108</v>
      </c>
      <c r="BV254" s="23"/>
      <c r="BW254" s="24"/>
      <c r="BX254" s="21"/>
      <c r="BY254" s="21" t="s">
        <v>108</v>
      </c>
      <c r="BZ254" s="21" t="s">
        <v>108</v>
      </c>
      <c r="CA254" s="21"/>
      <c r="CB254" s="21"/>
      <c r="CC254" s="21"/>
      <c r="CD254" s="21" t="s">
        <v>108</v>
      </c>
      <c r="CE254" s="21" t="s">
        <v>108</v>
      </c>
      <c r="CF254" s="21"/>
      <c r="CG254" s="21" t="s">
        <v>108</v>
      </c>
      <c r="CH254" s="21"/>
      <c r="CI254" s="21"/>
      <c r="CJ254" s="21"/>
      <c r="CK254" s="21"/>
      <c r="CL254" s="21"/>
      <c r="CM254" s="25"/>
      <c r="CN254" s="25"/>
      <c r="CO254" s="25"/>
      <c r="CP254" s="26"/>
    </row>
    <row r="255" spans="1:97" s="27" customFormat="1" ht="23.25" customHeight="1">
      <c r="A255" s="4">
        <v>203</v>
      </c>
      <c r="B255" s="6"/>
      <c r="C255" s="6"/>
      <c r="D255" s="6"/>
      <c r="E255" s="6"/>
      <c r="F255" s="6"/>
      <c r="G255" s="6"/>
      <c r="H255" s="5" t="s">
        <v>85</v>
      </c>
      <c r="I255" s="6" t="s">
        <v>86</v>
      </c>
      <c r="J255" s="7" t="s">
        <v>1969</v>
      </c>
      <c r="K255" s="7" t="s">
        <v>1970</v>
      </c>
      <c r="L255" s="8"/>
      <c r="M255" s="5">
        <v>1977</v>
      </c>
      <c r="N255" s="5">
        <v>3172441846</v>
      </c>
      <c r="O255" s="5" t="s">
        <v>1971</v>
      </c>
      <c r="P255" s="10" t="s">
        <v>1972</v>
      </c>
      <c r="Q255" s="389" t="s">
        <v>1973</v>
      </c>
      <c r="R255" s="8" t="s">
        <v>5466</v>
      </c>
      <c r="S255" s="212" t="s">
        <v>12143</v>
      </c>
      <c r="T255" s="8" t="s">
        <v>1974</v>
      </c>
      <c r="U255" s="11" t="s">
        <v>93</v>
      </c>
      <c r="V255" s="12" t="s">
        <v>263</v>
      </c>
      <c r="W255" s="13">
        <v>42960</v>
      </c>
      <c r="X255" s="13" t="str">
        <f t="shared" ca="1" si="4"/>
        <v>9 Th, 1 Bln</v>
      </c>
      <c r="Y255" s="5" t="s">
        <v>95</v>
      </c>
      <c r="Z255" s="14"/>
      <c r="AA255" s="5" t="s">
        <v>96</v>
      </c>
      <c r="AB255" s="5" t="s">
        <v>97</v>
      </c>
      <c r="AC255" s="7" t="s">
        <v>1975</v>
      </c>
      <c r="AD255" s="131" t="s">
        <v>293</v>
      </c>
      <c r="AE255" s="131" t="s">
        <v>293</v>
      </c>
      <c r="AF255" s="7" t="s">
        <v>1976</v>
      </c>
      <c r="AG255" s="7" t="s">
        <v>140</v>
      </c>
      <c r="AH255" s="7" t="s">
        <v>141</v>
      </c>
      <c r="AI255" s="7"/>
      <c r="AJ255" s="7" t="s">
        <v>142</v>
      </c>
      <c r="AK255" s="7" t="s">
        <v>179</v>
      </c>
      <c r="AL255" s="7" t="s">
        <v>1416</v>
      </c>
      <c r="AM255" s="15" t="s">
        <v>1977</v>
      </c>
      <c r="AN255" s="15" t="s">
        <v>1978</v>
      </c>
      <c r="AO255" s="8"/>
      <c r="AP255" s="8" t="s">
        <v>146</v>
      </c>
      <c r="AQ255" s="8" t="s">
        <v>147</v>
      </c>
      <c r="AR255" s="8" t="s">
        <v>108</v>
      </c>
      <c r="AS255" s="132" t="s">
        <v>1979</v>
      </c>
      <c r="AT255" s="131" t="s">
        <v>1266</v>
      </c>
      <c r="AU255" s="132" t="s">
        <v>182</v>
      </c>
      <c r="AV255" s="16" t="s">
        <v>212</v>
      </c>
      <c r="AW255" s="56" t="s">
        <v>1980</v>
      </c>
      <c r="AX255" s="56" t="s">
        <v>1981</v>
      </c>
      <c r="AY255" s="7" t="s">
        <v>1982</v>
      </c>
      <c r="AZ255" s="10" t="s">
        <v>1983</v>
      </c>
      <c r="BA255" s="7" t="s">
        <v>1984</v>
      </c>
      <c r="BB255" s="52">
        <v>28307</v>
      </c>
      <c r="BC255" s="17" t="s">
        <v>96</v>
      </c>
      <c r="BD255" s="18" t="s">
        <v>1978</v>
      </c>
      <c r="BE255" s="7" t="s">
        <v>153</v>
      </c>
      <c r="BF255" s="7" t="s">
        <v>471</v>
      </c>
      <c r="BG255" s="7" t="s">
        <v>1985</v>
      </c>
      <c r="BH255" s="7" t="s">
        <v>1986</v>
      </c>
      <c r="BI255" s="19"/>
      <c r="BJ255" s="20" t="s">
        <v>1987</v>
      </c>
      <c r="BK255" s="21" t="s">
        <v>1988</v>
      </c>
      <c r="BL255" s="7" t="s">
        <v>1989</v>
      </c>
      <c r="BM255" s="22" t="s">
        <v>1990</v>
      </c>
      <c r="BN255" s="8" t="s">
        <v>1161</v>
      </c>
      <c r="BO255" s="49">
        <v>29902</v>
      </c>
      <c r="BP255" s="17" t="s">
        <v>96</v>
      </c>
      <c r="BQ255" s="18" t="s">
        <v>1977</v>
      </c>
      <c r="BR255" s="7" t="s">
        <v>118</v>
      </c>
      <c r="BS255" s="7" t="s">
        <v>126</v>
      </c>
      <c r="BT255" s="7" t="s">
        <v>479</v>
      </c>
      <c r="BU255" s="8" t="s">
        <v>1991</v>
      </c>
      <c r="BV255" s="23"/>
      <c r="BW255" s="24">
        <v>0</v>
      </c>
      <c r="BX255" s="21" t="s">
        <v>1992</v>
      </c>
      <c r="BY255" s="21" t="s">
        <v>108</v>
      </c>
      <c r="BZ255" s="21" t="s">
        <v>108</v>
      </c>
      <c r="CA255" s="21"/>
      <c r="CB255" s="21"/>
      <c r="CC255" s="21"/>
      <c r="CD255" s="21" t="s">
        <v>108</v>
      </c>
      <c r="CE255" s="21" t="s">
        <v>108</v>
      </c>
      <c r="CF255" s="21"/>
      <c r="CG255" s="21" t="s">
        <v>108</v>
      </c>
      <c r="CH255" s="21"/>
      <c r="CI255" s="21"/>
      <c r="CJ255" s="21" t="s">
        <v>108</v>
      </c>
      <c r="CK255" s="21" t="s">
        <v>108</v>
      </c>
      <c r="CL255" s="21" t="s">
        <v>108</v>
      </c>
      <c r="CM255" s="25"/>
      <c r="CN255" s="25"/>
      <c r="CO255" s="25"/>
      <c r="CP255" s="26"/>
    </row>
    <row r="256" spans="1:97" s="355" customFormat="1">
      <c r="A256" s="343"/>
      <c r="B256" s="344"/>
      <c r="C256" s="344"/>
      <c r="D256" s="345"/>
      <c r="E256" s="345"/>
      <c r="F256" s="345"/>
      <c r="G256" s="343"/>
      <c r="H256" s="346" t="s">
        <v>13328</v>
      </c>
      <c r="I256" s="343" t="s">
        <v>4774</v>
      </c>
      <c r="J256" s="343" t="s">
        <v>13329</v>
      </c>
      <c r="K256" s="347" t="s">
        <v>13330</v>
      </c>
      <c r="L256" s="343"/>
      <c r="M256" s="343">
        <v>2323</v>
      </c>
      <c r="N256" s="343">
        <v>3188704731</v>
      </c>
      <c r="O256" s="356" t="s">
        <v>13331</v>
      </c>
      <c r="P256" s="356" t="s">
        <v>13332</v>
      </c>
      <c r="Q256" s="392" t="s">
        <v>12133</v>
      </c>
      <c r="R256" s="358" t="s">
        <v>5466</v>
      </c>
      <c r="S256" s="359" t="s">
        <v>12143</v>
      </c>
      <c r="T256" s="343" t="s">
        <v>1655</v>
      </c>
      <c r="U256" s="343" t="s">
        <v>172</v>
      </c>
      <c r="V256" s="343" t="s">
        <v>94</v>
      </c>
      <c r="W256" s="357">
        <v>41341</v>
      </c>
      <c r="X256" s="343" t="str">
        <f t="shared" ca="1" si="4"/>
        <v>13 Th, 6 Bln</v>
      </c>
      <c r="Y256" s="343"/>
      <c r="Z256" s="343"/>
      <c r="AA256" s="343" t="s">
        <v>96</v>
      </c>
      <c r="AB256" s="343" t="s">
        <v>97</v>
      </c>
      <c r="AC256" s="343" t="s">
        <v>13333</v>
      </c>
      <c r="AD256" s="343"/>
      <c r="AE256" s="343"/>
      <c r="AF256" s="343" t="s">
        <v>1155</v>
      </c>
      <c r="AG256" s="343" t="s">
        <v>140</v>
      </c>
      <c r="AH256" s="348" t="s">
        <v>141</v>
      </c>
      <c r="AI256" s="343"/>
      <c r="AJ256" s="343" t="s">
        <v>142</v>
      </c>
      <c r="AK256" s="348"/>
      <c r="AL256" s="348"/>
      <c r="AM256" s="348"/>
      <c r="AN256" s="343"/>
      <c r="AO256" s="348"/>
      <c r="AP256" s="349"/>
      <c r="AQ256" s="349"/>
      <c r="AR256" s="349"/>
      <c r="AS256" s="343"/>
      <c r="AT256" s="343"/>
      <c r="AU256" s="348"/>
      <c r="AV256" s="350"/>
      <c r="AW256" s="351"/>
      <c r="AX256" s="351"/>
      <c r="AY256" s="352" t="s">
        <v>13334</v>
      </c>
      <c r="AZ256" s="298" t="s">
        <v>13335</v>
      </c>
      <c r="BA256" s="348" t="s">
        <v>603</v>
      </c>
      <c r="BB256" s="353">
        <v>30993</v>
      </c>
      <c r="BC256" s="348"/>
      <c r="BD256" s="296" t="s">
        <v>13336</v>
      </c>
      <c r="BE256" s="348" t="s">
        <v>118</v>
      </c>
      <c r="BF256" s="343" t="s">
        <v>188</v>
      </c>
      <c r="BG256" s="348" t="s">
        <v>120</v>
      </c>
      <c r="BH256" s="348" t="s">
        <v>13337</v>
      </c>
      <c r="BI256" s="296" t="s">
        <v>13338</v>
      </c>
      <c r="BJ256" s="298" t="s">
        <v>808</v>
      </c>
      <c r="BK256" s="298" t="s">
        <v>13339</v>
      </c>
      <c r="BL256" s="354" t="s">
        <v>13341</v>
      </c>
      <c r="BM256" s="297" t="s">
        <v>13340</v>
      </c>
      <c r="BN256" s="343" t="s">
        <v>603</v>
      </c>
      <c r="BO256" s="353">
        <v>31048</v>
      </c>
      <c r="BQ256" s="295" t="s">
        <v>13342</v>
      </c>
      <c r="BR256" s="348" t="s">
        <v>118</v>
      </c>
      <c r="BS256" s="343" t="s">
        <v>247</v>
      </c>
      <c r="BT256" s="355" t="s">
        <v>247</v>
      </c>
      <c r="BU256" s="348" t="s">
        <v>13343</v>
      </c>
      <c r="BV256" s="348"/>
      <c r="BW256" s="348">
        <v>5000000</v>
      </c>
      <c r="BX256" s="343"/>
      <c r="BY256" s="343"/>
      <c r="BZ256" s="348"/>
      <c r="CA256" s="348"/>
      <c r="CB256" s="348"/>
      <c r="CC256" s="348"/>
      <c r="CD256" s="348"/>
      <c r="CE256" s="348"/>
      <c r="CF256" s="343"/>
      <c r="CG256" s="348"/>
      <c r="CH256" s="343"/>
      <c r="CI256" s="343"/>
      <c r="CJ256" s="343"/>
      <c r="CK256" s="343"/>
      <c r="CL256" s="343"/>
    </row>
    <row r="257" spans="1:97" s="27" customFormat="1" ht="23.25" customHeight="1">
      <c r="A257" s="4">
        <v>152</v>
      </c>
      <c r="B257" s="6"/>
      <c r="C257" s="6"/>
      <c r="D257" s="6"/>
      <c r="E257" s="6"/>
      <c r="F257" s="6"/>
      <c r="G257" s="6"/>
      <c r="H257" s="5" t="s">
        <v>85</v>
      </c>
      <c r="I257" s="6" t="s">
        <v>86</v>
      </c>
      <c r="J257" s="7" t="s">
        <v>166</v>
      </c>
      <c r="K257" s="7" t="s">
        <v>865</v>
      </c>
      <c r="L257" s="8"/>
      <c r="M257" s="5">
        <v>1986</v>
      </c>
      <c r="N257" s="5">
        <v>3189063063</v>
      </c>
      <c r="O257" s="5" t="s">
        <v>866</v>
      </c>
      <c r="P257" s="10" t="s">
        <v>867</v>
      </c>
      <c r="Q257" s="389" t="s">
        <v>868</v>
      </c>
      <c r="R257" s="8" t="s">
        <v>5466</v>
      </c>
      <c r="S257" s="212" t="s">
        <v>12143</v>
      </c>
      <c r="T257" s="8" t="s">
        <v>869</v>
      </c>
      <c r="U257" s="11" t="s">
        <v>172</v>
      </c>
      <c r="V257" s="12" t="s">
        <v>94</v>
      </c>
      <c r="W257" s="13">
        <v>43166</v>
      </c>
      <c r="X257" s="13" t="str">
        <f ca="1">""&amp;DATEDIF(W257,TODAY(),"y")&amp;" Th, "&amp;DATEDIF(W257,TODAY(),"ym")&amp;" Bln"</f>
        <v>8 Th, 6 Bln</v>
      </c>
      <c r="Y257" s="5" t="s">
        <v>95</v>
      </c>
      <c r="Z257" s="14"/>
      <c r="AA257" s="5" t="s">
        <v>96</v>
      </c>
      <c r="AB257" s="5" t="s">
        <v>97</v>
      </c>
      <c r="AC257" s="7" t="s">
        <v>870</v>
      </c>
      <c r="AD257" s="131" t="s">
        <v>99</v>
      </c>
      <c r="AE257" s="131" t="s">
        <v>137</v>
      </c>
      <c r="AF257" s="7" t="s">
        <v>871</v>
      </c>
      <c r="AG257" s="7" t="s">
        <v>410</v>
      </c>
      <c r="AH257" s="7" t="s">
        <v>141</v>
      </c>
      <c r="AI257" s="7"/>
      <c r="AJ257" s="7" t="s">
        <v>94</v>
      </c>
      <c r="AK257" s="7" t="s">
        <v>179</v>
      </c>
      <c r="AL257" s="7" t="s">
        <v>461</v>
      </c>
      <c r="AM257" s="15" t="s">
        <v>872</v>
      </c>
      <c r="AN257" s="15" t="s">
        <v>872</v>
      </c>
      <c r="AO257" s="8"/>
      <c r="AP257" s="8" t="s">
        <v>107</v>
      </c>
      <c r="AQ257" s="8" t="s">
        <v>107</v>
      </c>
      <c r="AR257" s="8" t="s">
        <v>108</v>
      </c>
      <c r="AS257" s="132" t="s">
        <v>873</v>
      </c>
      <c r="AT257" s="131">
        <v>115</v>
      </c>
      <c r="AU257" s="132" t="s">
        <v>498</v>
      </c>
      <c r="AV257" s="16" t="s">
        <v>112</v>
      </c>
      <c r="AW257" s="56" t="s">
        <v>392</v>
      </c>
      <c r="AX257" s="56" t="s">
        <v>183</v>
      </c>
      <c r="AY257" s="7" t="s">
        <v>874</v>
      </c>
      <c r="AZ257" s="10" t="s">
        <v>867</v>
      </c>
      <c r="BA257" s="7" t="s">
        <v>94</v>
      </c>
      <c r="BB257" s="52">
        <v>43284</v>
      </c>
      <c r="BC257" s="17" t="s">
        <v>96</v>
      </c>
      <c r="BD257" s="18" t="s">
        <v>875</v>
      </c>
      <c r="BE257" s="7" t="s">
        <v>118</v>
      </c>
      <c r="BF257" s="7" t="s">
        <v>247</v>
      </c>
      <c r="BG257" s="7" t="s">
        <v>876</v>
      </c>
      <c r="BH257" s="7" t="s">
        <v>876</v>
      </c>
      <c r="BI257" s="19" t="s">
        <v>877</v>
      </c>
      <c r="BJ257" s="20" t="s">
        <v>878</v>
      </c>
      <c r="BK257" s="21" t="s">
        <v>879</v>
      </c>
      <c r="BL257" s="7" t="s">
        <v>880</v>
      </c>
      <c r="BM257" s="22" t="s">
        <v>881</v>
      </c>
      <c r="BN257" s="8" t="s">
        <v>444</v>
      </c>
      <c r="BO257" s="49">
        <v>33792</v>
      </c>
      <c r="BP257" s="17" t="s">
        <v>96</v>
      </c>
      <c r="BQ257" s="18" t="s">
        <v>872</v>
      </c>
      <c r="BR257" s="7" t="s">
        <v>118</v>
      </c>
      <c r="BS257" s="7" t="s">
        <v>247</v>
      </c>
      <c r="BT257" s="7" t="s">
        <v>876</v>
      </c>
      <c r="BU257" s="8" t="s">
        <v>876</v>
      </c>
      <c r="BV257" s="23" t="s">
        <v>877</v>
      </c>
      <c r="BW257" s="24" t="s">
        <v>882</v>
      </c>
      <c r="BX257" s="21" t="s">
        <v>879</v>
      </c>
      <c r="BY257" s="21" t="s">
        <v>108</v>
      </c>
      <c r="BZ257" s="21" t="s">
        <v>108</v>
      </c>
      <c r="CA257" s="21"/>
      <c r="CB257" s="21"/>
      <c r="CC257" s="21"/>
      <c r="CD257" s="21" t="s">
        <v>108</v>
      </c>
      <c r="CE257" s="21" t="s">
        <v>108</v>
      </c>
      <c r="CF257" s="21"/>
      <c r="CG257" s="21" t="s">
        <v>108</v>
      </c>
      <c r="CH257" s="21"/>
      <c r="CI257" s="21"/>
      <c r="CJ257" s="21" t="s">
        <v>108</v>
      </c>
      <c r="CK257" s="21" t="s">
        <v>108</v>
      </c>
      <c r="CL257" s="21" t="s">
        <v>108</v>
      </c>
      <c r="CN257" s="25"/>
      <c r="CO257" s="25"/>
      <c r="CP257" s="25"/>
      <c r="CQ257" s="25"/>
      <c r="CR257" s="25"/>
      <c r="CS257" s="26"/>
    </row>
    <row r="258" spans="1:97" s="27" customFormat="1" ht="23.25" customHeight="1">
      <c r="A258" s="4">
        <v>129</v>
      </c>
      <c r="B258" s="6"/>
      <c r="C258" s="6"/>
      <c r="D258" s="6"/>
      <c r="E258" s="6"/>
      <c r="F258" s="6"/>
      <c r="G258" s="6"/>
      <c r="H258" s="5" t="s">
        <v>85</v>
      </c>
      <c r="I258" s="6" t="s">
        <v>86</v>
      </c>
      <c r="J258" s="7" t="s">
        <v>335</v>
      </c>
      <c r="K258" s="7" t="s">
        <v>336</v>
      </c>
      <c r="L258" s="8"/>
      <c r="M258" s="5">
        <v>1987</v>
      </c>
      <c r="N258" s="5">
        <v>3176669780</v>
      </c>
      <c r="O258" s="5" t="s">
        <v>337</v>
      </c>
      <c r="P258" s="10" t="s">
        <v>338</v>
      </c>
      <c r="Q258" s="389" t="s">
        <v>339</v>
      </c>
      <c r="R258" s="8" t="s">
        <v>5466</v>
      </c>
      <c r="S258" s="212" t="s">
        <v>12143</v>
      </c>
      <c r="T258" s="8" t="s">
        <v>340</v>
      </c>
      <c r="U258" s="11" t="s">
        <v>172</v>
      </c>
      <c r="V258" s="12" t="s">
        <v>94</v>
      </c>
      <c r="W258" s="13">
        <v>43004</v>
      </c>
      <c r="X258" s="13" t="str">
        <f ca="1">""&amp;DATEDIF(W258,TODAY(),"y")&amp;" Th, "&amp;DATEDIF(W258,TODAY(),"ym")&amp;" Bln"</f>
        <v>8 Th, 11 Bln</v>
      </c>
      <c r="Y258" s="5" t="s">
        <v>95</v>
      </c>
      <c r="Z258" s="14" t="s">
        <v>127</v>
      </c>
      <c r="AA258" s="5" t="s">
        <v>96</v>
      </c>
      <c r="AB258" s="5" t="s">
        <v>97</v>
      </c>
      <c r="AC258" s="7" t="s">
        <v>341</v>
      </c>
      <c r="AD258" s="131">
        <v>18</v>
      </c>
      <c r="AE258" s="131" t="s">
        <v>99</v>
      </c>
      <c r="AF258" s="7" t="s">
        <v>319</v>
      </c>
      <c r="AG258" s="7" t="s">
        <v>140</v>
      </c>
      <c r="AH258" s="7" t="s">
        <v>141</v>
      </c>
      <c r="AI258" s="7"/>
      <c r="AJ258" s="7" t="s">
        <v>94</v>
      </c>
      <c r="AK258" s="7" t="s">
        <v>179</v>
      </c>
      <c r="AL258" s="7" t="s">
        <v>342</v>
      </c>
      <c r="AM258" s="15" t="s">
        <v>343</v>
      </c>
      <c r="AN258" s="15" t="s">
        <v>343</v>
      </c>
      <c r="AO258" s="8"/>
      <c r="AP258" s="8" t="s">
        <v>298</v>
      </c>
      <c r="AQ258" s="8" t="s">
        <v>107</v>
      </c>
      <c r="AR258" s="8" t="s">
        <v>127</v>
      </c>
      <c r="AS258" s="132">
        <v>19</v>
      </c>
      <c r="AT258" s="131">
        <v>120</v>
      </c>
      <c r="AU258" s="132" t="s">
        <v>149</v>
      </c>
      <c r="AV258" s="16" t="s">
        <v>112</v>
      </c>
      <c r="AW258" s="56" t="s">
        <v>344</v>
      </c>
      <c r="AX258" s="56" t="s">
        <v>114</v>
      </c>
      <c r="AY258" s="7" t="s">
        <v>127</v>
      </c>
      <c r="AZ258" s="10" t="s">
        <v>127</v>
      </c>
      <c r="BA258" s="7" t="s">
        <v>127</v>
      </c>
      <c r="BB258" s="52" t="s">
        <v>127</v>
      </c>
      <c r="BC258" s="17" t="s">
        <v>127</v>
      </c>
      <c r="BD258" s="18" t="s">
        <v>127</v>
      </c>
      <c r="BE258" s="7" t="s">
        <v>118</v>
      </c>
      <c r="BF258" s="7" t="s">
        <v>127</v>
      </c>
      <c r="BG258" s="7" t="s">
        <v>127</v>
      </c>
      <c r="BH258" s="7" t="s">
        <v>127</v>
      </c>
      <c r="BI258" s="19" t="s">
        <v>127</v>
      </c>
      <c r="BJ258" s="20" t="s">
        <v>345</v>
      </c>
      <c r="BK258" s="21" t="s">
        <v>127</v>
      </c>
      <c r="BL258" s="7" t="s">
        <v>346</v>
      </c>
      <c r="BM258" s="22" t="s">
        <v>347</v>
      </c>
      <c r="BN258" s="8" t="s">
        <v>94</v>
      </c>
      <c r="BO258" s="49">
        <v>31391</v>
      </c>
      <c r="BP258" s="17" t="s">
        <v>96</v>
      </c>
      <c r="BQ258" s="18" t="s">
        <v>343</v>
      </c>
      <c r="BR258" s="7" t="s">
        <v>153</v>
      </c>
      <c r="BS258" s="7" t="s">
        <v>247</v>
      </c>
      <c r="BT258" s="7" t="s">
        <v>127</v>
      </c>
      <c r="BU258" s="8" t="s">
        <v>127</v>
      </c>
      <c r="BV258" s="23" t="s">
        <v>127</v>
      </c>
      <c r="BW258" s="24" t="s">
        <v>348</v>
      </c>
      <c r="BX258" s="21" t="s">
        <v>349</v>
      </c>
      <c r="BY258" s="21" t="s">
        <v>127</v>
      </c>
      <c r="BZ258" s="21" t="s">
        <v>127</v>
      </c>
      <c r="CA258" s="21">
        <v>45369</v>
      </c>
      <c r="CB258" s="21"/>
      <c r="CC258" s="21" t="s">
        <v>127</v>
      </c>
      <c r="CD258" s="21" t="s">
        <v>118</v>
      </c>
      <c r="CE258" s="21" t="s">
        <v>345</v>
      </c>
      <c r="CF258" s="21" t="s">
        <v>96</v>
      </c>
      <c r="CG258" s="21" t="s">
        <v>127</v>
      </c>
      <c r="CH258" s="21" t="s">
        <v>345</v>
      </c>
      <c r="CI258" s="21" t="s">
        <v>127</v>
      </c>
      <c r="CJ258" s="21" t="s">
        <v>127</v>
      </c>
      <c r="CK258" s="21" t="s">
        <v>127</v>
      </c>
      <c r="CL258" s="21" t="s">
        <v>127</v>
      </c>
      <c r="CM258" s="25"/>
      <c r="CN258" s="25"/>
      <c r="CO258" s="25"/>
      <c r="CP258" s="26"/>
    </row>
    <row r="259" spans="1:97" s="27" customFormat="1" ht="23.25" customHeight="1">
      <c r="A259" s="4">
        <v>153</v>
      </c>
      <c r="B259" s="6"/>
      <c r="C259" s="6"/>
      <c r="D259" s="6"/>
      <c r="E259" s="6"/>
      <c r="F259" s="6"/>
      <c r="G259" s="6"/>
      <c r="H259" s="5" t="s">
        <v>85</v>
      </c>
      <c r="I259" s="6" t="s">
        <v>86</v>
      </c>
      <c r="J259" s="7" t="s">
        <v>883</v>
      </c>
      <c r="K259" s="7" t="s">
        <v>884</v>
      </c>
      <c r="L259" s="8"/>
      <c r="M259" s="5">
        <v>1989</v>
      </c>
      <c r="N259" s="5">
        <v>3188943992</v>
      </c>
      <c r="O259" s="5" t="s">
        <v>885</v>
      </c>
      <c r="P259" s="10" t="s">
        <v>886</v>
      </c>
      <c r="Q259" s="389" t="s">
        <v>887</v>
      </c>
      <c r="R259" s="8" t="s">
        <v>5466</v>
      </c>
      <c r="S259" s="212" t="s">
        <v>12143</v>
      </c>
      <c r="T259" s="8" t="s">
        <v>888</v>
      </c>
      <c r="U259" s="11" t="s">
        <v>93</v>
      </c>
      <c r="V259" s="12" t="s">
        <v>94</v>
      </c>
      <c r="W259" s="13">
        <v>43252</v>
      </c>
      <c r="X259" s="13" t="str">
        <f t="shared" ref="X259:X304" ca="1" si="5">""&amp;DATEDIF(W259,TODAY(),"y")&amp;" Th, "&amp;DATEDIF(W259,TODAY(),"ym")&amp;" Bln"</f>
        <v>8 Th, 3 Bln</v>
      </c>
      <c r="Y259" s="5" t="s">
        <v>95</v>
      </c>
      <c r="Z259" s="14" t="s">
        <v>127</v>
      </c>
      <c r="AA259" s="5" t="s">
        <v>96</v>
      </c>
      <c r="AB259" s="5" t="s">
        <v>97</v>
      </c>
      <c r="AC259" s="7" t="s">
        <v>889</v>
      </c>
      <c r="AD259" s="131" t="s">
        <v>827</v>
      </c>
      <c r="AE259" s="131" t="s">
        <v>890</v>
      </c>
      <c r="AF259" s="7" t="s">
        <v>891</v>
      </c>
      <c r="AG259" s="7" t="s">
        <v>178</v>
      </c>
      <c r="AH259" s="7" t="s">
        <v>178</v>
      </c>
      <c r="AI259" s="7"/>
      <c r="AJ259" s="7" t="s">
        <v>103</v>
      </c>
      <c r="AK259" s="7" t="s">
        <v>179</v>
      </c>
      <c r="AL259" s="7" t="s">
        <v>892</v>
      </c>
      <c r="AM259" s="15" t="s">
        <v>893</v>
      </c>
      <c r="AN259" s="15" t="s">
        <v>894</v>
      </c>
      <c r="AO259" s="8"/>
      <c r="AP259" s="8" t="s">
        <v>146</v>
      </c>
      <c r="AQ259" s="8" t="s">
        <v>146</v>
      </c>
      <c r="AR259" s="8" t="s">
        <v>127</v>
      </c>
      <c r="AS259" s="132">
        <v>22</v>
      </c>
      <c r="AT259" s="131">
        <v>104</v>
      </c>
      <c r="AU259" s="132" t="s">
        <v>182</v>
      </c>
      <c r="AV259" s="16" t="s">
        <v>112</v>
      </c>
      <c r="AW259" s="56" t="s">
        <v>150</v>
      </c>
      <c r="AX259" s="56" t="s">
        <v>114</v>
      </c>
      <c r="AY259" s="7" t="s">
        <v>895</v>
      </c>
      <c r="AZ259" s="10" t="s">
        <v>896</v>
      </c>
      <c r="BA259" s="7" t="s">
        <v>502</v>
      </c>
      <c r="BB259" s="52">
        <v>32157</v>
      </c>
      <c r="BC259" s="17" t="s">
        <v>96</v>
      </c>
      <c r="BD259" s="18" t="s">
        <v>897</v>
      </c>
      <c r="BE259" s="7" t="s">
        <v>118</v>
      </c>
      <c r="BF259" s="7" t="s">
        <v>898</v>
      </c>
      <c r="BG259" s="7" t="s">
        <v>899</v>
      </c>
      <c r="BH259" s="7" t="s">
        <v>900</v>
      </c>
      <c r="BI259" s="19" t="s">
        <v>127</v>
      </c>
      <c r="BJ259" s="20" t="s">
        <v>190</v>
      </c>
      <c r="BK259" s="21" t="s">
        <v>901</v>
      </c>
      <c r="BL259" s="7" t="s">
        <v>902</v>
      </c>
      <c r="BM259" s="22" t="s">
        <v>903</v>
      </c>
      <c r="BN259" s="8" t="s">
        <v>904</v>
      </c>
      <c r="BO259" s="49">
        <v>33180</v>
      </c>
      <c r="BP259" s="17" t="s">
        <v>96</v>
      </c>
      <c r="BQ259" s="18" t="s">
        <v>894</v>
      </c>
      <c r="BR259" s="7" t="s">
        <v>118</v>
      </c>
      <c r="BS259" s="7" t="s">
        <v>905</v>
      </c>
      <c r="BT259" s="7" t="s">
        <v>906</v>
      </c>
      <c r="BU259" s="8" t="s">
        <v>907</v>
      </c>
      <c r="BV259" s="23" t="s">
        <v>127</v>
      </c>
      <c r="BW259" s="24" t="s">
        <v>908</v>
      </c>
      <c r="BX259" s="21" t="s">
        <v>909</v>
      </c>
      <c r="BY259" s="21" t="s">
        <v>910</v>
      </c>
      <c r="BZ259" s="21" t="s">
        <v>911</v>
      </c>
      <c r="CA259" s="21">
        <v>21289</v>
      </c>
      <c r="CB259" s="21"/>
      <c r="CC259" s="21" t="s">
        <v>912</v>
      </c>
      <c r="CD259" s="21" t="s">
        <v>153</v>
      </c>
      <c r="CE259" s="21" t="s">
        <v>913</v>
      </c>
      <c r="CF259" s="21" t="s">
        <v>96</v>
      </c>
      <c r="CG259" s="21" t="s">
        <v>914</v>
      </c>
      <c r="CH259" s="21" t="s">
        <v>827</v>
      </c>
      <c r="CI259" s="21" t="s">
        <v>890</v>
      </c>
      <c r="CJ259" s="21" t="s">
        <v>891</v>
      </c>
      <c r="CK259" s="21" t="s">
        <v>178</v>
      </c>
      <c r="CL259" s="21" t="s">
        <v>103</v>
      </c>
      <c r="CM259" s="25"/>
      <c r="CN259" s="25"/>
      <c r="CO259" s="25"/>
      <c r="CP259" s="26"/>
    </row>
    <row r="260" spans="1:97" s="27" customFormat="1" ht="23.25" customHeight="1">
      <c r="A260" s="4">
        <v>181</v>
      </c>
      <c r="B260" s="6"/>
      <c r="C260" s="6"/>
      <c r="D260" s="6"/>
      <c r="E260" s="6"/>
      <c r="F260" s="6"/>
      <c r="G260" s="6"/>
      <c r="H260" s="5" t="s">
        <v>85</v>
      </c>
      <c r="I260" s="6" t="s">
        <v>86</v>
      </c>
      <c r="J260" s="7" t="s">
        <v>257</v>
      </c>
      <c r="K260" s="7" t="s">
        <v>585</v>
      </c>
      <c r="L260" s="8"/>
      <c r="M260" s="5">
        <v>1996</v>
      </c>
      <c r="N260" s="5">
        <v>3187791829</v>
      </c>
      <c r="O260" s="5" t="s">
        <v>1504</v>
      </c>
      <c r="P260" s="10" t="s">
        <v>1505</v>
      </c>
      <c r="Q260" s="389" t="s">
        <v>1506</v>
      </c>
      <c r="R260" s="8" t="s">
        <v>5466</v>
      </c>
      <c r="S260" s="212" t="s">
        <v>12143</v>
      </c>
      <c r="T260" s="8" t="s">
        <v>1507</v>
      </c>
      <c r="U260" s="11" t="s">
        <v>93</v>
      </c>
      <c r="V260" s="12" t="s">
        <v>435</v>
      </c>
      <c r="W260" s="13">
        <v>43269</v>
      </c>
      <c r="X260" s="13" t="str">
        <f t="shared" ca="1" si="5"/>
        <v>8 Th, 2 Bln</v>
      </c>
      <c r="Y260" s="5" t="s">
        <v>95</v>
      </c>
      <c r="Z260" s="14" t="s">
        <v>127</v>
      </c>
      <c r="AA260" s="5" t="s">
        <v>96</v>
      </c>
      <c r="AB260" s="5" t="s">
        <v>97</v>
      </c>
      <c r="AC260" s="7" t="s">
        <v>1508</v>
      </c>
      <c r="AD260" s="131" t="s">
        <v>207</v>
      </c>
      <c r="AE260" s="131">
        <v>15</v>
      </c>
      <c r="AF260" s="7" t="s">
        <v>139</v>
      </c>
      <c r="AG260" s="7" t="s">
        <v>140</v>
      </c>
      <c r="AH260" s="7" t="s">
        <v>141</v>
      </c>
      <c r="AI260" s="7"/>
      <c r="AJ260" s="7" t="s">
        <v>1374</v>
      </c>
      <c r="AK260" s="7" t="s">
        <v>104</v>
      </c>
      <c r="AL260" s="7" t="s">
        <v>1325</v>
      </c>
      <c r="AM260" s="15" t="s">
        <v>127</v>
      </c>
      <c r="AN260" s="15" t="s">
        <v>1509</v>
      </c>
      <c r="AO260" s="8"/>
      <c r="AP260" s="8" t="s">
        <v>146</v>
      </c>
      <c r="AQ260" s="8" t="s">
        <v>146</v>
      </c>
      <c r="AR260" s="8" t="s">
        <v>127</v>
      </c>
      <c r="AS260" s="132" t="s">
        <v>1510</v>
      </c>
      <c r="AT260" s="131" t="s">
        <v>1511</v>
      </c>
      <c r="AU260" s="132" t="s">
        <v>111</v>
      </c>
      <c r="AV260" s="16" t="s">
        <v>112</v>
      </c>
      <c r="AW260" s="56" t="s">
        <v>150</v>
      </c>
      <c r="AX260" s="56" t="s">
        <v>114</v>
      </c>
      <c r="AY260" s="7" t="s">
        <v>1512</v>
      </c>
      <c r="AZ260" s="10" t="s">
        <v>1513</v>
      </c>
      <c r="BA260" s="7" t="s">
        <v>435</v>
      </c>
      <c r="BB260" s="52">
        <v>33733</v>
      </c>
      <c r="BC260" s="17" t="s">
        <v>96</v>
      </c>
      <c r="BD260" s="18" t="s">
        <v>1509</v>
      </c>
      <c r="BE260" s="7" t="s">
        <v>153</v>
      </c>
      <c r="BF260" s="7" t="s">
        <v>1514</v>
      </c>
      <c r="BG260" s="7" t="s">
        <v>1515</v>
      </c>
      <c r="BH260" s="7" t="s">
        <v>1516</v>
      </c>
      <c r="BI260" s="19" t="s">
        <v>1517</v>
      </c>
      <c r="BJ260" s="20" t="s">
        <v>1518</v>
      </c>
      <c r="BK260" s="21" t="s">
        <v>1519</v>
      </c>
      <c r="BL260" s="7" t="s">
        <v>1520</v>
      </c>
      <c r="BM260" s="22" t="s">
        <v>1521</v>
      </c>
      <c r="BN260" s="8" t="s">
        <v>435</v>
      </c>
      <c r="BO260" s="49">
        <v>33928</v>
      </c>
      <c r="BP260" s="17" t="s">
        <v>96</v>
      </c>
      <c r="BQ260" s="18" t="s">
        <v>1522</v>
      </c>
      <c r="BR260" s="7" t="s">
        <v>118</v>
      </c>
      <c r="BS260" s="7" t="s">
        <v>126</v>
      </c>
      <c r="BT260" s="7" t="s">
        <v>127</v>
      </c>
      <c r="BU260" s="8" t="s">
        <v>127</v>
      </c>
      <c r="BV260" s="23" t="s">
        <v>127</v>
      </c>
      <c r="BW260" s="24" t="s">
        <v>127</v>
      </c>
      <c r="BX260" s="21" t="s">
        <v>1523</v>
      </c>
      <c r="BY260" s="21" t="s">
        <v>1512</v>
      </c>
      <c r="BZ260" s="21" t="s">
        <v>435</v>
      </c>
      <c r="CA260" s="21">
        <v>33733</v>
      </c>
      <c r="CB260" s="21"/>
      <c r="CC260" s="21" t="s">
        <v>1509</v>
      </c>
      <c r="CD260" s="21" t="s">
        <v>153</v>
      </c>
      <c r="CE260" s="21" t="s">
        <v>1514</v>
      </c>
      <c r="CF260" s="21" t="s">
        <v>96</v>
      </c>
      <c r="CG260" s="21" t="s">
        <v>1508</v>
      </c>
      <c r="CH260" s="21" t="s">
        <v>207</v>
      </c>
      <c r="CI260" s="21">
        <v>15</v>
      </c>
      <c r="CJ260" s="21" t="s">
        <v>139</v>
      </c>
      <c r="CK260" s="21" t="s">
        <v>140</v>
      </c>
      <c r="CL260" s="21" t="s">
        <v>1374</v>
      </c>
      <c r="CM260" s="25"/>
      <c r="CN260" s="25"/>
      <c r="CO260" s="25"/>
      <c r="CP260" s="26"/>
    </row>
    <row r="261" spans="1:97" s="27" customFormat="1" ht="23.25" customHeight="1">
      <c r="A261" s="4">
        <v>155</v>
      </c>
      <c r="B261" s="6"/>
      <c r="C261" s="6"/>
      <c r="D261" s="6"/>
      <c r="E261" s="6"/>
      <c r="F261" s="6"/>
      <c r="G261" s="6"/>
      <c r="H261" s="5" t="s">
        <v>85</v>
      </c>
      <c r="I261" s="6" t="s">
        <v>86</v>
      </c>
      <c r="J261" s="7" t="s">
        <v>166</v>
      </c>
      <c r="K261" s="7" t="s">
        <v>936</v>
      </c>
      <c r="L261" s="8"/>
      <c r="M261" s="5">
        <v>1998</v>
      </c>
      <c r="N261" s="5">
        <v>3173639519</v>
      </c>
      <c r="O261" s="5" t="s">
        <v>937</v>
      </c>
      <c r="P261" s="10" t="s">
        <v>938</v>
      </c>
      <c r="Q261" s="389" t="s">
        <v>939</v>
      </c>
      <c r="R261" s="8" t="s">
        <v>5466</v>
      </c>
      <c r="S261" s="212" t="s">
        <v>12143</v>
      </c>
      <c r="T261" s="8" t="s">
        <v>940</v>
      </c>
      <c r="U261" s="11" t="s">
        <v>172</v>
      </c>
      <c r="V261" s="12" t="s">
        <v>94</v>
      </c>
      <c r="W261" s="13">
        <v>43078</v>
      </c>
      <c r="X261" s="13" t="str">
        <f t="shared" ca="1" si="5"/>
        <v>8 Th, 9 Bln</v>
      </c>
      <c r="Y261" s="5" t="s">
        <v>95</v>
      </c>
      <c r="Z261" s="14"/>
      <c r="AA261" s="5" t="s">
        <v>96</v>
      </c>
      <c r="AB261" s="5" t="s">
        <v>97</v>
      </c>
      <c r="AC261" s="7" t="s">
        <v>941</v>
      </c>
      <c r="AD261" s="131" t="s">
        <v>318</v>
      </c>
      <c r="AE261" s="131" t="s">
        <v>384</v>
      </c>
      <c r="AF261" s="7" t="s">
        <v>942</v>
      </c>
      <c r="AG261" s="7" t="s">
        <v>178</v>
      </c>
      <c r="AH261" s="7" t="s">
        <v>178</v>
      </c>
      <c r="AI261" s="7"/>
      <c r="AJ261" s="7" t="s">
        <v>943</v>
      </c>
      <c r="AK261" s="7" t="s">
        <v>104</v>
      </c>
      <c r="AL261" s="7" t="s">
        <v>522</v>
      </c>
      <c r="AM261" s="15" t="s">
        <v>944</v>
      </c>
      <c r="AN261" s="15" t="s">
        <v>944</v>
      </c>
      <c r="AO261" s="8"/>
      <c r="AP261" s="8" t="s">
        <v>107</v>
      </c>
      <c r="AQ261" s="8" t="s">
        <v>107</v>
      </c>
      <c r="AR261" s="8" t="s">
        <v>147</v>
      </c>
      <c r="AS261" s="132" t="s">
        <v>148</v>
      </c>
      <c r="AT261" s="131" t="s">
        <v>945</v>
      </c>
      <c r="AU261" s="132" t="s">
        <v>149</v>
      </c>
      <c r="AV261" s="16" t="s">
        <v>112</v>
      </c>
      <c r="AW261" s="56" t="s">
        <v>392</v>
      </c>
      <c r="AX261" s="56" t="s">
        <v>114</v>
      </c>
      <c r="AY261" s="7" t="s">
        <v>946</v>
      </c>
      <c r="AZ261" s="10" t="s">
        <v>947</v>
      </c>
      <c r="BA261" s="7" t="s">
        <v>948</v>
      </c>
      <c r="BB261" s="52">
        <v>31211</v>
      </c>
      <c r="BC261" s="17" t="s">
        <v>96</v>
      </c>
      <c r="BD261" s="18" t="s">
        <v>949</v>
      </c>
      <c r="BE261" s="7" t="s">
        <v>153</v>
      </c>
      <c r="BF261" s="7" t="s">
        <v>950</v>
      </c>
      <c r="BG261" s="7" t="s">
        <v>951</v>
      </c>
      <c r="BH261" s="7" t="s">
        <v>952</v>
      </c>
      <c r="BI261" s="19">
        <v>0</v>
      </c>
      <c r="BJ261" s="20" t="s">
        <v>428</v>
      </c>
      <c r="BK261" s="21" t="s">
        <v>953</v>
      </c>
      <c r="BL261" s="7" t="s">
        <v>954</v>
      </c>
      <c r="BM261" s="22" t="s">
        <v>955</v>
      </c>
      <c r="BN261" s="8" t="s">
        <v>444</v>
      </c>
      <c r="BO261" s="49">
        <v>32740</v>
      </c>
      <c r="BP261" s="17" t="s">
        <v>96</v>
      </c>
      <c r="BQ261" s="18" t="s">
        <v>944</v>
      </c>
      <c r="BR261" s="7" t="s">
        <v>118</v>
      </c>
      <c r="BS261" s="7" t="s">
        <v>188</v>
      </c>
      <c r="BT261" s="7" t="s">
        <v>956</v>
      </c>
      <c r="BU261" s="8" t="s">
        <v>957</v>
      </c>
      <c r="BV261" s="23" t="s">
        <v>958</v>
      </c>
      <c r="BW261" s="24" t="s">
        <v>556</v>
      </c>
      <c r="BX261" s="21" t="s">
        <v>959</v>
      </c>
      <c r="BY261" s="21" t="s">
        <v>108</v>
      </c>
      <c r="BZ261" s="21" t="s">
        <v>108</v>
      </c>
      <c r="CA261" s="21"/>
      <c r="CB261" s="21"/>
      <c r="CC261" s="21"/>
      <c r="CD261" s="21" t="s">
        <v>108</v>
      </c>
      <c r="CE261" s="21" t="s">
        <v>108</v>
      </c>
      <c r="CF261" s="21"/>
      <c r="CG261" s="21" t="s">
        <v>108</v>
      </c>
      <c r="CH261" s="21"/>
      <c r="CI261" s="21"/>
      <c r="CJ261" s="21" t="s">
        <v>108</v>
      </c>
      <c r="CK261" s="21" t="s">
        <v>108</v>
      </c>
      <c r="CL261" s="21" t="s">
        <v>108</v>
      </c>
      <c r="CM261" s="25"/>
      <c r="CN261" s="25"/>
      <c r="CO261" s="25"/>
      <c r="CP261" s="26"/>
    </row>
    <row r="262" spans="1:97" s="27" customFormat="1" ht="23.25" customHeight="1">
      <c r="A262" s="4">
        <v>156</v>
      </c>
      <c r="B262" s="6"/>
      <c r="C262" s="6"/>
      <c r="D262" s="6"/>
      <c r="E262" s="6"/>
      <c r="F262" s="6"/>
      <c r="G262" s="6"/>
      <c r="H262" s="5" t="s">
        <v>85</v>
      </c>
      <c r="I262" s="6" t="s">
        <v>86</v>
      </c>
      <c r="J262" s="7" t="s">
        <v>287</v>
      </c>
      <c r="K262" s="7" t="s">
        <v>960</v>
      </c>
      <c r="L262" s="8"/>
      <c r="M262" s="5">
        <v>2004</v>
      </c>
      <c r="N262" s="10">
        <v>3189331554</v>
      </c>
      <c r="O262" s="10" t="s">
        <v>961</v>
      </c>
      <c r="P262" s="10" t="s">
        <v>962</v>
      </c>
      <c r="Q262" s="389" t="s">
        <v>963</v>
      </c>
      <c r="R262" s="8" t="s">
        <v>5466</v>
      </c>
      <c r="S262" s="212" t="s">
        <v>12143</v>
      </c>
      <c r="T262" s="8" t="s">
        <v>964</v>
      </c>
      <c r="U262" s="11" t="s">
        <v>93</v>
      </c>
      <c r="V262" s="12" t="s">
        <v>222</v>
      </c>
      <c r="W262" s="13">
        <v>43150</v>
      </c>
      <c r="X262" s="13" t="str">
        <f t="shared" ca="1" si="5"/>
        <v>8 Th, 6 Bln</v>
      </c>
      <c r="Y262" s="5" t="s">
        <v>95</v>
      </c>
      <c r="Z262" s="14"/>
      <c r="AA262" s="5" t="s">
        <v>96</v>
      </c>
      <c r="AB262" s="5" t="s">
        <v>97</v>
      </c>
      <c r="AC262" s="7" t="s">
        <v>965</v>
      </c>
      <c r="AD262" s="131" t="s">
        <v>966</v>
      </c>
      <c r="AE262" s="131" t="s">
        <v>967</v>
      </c>
      <c r="AF262" s="7" t="s">
        <v>437</v>
      </c>
      <c r="AG262" s="7" t="s">
        <v>178</v>
      </c>
      <c r="AH262" s="7" t="s">
        <v>178</v>
      </c>
      <c r="AI262" s="7"/>
      <c r="AJ262" s="7" t="s">
        <v>103</v>
      </c>
      <c r="AK262" s="7" t="s">
        <v>104</v>
      </c>
      <c r="AL262" s="7" t="s">
        <v>389</v>
      </c>
      <c r="AM262" s="15" t="s">
        <v>968</v>
      </c>
      <c r="AN262" s="15" t="s">
        <v>968</v>
      </c>
      <c r="AO262" s="8"/>
      <c r="AP262" s="8" t="s">
        <v>146</v>
      </c>
      <c r="AQ262" s="8" t="s">
        <v>146</v>
      </c>
      <c r="AR262" s="8" t="s">
        <v>108</v>
      </c>
      <c r="AS262" s="132">
        <v>25</v>
      </c>
      <c r="AT262" s="131">
        <v>121</v>
      </c>
      <c r="AU262" s="132" t="s">
        <v>182</v>
      </c>
      <c r="AV262" s="16" t="s">
        <v>112</v>
      </c>
      <c r="AW262" s="56" t="s">
        <v>150</v>
      </c>
      <c r="AX262" s="56" t="s">
        <v>183</v>
      </c>
      <c r="AY262" s="7" t="s">
        <v>969</v>
      </c>
      <c r="AZ262" s="10" t="s">
        <v>970</v>
      </c>
      <c r="BA262" s="7" t="s">
        <v>971</v>
      </c>
      <c r="BB262" s="52">
        <v>33008</v>
      </c>
      <c r="BC262" s="17" t="s">
        <v>96</v>
      </c>
      <c r="BD262" s="18" t="s">
        <v>968</v>
      </c>
      <c r="BE262" s="7" t="s">
        <v>153</v>
      </c>
      <c r="BF262" s="7" t="s">
        <v>972</v>
      </c>
      <c r="BG262" s="7" t="s">
        <v>973</v>
      </c>
      <c r="BH262" s="7" t="s">
        <v>974</v>
      </c>
      <c r="BI262" s="19" t="s">
        <v>975</v>
      </c>
      <c r="BJ262" s="20" t="s">
        <v>976</v>
      </c>
      <c r="BK262" s="21" t="s">
        <v>977</v>
      </c>
      <c r="BL262" s="7" t="s">
        <v>978</v>
      </c>
      <c r="BM262" s="22" t="s">
        <v>979</v>
      </c>
      <c r="BN262" s="8" t="s">
        <v>222</v>
      </c>
      <c r="BO262" s="49">
        <v>34762</v>
      </c>
      <c r="BP262" s="17" t="s">
        <v>96</v>
      </c>
      <c r="BQ262" s="18" t="s">
        <v>968</v>
      </c>
      <c r="BR262" s="7" t="s">
        <v>118</v>
      </c>
      <c r="BS262" s="7" t="s">
        <v>980</v>
      </c>
      <c r="BT262" s="7" t="s">
        <v>981</v>
      </c>
      <c r="BU262" s="8" t="s">
        <v>982</v>
      </c>
      <c r="BV262" s="23"/>
      <c r="BW262" s="24" t="s">
        <v>983</v>
      </c>
      <c r="BX262" s="21" t="s">
        <v>984</v>
      </c>
      <c r="BY262" s="21" t="s">
        <v>108</v>
      </c>
      <c r="BZ262" s="21" t="s">
        <v>108</v>
      </c>
      <c r="CA262" s="21"/>
      <c r="CB262" s="21"/>
      <c r="CC262" s="21"/>
      <c r="CD262" s="21" t="s">
        <v>108</v>
      </c>
      <c r="CE262" s="21" t="s">
        <v>108</v>
      </c>
      <c r="CF262" s="21"/>
      <c r="CG262" s="21" t="s">
        <v>108</v>
      </c>
      <c r="CH262" s="21"/>
      <c r="CI262" s="21"/>
      <c r="CJ262" s="21" t="s">
        <v>108</v>
      </c>
      <c r="CK262" s="21" t="s">
        <v>108</v>
      </c>
      <c r="CL262" s="21" t="s">
        <v>108</v>
      </c>
      <c r="CM262" s="25"/>
      <c r="CN262" s="25"/>
      <c r="CO262" s="25"/>
      <c r="CP262" s="26"/>
    </row>
    <row r="263" spans="1:97" s="27" customFormat="1" ht="23.25" customHeight="1">
      <c r="A263" s="4">
        <v>212</v>
      </c>
      <c r="B263" s="6"/>
      <c r="C263" s="6"/>
      <c r="D263" s="6"/>
      <c r="E263" s="6"/>
      <c r="F263" s="6"/>
      <c r="G263" s="6"/>
      <c r="H263" s="5" t="s">
        <v>2172</v>
      </c>
      <c r="I263" s="6"/>
      <c r="J263" s="7" t="s">
        <v>2173</v>
      </c>
      <c r="K263" s="7">
        <v>0</v>
      </c>
      <c r="L263" s="8"/>
      <c r="M263" s="5">
        <v>2080</v>
      </c>
      <c r="N263" s="5" t="s">
        <v>2174</v>
      </c>
      <c r="O263" s="5" t="s">
        <v>2175</v>
      </c>
      <c r="P263" s="10" t="s">
        <v>2176</v>
      </c>
      <c r="Q263" s="389" t="s">
        <v>2177</v>
      </c>
      <c r="R263" s="8" t="s">
        <v>5466</v>
      </c>
      <c r="S263" s="212" t="s">
        <v>12143</v>
      </c>
      <c r="T263" s="8" t="s">
        <v>2178</v>
      </c>
      <c r="U263" s="11" t="s">
        <v>93</v>
      </c>
      <c r="V263" s="12" t="s">
        <v>2179</v>
      </c>
      <c r="W263" s="13">
        <v>42995</v>
      </c>
      <c r="X263" s="13" t="str">
        <f t="shared" ca="1" si="5"/>
        <v>8 Th, 11 Bln</v>
      </c>
      <c r="Y263" s="5"/>
      <c r="Z263" s="14"/>
      <c r="AA263" s="5" t="s">
        <v>96</v>
      </c>
      <c r="AB263" s="5"/>
      <c r="AC263" s="7" t="s">
        <v>2180</v>
      </c>
      <c r="AD263" s="131"/>
      <c r="AE263" s="131"/>
      <c r="AF263" s="7" t="s">
        <v>177</v>
      </c>
      <c r="AG263" s="7" t="s">
        <v>178</v>
      </c>
      <c r="AH263" s="7" t="s">
        <v>178</v>
      </c>
      <c r="AI263" s="7"/>
      <c r="AJ263" s="7" t="s">
        <v>103</v>
      </c>
      <c r="AK263" s="7"/>
      <c r="AL263" s="7"/>
      <c r="AM263" s="15" t="s">
        <v>2181</v>
      </c>
      <c r="AN263" s="15" t="s">
        <v>2181</v>
      </c>
      <c r="AO263" s="8">
        <v>1</v>
      </c>
      <c r="AP263" s="8">
        <v>0</v>
      </c>
      <c r="AQ263" s="8">
        <v>0</v>
      </c>
      <c r="AR263" s="8">
        <v>0</v>
      </c>
      <c r="AS263" s="132">
        <v>21</v>
      </c>
      <c r="AT263" s="131">
        <v>114</v>
      </c>
      <c r="AU263" s="132" t="s">
        <v>149</v>
      </c>
      <c r="AV263" s="16"/>
      <c r="AW263" s="56"/>
      <c r="AX263" s="56" t="s">
        <v>114</v>
      </c>
      <c r="AY263" s="7" t="s">
        <v>2182</v>
      </c>
      <c r="AZ263" s="10" t="s">
        <v>2183</v>
      </c>
      <c r="BA263" s="7" t="s">
        <v>2179</v>
      </c>
      <c r="BB263" s="52" t="s">
        <v>2184</v>
      </c>
      <c r="BC263" s="17" t="s">
        <v>96</v>
      </c>
      <c r="BD263" s="18" t="s">
        <v>2185</v>
      </c>
      <c r="BE263" s="7" t="s">
        <v>118</v>
      </c>
      <c r="BF263" s="7" t="s">
        <v>2186</v>
      </c>
      <c r="BG263" s="7" t="s">
        <v>2187</v>
      </c>
      <c r="BH263" s="7" t="s">
        <v>2188</v>
      </c>
      <c r="BI263" s="19"/>
      <c r="BJ263" s="20"/>
      <c r="BK263" s="21" t="s">
        <v>2189</v>
      </c>
      <c r="BL263" s="7" t="s">
        <v>2190</v>
      </c>
      <c r="BM263" s="22" t="s">
        <v>2191</v>
      </c>
      <c r="BN263" s="8" t="s">
        <v>2179</v>
      </c>
      <c r="BO263" s="49" t="s">
        <v>2192</v>
      </c>
      <c r="BP263" s="17"/>
      <c r="BQ263" s="18" t="s">
        <v>2181</v>
      </c>
      <c r="BR263" s="7" t="s">
        <v>2193</v>
      </c>
      <c r="BS263" s="7" t="s">
        <v>790</v>
      </c>
      <c r="BT263" s="7"/>
      <c r="BU263" s="8"/>
      <c r="BV263" s="23"/>
      <c r="BW263" s="24"/>
      <c r="BX263" s="21" t="s">
        <v>2194</v>
      </c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5"/>
      <c r="CN263" s="25"/>
      <c r="CO263" s="25"/>
      <c r="CP263" s="26"/>
    </row>
    <row r="264" spans="1:97" s="27" customFormat="1" ht="23.25" customHeight="1">
      <c r="A264" s="4">
        <v>134</v>
      </c>
      <c r="B264" s="6"/>
      <c r="C264" s="6"/>
      <c r="D264" s="6"/>
      <c r="E264" s="6"/>
      <c r="F264" s="6"/>
      <c r="G264" s="6"/>
      <c r="H264" s="5" t="s">
        <v>85</v>
      </c>
      <c r="I264" s="6" t="s">
        <v>86</v>
      </c>
      <c r="J264" s="7" t="s">
        <v>429</v>
      </c>
      <c r="K264" s="7" t="s">
        <v>430</v>
      </c>
      <c r="L264" s="8"/>
      <c r="M264" s="5">
        <v>2013</v>
      </c>
      <c r="N264" s="5">
        <v>3176447897</v>
      </c>
      <c r="O264" s="5" t="s">
        <v>431</v>
      </c>
      <c r="P264" s="10" t="s">
        <v>432</v>
      </c>
      <c r="Q264" s="389" t="s">
        <v>433</v>
      </c>
      <c r="R264" s="8" t="s">
        <v>5466</v>
      </c>
      <c r="S264" s="212" t="s">
        <v>12143</v>
      </c>
      <c r="T264" s="8" t="s">
        <v>434</v>
      </c>
      <c r="U264" s="11" t="s">
        <v>172</v>
      </c>
      <c r="V264" s="12" t="s">
        <v>435</v>
      </c>
      <c r="W264" s="13">
        <v>42959</v>
      </c>
      <c r="X264" s="13" t="str">
        <f t="shared" ca="1" si="5"/>
        <v>9 Th, 1 Bln</v>
      </c>
      <c r="Y264" s="5" t="s">
        <v>95</v>
      </c>
      <c r="Z264" s="14"/>
      <c r="AA264" s="5" t="s">
        <v>96</v>
      </c>
      <c r="AB264" s="5" t="s">
        <v>97</v>
      </c>
      <c r="AC264" s="7" t="s">
        <v>436</v>
      </c>
      <c r="AD264" s="131">
        <v>13</v>
      </c>
      <c r="AE264" s="131">
        <v>11</v>
      </c>
      <c r="AF264" s="7" t="s">
        <v>437</v>
      </c>
      <c r="AG264" s="7" t="s">
        <v>178</v>
      </c>
      <c r="AH264" s="7" t="s">
        <v>178</v>
      </c>
      <c r="AI264" s="7"/>
      <c r="AJ264" s="7" t="s">
        <v>94</v>
      </c>
      <c r="AK264" s="7" t="s">
        <v>104</v>
      </c>
      <c r="AL264" s="7" t="s">
        <v>438</v>
      </c>
      <c r="AM264" s="15" t="s">
        <v>439</v>
      </c>
      <c r="AN264" s="15" t="s">
        <v>439</v>
      </c>
      <c r="AO264" s="8"/>
      <c r="AP264" s="8" t="s">
        <v>146</v>
      </c>
      <c r="AQ264" s="8" t="s">
        <v>146</v>
      </c>
      <c r="AR264" s="8" t="s">
        <v>108</v>
      </c>
      <c r="AS264" s="132">
        <v>23</v>
      </c>
      <c r="AT264" s="131">
        <v>120</v>
      </c>
      <c r="AU264" s="132" t="s">
        <v>111</v>
      </c>
      <c r="AV264" s="16" t="s">
        <v>112</v>
      </c>
      <c r="AW264" s="56" t="s">
        <v>440</v>
      </c>
      <c r="AX264" s="56" t="s">
        <v>441</v>
      </c>
      <c r="AY264" s="7" t="s">
        <v>442</v>
      </c>
      <c r="AZ264" s="10" t="s">
        <v>443</v>
      </c>
      <c r="BA264" s="7" t="s">
        <v>444</v>
      </c>
      <c r="BB264" s="52">
        <v>32643</v>
      </c>
      <c r="BC264" s="17" t="s">
        <v>96</v>
      </c>
      <c r="BD264" s="18" t="s">
        <v>445</v>
      </c>
      <c r="BE264" s="7" t="s">
        <v>153</v>
      </c>
      <c r="BF264" s="7" t="s">
        <v>154</v>
      </c>
      <c r="BG264" s="7" t="s">
        <v>446</v>
      </c>
      <c r="BH264" s="7" t="s">
        <v>447</v>
      </c>
      <c r="BI264" s="19" t="s">
        <v>448</v>
      </c>
      <c r="BJ264" s="20">
        <v>12000000</v>
      </c>
      <c r="BK264" s="21" t="s">
        <v>449</v>
      </c>
      <c r="BL264" s="7" t="s">
        <v>450</v>
      </c>
      <c r="BM264" s="22" t="s">
        <v>451</v>
      </c>
      <c r="BN264" s="8" t="s">
        <v>435</v>
      </c>
      <c r="BO264" s="49">
        <v>33716</v>
      </c>
      <c r="BP264" s="17" t="s">
        <v>96</v>
      </c>
      <c r="BQ264" s="18" t="s">
        <v>439</v>
      </c>
      <c r="BR264" s="7" t="s">
        <v>118</v>
      </c>
      <c r="BS264" s="7" t="s">
        <v>254</v>
      </c>
      <c r="BT264" s="7" t="s">
        <v>452</v>
      </c>
      <c r="BU264" s="8" t="s">
        <v>453</v>
      </c>
      <c r="BV264" s="23"/>
      <c r="BW264" s="24">
        <v>5500000</v>
      </c>
      <c r="BX264" s="21" t="s">
        <v>454</v>
      </c>
      <c r="BY264" s="21" t="s">
        <v>108</v>
      </c>
      <c r="BZ264" s="21" t="s">
        <v>108</v>
      </c>
      <c r="CA264" s="21"/>
      <c r="CB264" s="21"/>
      <c r="CC264" s="21"/>
      <c r="CD264" s="21" t="s">
        <v>108</v>
      </c>
      <c r="CE264" s="21" t="s">
        <v>108</v>
      </c>
      <c r="CF264" s="21"/>
      <c r="CG264" s="21" t="s">
        <v>108</v>
      </c>
      <c r="CH264" s="21"/>
      <c r="CI264" s="21"/>
      <c r="CJ264" s="21" t="s">
        <v>108</v>
      </c>
      <c r="CK264" s="21" t="s">
        <v>108</v>
      </c>
      <c r="CL264" s="21" t="s">
        <v>108</v>
      </c>
      <c r="CM264" s="25"/>
      <c r="CN264" s="25"/>
      <c r="CO264" s="25"/>
      <c r="CP264" s="26"/>
    </row>
    <row r="265" spans="1:97" s="27" customFormat="1" ht="23.25" customHeight="1">
      <c r="A265" s="4">
        <v>136</v>
      </c>
      <c r="B265" s="6"/>
      <c r="C265" s="6"/>
      <c r="D265" s="6"/>
      <c r="E265" s="6"/>
      <c r="F265" s="6"/>
      <c r="G265" s="6"/>
      <c r="H265" s="5" t="s">
        <v>85</v>
      </c>
      <c r="I265" s="6" t="s">
        <v>86</v>
      </c>
      <c r="J265" s="7" t="s">
        <v>483</v>
      </c>
      <c r="K265" s="7" t="s">
        <v>484</v>
      </c>
      <c r="L265" s="8"/>
      <c r="M265" s="5">
        <v>2021</v>
      </c>
      <c r="N265" s="5">
        <v>3174752721</v>
      </c>
      <c r="O265" s="5" t="s">
        <v>485</v>
      </c>
      <c r="P265" s="10" t="s">
        <v>486</v>
      </c>
      <c r="Q265" s="389" t="s">
        <v>487</v>
      </c>
      <c r="R265" s="8" t="s">
        <v>5466</v>
      </c>
      <c r="S265" s="212" t="s">
        <v>12143</v>
      </c>
      <c r="T265" s="8" t="s">
        <v>488</v>
      </c>
      <c r="U265" s="11" t="s">
        <v>172</v>
      </c>
      <c r="V265" s="12" t="s">
        <v>94</v>
      </c>
      <c r="W265" s="13">
        <v>42959</v>
      </c>
      <c r="X265" s="13" t="str">
        <f t="shared" ca="1" si="5"/>
        <v>9 Th, 1 Bln</v>
      </c>
      <c r="Y265" s="5" t="s">
        <v>95</v>
      </c>
      <c r="Z265" s="14"/>
      <c r="AA265" s="5" t="s">
        <v>96</v>
      </c>
      <c r="AB265" s="5" t="s">
        <v>97</v>
      </c>
      <c r="AC265" s="7" t="s">
        <v>489</v>
      </c>
      <c r="AD265" s="131" t="s">
        <v>490</v>
      </c>
      <c r="AE265" s="131" t="s">
        <v>491</v>
      </c>
      <c r="AF265" s="7" t="s">
        <v>492</v>
      </c>
      <c r="AG265" s="7" t="s">
        <v>493</v>
      </c>
      <c r="AH265" s="7" t="s">
        <v>141</v>
      </c>
      <c r="AI265" s="7"/>
      <c r="AJ265" s="7" t="s">
        <v>494</v>
      </c>
      <c r="AK265" s="7" t="s">
        <v>104</v>
      </c>
      <c r="AL265" s="7" t="s">
        <v>495</v>
      </c>
      <c r="AM265" s="15" t="s">
        <v>496</v>
      </c>
      <c r="AN265" s="15" t="s">
        <v>497</v>
      </c>
      <c r="AO265" s="8"/>
      <c r="AP265" s="8" t="s">
        <v>107</v>
      </c>
      <c r="AQ265" s="8" t="s">
        <v>146</v>
      </c>
      <c r="AR265" s="8" t="s">
        <v>147</v>
      </c>
      <c r="AS265" s="132">
        <v>17</v>
      </c>
      <c r="AT265" s="131">
        <v>110</v>
      </c>
      <c r="AU265" s="132" t="s">
        <v>498</v>
      </c>
      <c r="AV265" s="16" t="s">
        <v>112</v>
      </c>
      <c r="AW265" s="56" t="s">
        <v>150</v>
      </c>
      <c r="AX265" s="56" t="s">
        <v>499</v>
      </c>
      <c r="AY265" s="7" t="s">
        <v>500</v>
      </c>
      <c r="AZ265" s="10" t="s">
        <v>501</v>
      </c>
      <c r="BA265" s="7" t="s">
        <v>502</v>
      </c>
      <c r="BB265" s="52">
        <v>30330</v>
      </c>
      <c r="BC265" s="17" t="s">
        <v>96</v>
      </c>
      <c r="BD265" s="18" t="s">
        <v>497</v>
      </c>
      <c r="BE265" s="7" t="s">
        <v>118</v>
      </c>
      <c r="BF265" s="7" t="s">
        <v>503</v>
      </c>
      <c r="BG265" s="7" t="s">
        <v>504</v>
      </c>
      <c r="BH265" s="7" t="s">
        <v>505</v>
      </c>
      <c r="BI265" s="19" t="s">
        <v>506</v>
      </c>
      <c r="BJ265" s="20" t="s">
        <v>507</v>
      </c>
      <c r="BK265" s="21" t="s">
        <v>508</v>
      </c>
      <c r="BL265" s="7" t="s">
        <v>509</v>
      </c>
      <c r="BM265" s="22" t="s">
        <v>510</v>
      </c>
      <c r="BN265" s="8" t="s">
        <v>511</v>
      </c>
      <c r="BO265" s="49">
        <v>31857</v>
      </c>
      <c r="BP265" s="17" t="s">
        <v>96</v>
      </c>
      <c r="BQ265" s="18" t="s">
        <v>496</v>
      </c>
      <c r="BR265" s="7" t="s">
        <v>118</v>
      </c>
      <c r="BS265" s="7" t="s">
        <v>126</v>
      </c>
      <c r="BT265" s="7" t="s">
        <v>147</v>
      </c>
      <c r="BU265" s="8" t="s">
        <v>147</v>
      </c>
      <c r="BV265" s="23">
        <v>0</v>
      </c>
      <c r="BW265" s="24">
        <v>0</v>
      </c>
      <c r="BX265" s="21" t="s">
        <v>512</v>
      </c>
      <c r="BY265" s="21" t="s">
        <v>147</v>
      </c>
      <c r="BZ265" s="21" t="s">
        <v>147</v>
      </c>
      <c r="CA265" s="21"/>
      <c r="CB265" s="21"/>
      <c r="CC265" s="21">
        <v>0</v>
      </c>
      <c r="CD265" s="21" t="s">
        <v>108</v>
      </c>
      <c r="CE265" s="21" t="s">
        <v>108</v>
      </c>
      <c r="CF265" s="21"/>
      <c r="CG265" s="21" t="s">
        <v>147</v>
      </c>
      <c r="CH265" s="21">
        <v>0</v>
      </c>
      <c r="CI265" s="21">
        <v>0</v>
      </c>
      <c r="CJ265" s="21" t="s">
        <v>147</v>
      </c>
      <c r="CK265" s="21" t="s">
        <v>147</v>
      </c>
      <c r="CL265" s="21" t="s">
        <v>147</v>
      </c>
      <c r="CM265" s="25"/>
      <c r="CN265" s="25"/>
      <c r="CO265" s="25"/>
      <c r="CP265" s="26"/>
    </row>
    <row r="266" spans="1:97" s="27" customFormat="1" ht="23.25" customHeight="1">
      <c r="A266" s="4">
        <v>216</v>
      </c>
      <c r="B266" s="6"/>
      <c r="C266" s="6"/>
      <c r="D266" s="6"/>
      <c r="E266" s="6"/>
      <c r="F266" s="6"/>
      <c r="G266" s="6"/>
      <c r="H266" s="5" t="s">
        <v>85</v>
      </c>
      <c r="I266" s="6" t="s">
        <v>86</v>
      </c>
      <c r="J266" s="7" t="s">
        <v>513</v>
      </c>
      <c r="K266" s="7" t="s">
        <v>2236</v>
      </c>
      <c r="L266" s="8"/>
      <c r="M266" s="5">
        <v>2023</v>
      </c>
      <c r="N266" s="5">
        <v>3170376609</v>
      </c>
      <c r="O266" s="5" t="s">
        <v>2237</v>
      </c>
      <c r="P266" s="10" t="s">
        <v>2238</v>
      </c>
      <c r="Q266" s="389" t="s">
        <v>2239</v>
      </c>
      <c r="R266" s="8" t="s">
        <v>5466</v>
      </c>
      <c r="S266" s="212" t="s">
        <v>12143</v>
      </c>
      <c r="T266" s="8" t="s">
        <v>2240</v>
      </c>
      <c r="U266" s="11" t="s">
        <v>172</v>
      </c>
      <c r="V266" s="12" t="s">
        <v>444</v>
      </c>
      <c r="W266" s="13">
        <v>42877</v>
      </c>
      <c r="X266" s="13" t="str">
        <f t="shared" ca="1" si="5"/>
        <v>9 Th, 3 Bln</v>
      </c>
      <c r="Y266" s="5" t="s">
        <v>95</v>
      </c>
      <c r="Z266" s="14"/>
      <c r="AA266" s="5" t="s">
        <v>96</v>
      </c>
      <c r="AB266" s="5" t="s">
        <v>97</v>
      </c>
      <c r="AC266" s="7" t="s">
        <v>2241</v>
      </c>
      <c r="AD266" s="131" t="s">
        <v>99</v>
      </c>
      <c r="AE266" s="131" t="s">
        <v>137</v>
      </c>
      <c r="AF266" s="7" t="s">
        <v>2242</v>
      </c>
      <c r="AG266" s="7" t="s">
        <v>140</v>
      </c>
      <c r="AH266" s="7" t="s">
        <v>141</v>
      </c>
      <c r="AI266" s="7"/>
      <c r="AJ266" s="7" t="s">
        <v>142</v>
      </c>
      <c r="AK266" s="7" t="s">
        <v>104</v>
      </c>
      <c r="AL266" s="7" t="s">
        <v>688</v>
      </c>
      <c r="AM266" s="15" t="s">
        <v>2243</v>
      </c>
      <c r="AN266" s="15" t="s">
        <v>2243</v>
      </c>
      <c r="AO266" s="8"/>
      <c r="AP266" s="8" t="s">
        <v>107</v>
      </c>
      <c r="AQ266" s="8" t="s">
        <v>146</v>
      </c>
      <c r="AR266" s="8" t="s">
        <v>182</v>
      </c>
      <c r="AS266" s="132" t="s">
        <v>2244</v>
      </c>
      <c r="AT266" s="131" t="s">
        <v>2245</v>
      </c>
      <c r="AU266" s="132" t="s">
        <v>149</v>
      </c>
      <c r="AV266" s="16" t="s">
        <v>112</v>
      </c>
      <c r="AW266" s="56" t="s">
        <v>162</v>
      </c>
      <c r="AX266" s="56" t="s">
        <v>2246</v>
      </c>
      <c r="AY266" s="7" t="s">
        <v>2247</v>
      </c>
      <c r="AZ266" s="10" t="s">
        <v>2248</v>
      </c>
      <c r="BA266" s="7" t="s">
        <v>395</v>
      </c>
      <c r="BB266" s="52">
        <v>31863</v>
      </c>
      <c r="BC266" s="17" t="s">
        <v>96</v>
      </c>
      <c r="BD266" s="18" t="s">
        <v>2249</v>
      </c>
      <c r="BE266" s="7" t="s">
        <v>118</v>
      </c>
      <c r="BF266" s="7" t="s">
        <v>276</v>
      </c>
      <c r="BG266" s="7" t="s">
        <v>2250</v>
      </c>
      <c r="BH266" s="7" t="s">
        <v>2251</v>
      </c>
      <c r="BI266" s="19" t="s">
        <v>2252</v>
      </c>
      <c r="BJ266" s="20" t="s">
        <v>742</v>
      </c>
      <c r="BK266" s="21" t="s">
        <v>2253</v>
      </c>
      <c r="BL266" s="7" t="s">
        <v>2254</v>
      </c>
      <c r="BM266" s="22" t="s">
        <v>2255</v>
      </c>
      <c r="BN266" s="8" t="s">
        <v>444</v>
      </c>
      <c r="BO266" s="49">
        <v>45154</v>
      </c>
      <c r="BP266" s="17" t="s">
        <v>96</v>
      </c>
      <c r="BQ266" s="18" t="s">
        <v>2243</v>
      </c>
      <c r="BR266" s="7" t="s">
        <v>118</v>
      </c>
      <c r="BS266" s="7" t="s">
        <v>2256</v>
      </c>
      <c r="BT266" s="7" t="s">
        <v>2257</v>
      </c>
      <c r="BU266" s="8" t="s">
        <v>2258</v>
      </c>
      <c r="BV266" s="23" t="s">
        <v>2243</v>
      </c>
      <c r="BW266" s="24" t="s">
        <v>2259</v>
      </c>
      <c r="BX266" s="21" t="s">
        <v>2260</v>
      </c>
      <c r="BY266" s="21" t="s">
        <v>108</v>
      </c>
      <c r="BZ266" s="21" t="s">
        <v>108</v>
      </c>
      <c r="CA266" s="21"/>
      <c r="CB266" s="21"/>
      <c r="CC266" s="21"/>
      <c r="CD266" s="21" t="s">
        <v>108</v>
      </c>
      <c r="CE266" s="21" t="s">
        <v>108</v>
      </c>
      <c r="CF266" s="21"/>
      <c r="CG266" s="21" t="s">
        <v>108</v>
      </c>
      <c r="CH266" s="21"/>
      <c r="CI266" s="21"/>
      <c r="CJ266" s="21" t="s">
        <v>108</v>
      </c>
      <c r="CK266" s="21" t="s">
        <v>108</v>
      </c>
      <c r="CL266" s="21" t="s">
        <v>108</v>
      </c>
      <c r="CM266" s="25"/>
      <c r="CN266" s="25"/>
      <c r="CO266" s="25"/>
      <c r="CP266" s="26"/>
    </row>
    <row r="267" spans="1:97" s="27" customFormat="1" ht="27.75" customHeight="1">
      <c r="A267" s="4">
        <v>188</v>
      </c>
      <c r="B267" s="28"/>
      <c r="C267" s="28"/>
      <c r="D267" s="28"/>
      <c r="E267" s="28"/>
      <c r="F267" s="28"/>
      <c r="G267" s="28"/>
      <c r="H267" s="29" t="s">
        <v>85</v>
      </c>
      <c r="I267" s="28" t="s">
        <v>86</v>
      </c>
      <c r="J267" s="30" t="s">
        <v>166</v>
      </c>
      <c r="K267" s="30" t="s">
        <v>1650</v>
      </c>
      <c r="L267" s="31"/>
      <c r="M267" s="29">
        <v>2024</v>
      </c>
      <c r="N267" s="29" t="s">
        <v>1651</v>
      </c>
      <c r="O267" s="29" t="s">
        <v>1652</v>
      </c>
      <c r="P267" s="32" t="s">
        <v>1653</v>
      </c>
      <c r="Q267" s="390" t="s">
        <v>1654</v>
      </c>
      <c r="R267" s="8" t="s">
        <v>5466</v>
      </c>
      <c r="S267" s="212" t="s">
        <v>12143</v>
      </c>
      <c r="T267" s="31" t="s">
        <v>1655</v>
      </c>
      <c r="U267" s="33" t="s">
        <v>172</v>
      </c>
      <c r="V267" s="34" t="s">
        <v>94</v>
      </c>
      <c r="W267" s="35">
        <v>42281</v>
      </c>
      <c r="X267" s="35" t="str">
        <f t="shared" ca="1" si="5"/>
        <v>10 Th, 11 Bln</v>
      </c>
      <c r="Y267" s="31" t="s">
        <v>425</v>
      </c>
      <c r="Z267" s="36" t="s">
        <v>1656</v>
      </c>
      <c r="AA267" s="31" t="s">
        <v>96</v>
      </c>
      <c r="AB267" s="31" t="s">
        <v>97</v>
      </c>
      <c r="AC267" s="30" t="s">
        <v>1324</v>
      </c>
      <c r="AD267" s="129" t="s">
        <v>1281</v>
      </c>
      <c r="AE267" s="129" t="s">
        <v>358</v>
      </c>
      <c r="AF267" s="30" t="s">
        <v>177</v>
      </c>
      <c r="AG267" s="30" t="s">
        <v>178</v>
      </c>
      <c r="AH267" s="30" t="s">
        <v>178</v>
      </c>
      <c r="AI267" s="30"/>
      <c r="AJ267" s="30" t="s">
        <v>103</v>
      </c>
      <c r="AK267" s="30" t="s">
        <v>179</v>
      </c>
      <c r="AL267" s="30" t="s">
        <v>665</v>
      </c>
      <c r="AM267" s="37" t="s">
        <v>127</v>
      </c>
      <c r="AN267" s="37" t="s">
        <v>1336</v>
      </c>
      <c r="AO267" s="31"/>
      <c r="AP267" s="31" t="s">
        <v>146</v>
      </c>
      <c r="AQ267" s="31" t="s">
        <v>107</v>
      </c>
      <c r="AR267" s="31" t="s">
        <v>127</v>
      </c>
      <c r="AS267" s="130" t="s">
        <v>1657</v>
      </c>
      <c r="AT267" s="129">
        <v>129</v>
      </c>
      <c r="AU267" s="130" t="s">
        <v>182</v>
      </c>
      <c r="AV267" s="38" t="s">
        <v>112</v>
      </c>
      <c r="AW267" s="123" t="s">
        <v>1658</v>
      </c>
      <c r="AX267" s="123" t="s">
        <v>183</v>
      </c>
      <c r="AY267" s="30" t="s">
        <v>1328</v>
      </c>
      <c r="AZ267" s="32" t="s">
        <v>1329</v>
      </c>
      <c r="BA267" s="30" t="s">
        <v>94</v>
      </c>
      <c r="BB267" s="53">
        <v>31500</v>
      </c>
      <c r="BC267" s="39" t="s">
        <v>96</v>
      </c>
      <c r="BD267" s="40" t="s">
        <v>1330</v>
      </c>
      <c r="BE267" s="30" t="s">
        <v>118</v>
      </c>
      <c r="BF267" s="30" t="s">
        <v>1331</v>
      </c>
      <c r="BG267" s="30" t="s">
        <v>1659</v>
      </c>
      <c r="BH267" s="30" t="s">
        <v>1660</v>
      </c>
      <c r="BI267" s="41" t="s">
        <v>127</v>
      </c>
      <c r="BJ267" s="42" t="s">
        <v>1661</v>
      </c>
      <c r="BK267" s="43" t="s">
        <v>1662</v>
      </c>
      <c r="BL267" s="30" t="s">
        <v>1663</v>
      </c>
      <c r="BM267" s="44" t="s">
        <v>1664</v>
      </c>
      <c r="BN267" s="125" t="s">
        <v>94</v>
      </c>
      <c r="BO267" s="50">
        <v>32856</v>
      </c>
      <c r="BP267" s="39" t="s">
        <v>96</v>
      </c>
      <c r="BQ267" s="40" t="s">
        <v>1336</v>
      </c>
      <c r="BR267" s="30" t="s">
        <v>118</v>
      </c>
      <c r="BS267" s="30" t="s">
        <v>126</v>
      </c>
      <c r="BT267" s="30" t="s">
        <v>127</v>
      </c>
      <c r="BU267" s="30" t="s">
        <v>127</v>
      </c>
      <c r="BV267" s="45"/>
      <c r="BW267" s="46" t="s">
        <v>127</v>
      </c>
      <c r="BX267" s="47" t="s">
        <v>1337</v>
      </c>
      <c r="BY267" s="47" t="s">
        <v>1665</v>
      </c>
      <c r="BZ267" s="47" t="s">
        <v>1666</v>
      </c>
      <c r="CA267" s="47">
        <v>20999</v>
      </c>
      <c r="CB267" s="47"/>
      <c r="CC267" s="47" t="s">
        <v>1667</v>
      </c>
      <c r="CD267" s="47" t="s">
        <v>153</v>
      </c>
      <c r="CE267" s="47" t="s">
        <v>1668</v>
      </c>
      <c r="CF267" s="47" t="s">
        <v>96</v>
      </c>
      <c r="CG267" s="47" t="s">
        <v>1324</v>
      </c>
      <c r="CH267" s="47" t="s">
        <v>1281</v>
      </c>
      <c r="CI267" s="47" t="s">
        <v>358</v>
      </c>
      <c r="CJ267" s="47" t="s">
        <v>177</v>
      </c>
      <c r="CK267" s="47" t="s">
        <v>178</v>
      </c>
      <c r="CL267" s="47" t="s">
        <v>103</v>
      </c>
      <c r="CM267" s="25"/>
      <c r="CN267" s="25"/>
      <c r="CO267" s="25"/>
      <c r="CP267" s="26"/>
    </row>
    <row r="268" spans="1:97" s="27" customFormat="1" ht="23.25" customHeight="1">
      <c r="A268" s="4">
        <v>162</v>
      </c>
      <c r="B268" s="6"/>
      <c r="C268" s="6"/>
      <c r="D268" s="6"/>
      <c r="E268" s="6"/>
      <c r="F268" s="6"/>
      <c r="G268" s="6"/>
      <c r="H268" s="5" t="s">
        <v>85</v>
      </c>
      <c r="I268" s="6" t="s">
        <v>86</v>
      </c>
      <c r="J268" s="7" t="s">
        <v>166</v>
      </c>
      <c r="K268" s="7" t="s">
        <v>1101</v>
      </c>
      <c r="L268" s="8"/>
      <c r="M268" s="5">
        <v>2028</v>
      </c>
      <c r="N268" s="5">
        <v>3178478040</v>
      </c>
      <c r="O268" s="5" t="s">
        <v>1102</v>
      </c>
      <c r="P268" s="10" t="s">
        <v>1103</v>
      </c>
      <c r="Q268" s="389" t="s">
        <v>1104</v>
      </c>
      <c r="R268" s="8" t="s">
        <v>5466</v>
      </c>
      <c r="S268" s="212" t="s">
        <v>12143</v>
      </c>
      <c r="T268" s="8" t="s">
        <v>543</v>
      </c>
      <c r="U268" s="11" t="s">
        <v>172</v>
      </c>
      <c r="V268" s="12" t="s">
        <v>94</v>
      </c>
      <c r="W268" s="13">
        <v>43036</v>
      </c>
      <c r="X268" s="13" t="str">
        <f t="shared" ca="1" si="5"/>
        <v>8 Th, 10 Bln</v>
      </c>
      <c r="Y268" s="5" t="s">
        <v>95</v>
      </c>
      <c r="Z268" s="14"/>
      <c r="AA268" s="5" t="s">
        <v>96</v>
      </c>
      <c r="AB268" s="5" t="s">
        <v>97</v>
      </c>
      <c r="AC268" s="7" t="s">
        <v>1105</v>
      </c>
      <c r="AD268" s="131" t="s">
        <v>176</v>
      </c>
      <c r="AE268" s="131" t="s">
        <v>967</v>
      </c>
      <c r="AF268" s="7" t="s">
        <v>615</v>
      </c>
      <c r="AG268" s="7" t="s">
        <v>178</v>
      </c>
      <c r="AH268" s="7" t="s">
        <v>178</v>
      </c>
      <c r="AI268" s="7"/>
      <c r="AJ268" s="7" t="s">
        <v>94</v>
      </c>
      <c r="AK268" s="7" t="s">
        <v>104</v>
      </c>
      <c r="AL268" s="7" t="s">
        <v>1106</v>
      </c>
      <c r="AM268" s="15" t="s">
        <v>1107</v>
      </c>
      <c r="AN268" s="15" t="s">
        <v>1108</v>
      </c>
      <c r="AO268" s="8"/>
      <c r="AP268" s="8" t="s">
        <v>107</v>
      </c>
      <c r="AQ268" s="8" t="s">
        <v>298</v>
      </c>
      <c r="AR268" s="8" t="s">
        <v>127</v>
      </c>
      <c r="AS268" s="132" t="s">
        <v>873</v>
      </c>
      <c r="AT268" s="131">
        <v>115</v>
      </c>
      <c r="AU268" s="132" t="s">
        <v>111</v>
      </c>
      <c r="AV268" s="16" t="s">
        <v>112</v>
      </c>
      <c r="AW268" s="56" t="s">
        <v>150</v>
      </c>
      <c r="AX268" s="56" t="s">
        <v>183</v>
      </c>
      <c r="AY268" s="7" t="s">
        <v>1109</v>
      </c>
      <c r="AZ268" s="10" t="s">
        <v>127</v>
      </c>
      <c r="BA268" s="7" t="s">
        <v>1110</v>
      </c>
      <c r="BB268" s="52">
        <v>29503</v>
      </c>
      <c r="BC268" s="17" t="s">
        <v>1111</v>
      </c>
      <c r="BD268" s="18" t="s">
        <v>1112</v>
      </c>
      <c r="BE268" s="7" t="s">
        <v>118</v>
      </c>
      <c r="BF268" s="7" t="s">
        <v>1113</v>
      </c>
      <c r="BG268" s="7" t="s">
        <v>1114</v>
      </c>
      <c r="BH268" s="7" t="s">
        <v>1115</v>
      </c>
      <c r="BI268" s="19" t="s">
        <v>127</v>
      </c>
      <c r="BJ268" s="20" t="s">
        <v>1116</v>
      </c>
      <c r="BK268" s="21" t="s">
        <v>127</v>
      </c>
      <c r="BL268" s="7" t="s">
        <v>1117</v>
      </c>
      <c r="BM268" s="22" t="s">
        <v>1118</v>
      </c>
      <c r="BN268" s="8" t="s">
        <v>1119</v>
      </c>
      <c r="BO268" s="49">
        <v>30713</v>
      </c>
      <c r="BP268" s="17" t="s">
        <v>96</v>
      </c>
      <c r="BQ268" s="18" t="s">
        <v>1108</v>
      </c>
      <c r="BR268" s="7" t="s">
        <v>118</v>
      </c>
      <c r="BS268" s="7" t="s">
        <v>126</v>
      </c>
      <c r="BT268" s="7" t="s">
        <v>127</v>
      </c>
      <c r="BU268" s="8" t="s">
        <v>127</v>
      </c>
      <c r="BV268" s="23" t="s">
        <v>127</v>
      </c>
      <c r="BW268" s="24" t="s">
        <v>127</v>
      </c>
      <c r="BX268" s="21" t="s">
        <v>1120</v>
      </c>
      <c r="BY268" s="21" t="s">
        <v>127</v>
      </c>
      <c r="BZ268" s="21" t="s">
        <v>108</v>
      </c>
      <c r="CA268" s="21"/>
      <c r="CB268" s="21"/>
      <c r="CC268" s="21"/>
      <c r="CD268" s="21" t="s">
        <v>108</v>
      </c>
      <c r="CE268" s="21" t="s">
        <v>108</v>
      </c>
      <c r="CF268" s="21"/>
      <c r="CG268" s="21" t="s">
        <v>108</v>
      </c>
      <c r="CH268" s="21"/>
      <c r="CI268" s="21"/>
      <c r="CJ268" s="21" t="s">
        <v>108</v>
      </c>
      <c r="CK268" s="21" t="s">
        <v>108</v>
      </c>
      <c r="CL268" s="21" t="s">
        <v>108</v>
      </c>
      <c r="CM268" s="25"/>
      <c r="CN268" s="25"/>
      <c r="CO268" s="25"/>
      <c r="CP268" s="26"/>
    </row>
    <row r="269" spans="1:97" s="27" customFormat="1" ht="23.25" customHeight="1">
      <c r="A269" s="4">
        <v>190</v>
      </c>
      <c r="B269" s="6"/>
      <c r="C269" s="6"/>
      <c r="D269" s="6"/>
      <c r="E269" s="6"/>
      <c r="F269" s="6"/>
      <c r="G269" s="6"/>
      <c r="H269" s="5" t="s">
        <v>85</v>
      </c>
      <c r="I269" s="6" t="s">
        <v>86</v>
      </c>
      <c r="J269" s="7" t="s">
        <v>1691</v>
      </c>
      <c r="K269" s="7" t="s">
        <v>1692</v>
      </c>
      <c r="L269" s="8"/>
      <c r="M269" s="5">
        <v>2037</v>
      </c>
      <c r="N269" s="5">
        <v>3178650565</v>
      </c>
      <c r="O269" s="5" t="s">
        <v>1693</v>
      </c>
      <c r="P269" s="10" t="s">
        <v>1694</v>
      </c>
      <c r="Q269" s="389" t="s">
        <v>1695</v>
      </c>
      <c r="R269" s="8" t="s">
        <v>5466</v>
      </c>
      <c r="S269" s="212" t="s">
        <v>12143</v>
      </c>
      <c r="T269" s="8" t="s">
        <v>1152</v>
      </c>
      <c r="U269" s="11" t="s">
        <v>172</v>
      </c>
      <c r="V269" s="12" t="s">
        <v>94</v>
      </c>
      <c r="W269" s="13">
        <v>42828</v>
      </c>
      <c r="X269" s="13" t="str">
        <f t="shared" ca="1" si="5"/>
        <v>9 Th, 5 Bln</v>
      </c>
      <c r="Y269" s="5" t="s">
        <v>95</v>
      </c>
      <c r="Z269" s="14" t="s">
        <v>127</v>
      </c>
      <c r="AA269" s="5" t="s">
        <v>96</v>
      </c>
      <c r="AB269" s="5" t="s">
        <v>97</v>
      </c>
      <c r="AC269" s="7" t="s">
        <v>2447</v>
      </c>
      <c r="AD269" s="131" t="s">
        <v>239</v>
      </c>
      <c r="AE269" s="131" t="s">
        <v>175</v>
      </c>
      <c r="AF269" s="7" t="s">
        <v>1696</v>
      </c>
      <c r="AG269" s="7" t="s">
        <v>178</v>
      </c>
      <c r="AH269" s="7" t="s">
        <v>178</v>
      </c>
      <c r="AI269" s="7"/>
      <c r="AJ269" s="7" t="s">
        <v>103</v>
      </c>
      <c r="AK269" s="7" t="s">
        <v>179</v>
      </c>
      <c r="AL269" s="7" t="s">
        <v>1436</v>
      </c>
      <c r="AM269" s="15" t="s">
        <v>1697</v>
      </c>
      <c r="AN269" s="15" t="s">
        <v>127</v>
      </c>
      <c r="AO269" s="8"/>
      <c r="AP269" s="8" t="s">
        <v>146</v>
      </c>
      <c r="AQ269" s="8" t="s">
        <v>107</v>
      </c>
      <c r="AR269" s="8" t="s">
        <v>127</v>
      </c>
      <c r="AS269" s="132">
        <v>24</v>
      </c>
      <c r="AT269" s="131">
        <v>125</v>
      </c>
      <c r="AU269" s="132" t="s">
        <v>149</v>
      </c>
      <c r="AV269" s="16" t="s">
        <v>112</v>
      </c>
      <c r="AW269" s="56" t="s">
        <v>392</v>
      </c>
      <c r="AX269" s="56" t="s">
        <v>323</v>
      </c>
      <c r="AY269" s="7" t="s">
        <v>1698</v>
      </c>
      <c r="AZ269" s="10" t="s">
        <v>1699</v>
      </c>
      <c r="BA269" s="7" t="s">
        <v>94</v>
      </c>
      <c r="BB269" s="52">
        <v>32610</v>
      </c>
      <c r="BC269" s="17" t="s">
        <v>96</v>
      </c>
      <c r="BD269" s="18" t="s">
        <v>1700</v>
      </c>
      <c r="BE269" s="7" t="s">
        <v>153</v>
      </c>
      <c r="BF269" s="7" t="s">
        <v>154</v>
      </c>
      <c r="BG269" s="7" t="s">
        <v>1701</v>
      </c>
      <c r="BH269" s="7" t="s">
        <v>1702</v>
      </c>
      <c r="BI269" s="19" t="s">
        <v>1703</v>
      </c>
      <c r="BJ269" s="20" t="s">
        <v>1084</v>
      </c>
      <c r="BK269" s="21" t="s">
        <v>1704</v>
      </c>
      <c r="BL269" s="7" t="s">
        <v>1705</v>
      </c>
      <c r="BM269" s="22" t="s">
        <v>1706</v>
      </c>
      <c r="BN269" s="8" t="s">
        <v>94</v>
      </c>
      <c r="BO269" s="49">
        <v>32667</v>
      </c>
      <c r="BP269" s="17" t="s">
        <v>96</v>
      </c>
      <c r="BQ269" s="18" t="s">
        <v>1707</v>
      </c>
      <c r="BR269" s="7" t="s">
        <v>118</v>
      </c>
      <c r="BS269" s="7" t="s">
        <v>276</v>
      </c>
      <c r="BT269" s="7" t="s">
        <v>1708</v>
      </c>
      <c r="BU269" s="8" t="s">
        <v>1709</v>
      </c>
      <c r="BV269" s="23" t="s">
        <v>1710</v>
      </c>
      <c r="BW269" s="24" t="s">
        <v>1711</v>
      </c>
      <c r="BX269" s="21" t="s">
        <v>1712</v>
      </c>
      <c r="BY269" s="21" t="s">
        <v>108</v>
      </c>
      <c r="BZ269" s="21" t="s">
        <v>108</v>
      </c>
      <c r="CA269" s="21"/>
      <c r="CB269" s="21"/>
      <c r="CC269" s="21"/>
      <c r="CD269" s="21" t="s">
        <v>108</v>
      </c>
      <c r="CE269" s="21" t="s">
        <v>108</v>
      </c>
      <c r="CF269" s="21"/>
      <c r="CG269" s="21" t="s">
        <v>108</v>
      </c>
      <c r="CH269" s="21"/>
      <c r="CI269" s="21"/>
      <c r="CJ269" s="21" t="s">
        <v>108</v>
      </c>
      <c r="CK269" s="21" t="s">
        <v>108</v>
      </c>
      <c r="CL269" s="21" t="s">
        <v>108</v>
      </c>
      <c r="CM269" s="25"/>
      <c r="CN269" s="25"/>
      <c r="CO269" s="25"/>
      <c r="CP269" s="26"/>
    </row>
    <row r="270" spans="1:97" s="27" customFormat="1" ht="23.25" customHeight="1">
      <c r="A270" s="4">
        <v>142</v>
      </c>
      <c r="B270" s="6"/>
      <c r="C270" s="6"/>
      <c r="D270" s="6"/>
      <c r="E270" s="6"/>
      <c r="F270" s="6"/>
      <c r="G270" s="6"/>
      <c r="H270" s="5" t="s">
        <v>85</v>
      </c>
      <c r="I270" s="6" t="s">
        <v>86</v>
      </c>
      <c r="J270" s="7" t="s">
        <v>633</v>
      </c>
      <c r="K270" s="7" t="s">
        <v>634</v>
      </c>
      <c r="L270" s="8"/>
      <c r="M270" s="5">
        <v>2045</v>
      </c>
      <c r="N270" s="10">
        <v>3175167460</v>
      </c>
      <c r="O270" s="10" t="s">
        <v>635</v>
      </c>
      <c r="P270" s="10" t="s">
        <v>636</v>
      </c>
      <c r="Q270" s="389" t="s">
        <v>637</v>
      </c>
      <c r="R270" s="8" t="s">
        <v>5466</v>
      </c>
      <c r="S270" s="212" t="s">
        <v>12143</v>
      </c>
      <c r="T270" s="8" t="s">
        <v>638</v>
      </c>
      <c r="U270" s="11" t="s">
        <v>93</v>
      </c>
      <c r="V270" s="12" t="s">
        <v>94</v>
      </c>
      <c r="W270" s="13">
        <v>42797</v>
      </c>
      <c r="X270" s="13" t="str">
        <f t="shared" ca="1" si="5"/>
        <v>9 Th, 6 Bln</v>
      </c>
      <c r="Y270" s="5" t="s">
        <v>95</v>
      </c>
      <c r="Z270" s="14"/>
      <c r="AA270" s="5" t="s">
        <v>96</v>
      </c>
      <c r="AB270" s="5" t="s">
        <v>97</v>
      </c>
      <c r="AC270" s="7" t="s">
        <v>640</v>
      </c>
      <c r="AD270" s="131">
        <v>6</v>
      </c>
      <c r="AE270" s="131">
        <v>11</v>
      </c>
      <c r="AF270" s="7" t="s">
        <v>437</v>
      </c>
      <c r="AG270" s="7" t="s">
        <v>178</v>
      </c>
      <c r="AH270" s="7" t="s">
        <v>178</v>
      </c>
      <c r="AI270" s="7"/>
      <c r="AJ270" s="7" t="s">
        <v>94</v>
      </c>
      <c r="AK270" s="7" t="s">
        <v>179</v>
      </c>
      <c r="AL270" s="7" t="s">
        <v>641</v>
      </c>
      <c r="AM270" s="15" t="s">
        <v>642</v>
      </c>
      <c r="AN270" s="15" t="s">
        <v>642</v>
      </c>
      <c r="AO270" s="8"/>
      <c r="AP270" s="8" t="s">
        <v>107</v>
      </c>
      <c r="AQ270" s="8" t="s">
        <v>146</v>
      </c>
      <c r="AR270" s="8" t="s">
        <v>108</v>
      </c>
      <c r="AS270" s="132">
        <v>19</v>
      </c>
      <c r="AT270" s="131">
        <v>115</v>
      </c>
      <c r="AU270" s="132" t="s">
        <v>149</v>
      </c>
      <c r="AV270" s="16" t="s">
        <v>112</v>
      </c>
      <c r="AW270" s="56" t="s">
        <v>643</v>
      </c>
      <c r="AX270" s="56" t="s">
        <v>644</v>
      </c>
      <c r="AY270" s="7" t="s">
        <v>645</v>
      </c>
      <c r="AZ270" s="10" t="s">
        <v>646</v>
      </c>
      <c r="BA270" s="7" t="s">
        <v>603</v>
      </c>
      <c r="BB270" s="52">
        <v>30970</v>
      </c>
      <c r="BC270" s="17" t="s">
        <v>96</v>
      </c>
      <c r="BD270" s="18" t="s">
        <v>647</v>
      </c>
      <c r="BE270" s="7" t="s">
        <v>118</v>
      </c>
      <c r="BF270" s="7" t="s">
        <v>247</v>
      </c>
      <c r="BG270" s="7" t="s">
        <v>648</v>
      </c>
      <c r="BH270" s="7" t="s">
        <v>649</v>
      </c>
      <c r="BI270" s="19" t="s">
        <v>647</v>
      </c>
      <c r="BJ270" s="20">
        <v>5000000</v>
      </c>
      <c r="BK270" s="21" t="s">
        <v>650</v>
      </c>
      <c r="BL270" s="7" t="s">
        <v>651</v>
      </c>
      <c r="BM270" s="22" t="s">
        <v>652</v>
      </c>
      <c r="BN270" s="8" t="s">
        <v>653</v>
      </c>
      <c r="BO270" s="49">
        <v>31698</v>
      </c>
      <c r="BP270" s="17" t="s">
        <v>96</v>
      </c>
      <c r="BQ270" s="18" t="s">
        <v>642</v>
      </c>
      <c r="BR270" s="7" t="s">
        <v>118</v>
      </c>
      <c r="BS270" s="7" t="s">
        <v>247</v>
      </c>
      <c r="BT270" s="7" t="s">
        <v>654</v>
      </c>
      <c r="BU270" s="8" t="s">
        <v>655</v>
      </c>
      <c r="BV270" s="23"/>
      <c r="BW270" s="24" t="s">
        <v>250</v>
      </c>
      <c r="BX270" s="21" t="s">
        <v>656</v>
      </c>
      <c r="BY270" s="21" t="s">
        <v>108</v>
      </c>
      <c r="BZ270" s="21" t="s">
        <v>108</v>
      </c>
      <c r="CA270" s="21"/>
      <c r="CB270" s="21"/>
      <c r="CC270" s="21"/>
      <c r="CD270" s="21" t="s">
        <v>108</v>
      </c>
      <c r="CE270" s="21" t="s">
        <v>108</v>
      </c>
      <c r="CF270" s="21"/>
      <c r="CG270" s="21" t="s">
        <v>108</v>
      </c>
      <c r="CH270" s="21"/>
      <c r="CI270" s="21"/>
      <c r="CJ270" s="21" t="s">
        <v>108</v>
      </c>
      <c r="CK270" s="21" t="s">
        <v>108</v>
      </c>
      <c r="CL270" s="21" t="s">
        <v>108</v>
      </c>
      <c r="CM270" s="25"/>
      <c r="CN270" s="25"/>
      <c r="CO270" s="25"/>
      <c r="CP270" s="26"/>
    </row>
    <row r="271" spans="1:97" s="27" customFormat="1" ht="27.75" customHeight="1">
      <c r="A271" s="4">
        <v>169</v>
      </c>
      <c r="B271" s="28"/>
      <c r="C271" s="28"/>
      <c r="D271" s="28"/>
      <c r="E271" s="28"/>
      <c r="F271" s="28"/>
      <c r="G271" s="28"/>
      <c r="H271" s="29" t="s">
        <v>85</v>
      </c>
      <c r="I271" s="28" t="s">
        <v>86</v>
      </c>
      <c r="J271" s="30" t="s">
        <v>1258</v>
      </c>
      <c r="K271" s="30" t="s">
        <v>424</v>
      </c>
      <c r="L271" s="31"/>
      <c r="M271" s="29">
        <v>2047</v>
      </c>
      <c r="N271" s="29">
        <v>3180316119</v>
      </c>
      <c r="O271" s="29" t="s">
        <v>1259</v>
      </c>
      <c r="P271" s="32" t="s">
        <v>1260</v>
      </c>
      <c r="Q271" s="390" t="s">
        <v>1261</v>
      </c>
      <c r="R271" s="8" t="s">
        <v>5466</v>
      </c>
      <c r="S271" s="212" t="s">
        <v>12143</v>
      </c>
      <c r="T271" s="31" t="s">
        <v>1262</v>
      </c>
      <c r="U271" s="33" t="s">
        <v>172</v>
      </c>
      <c r="V271" s="34" t="s">
        <v>424</v>
      </c>
      <c r="W271" s="35">
        <v>43104</v>
      </c>
      <c r="X271" s="35" t="str">
        <f t="shared" ca="1" si="5"/>
        <v>8 Th, 8 Bln</v>
      </c>
      <c r="Y271" s="31" t="s">
        <v>95</v>
      </c>
      <c r="Z271" s="36"/>
      <c r="AA271" s="31" t="s">
        <v>96</v>
      </c>
      <c r="AB271" s="31" t="s">
        <v>97</v>
      </c>
      <c r="AC271" s="30" t="s">
        <v>1263</v>
      </c>
      <c r="AD271" s="129" t="s">
        <v>318</v>
      </c>
      <c r="AE271" s="129" t="s">
        <v>384</v>
      </c>
      <c r="AF271" s="30" t="s">
        <v>942</v>
      </c>
      <c r="AG271" s="30" t="s">
        <v>178</v>
      </c>
      <c r="AH271" s="30" t="s">
        <v>178</v>
      </c>
      <c r="AI271" s="30"/>
      <c r="AJ271" s="30" t="s">
        <v>103</v>
      </c>
      <c r="AK271" s="30" t="s">
        <v>104</v>
      </c>
      <c r="AL271" s="30" t="s">
        <v>708</v>
      </c>
      <c r="AM271" s="37" t="s">
        <v>1264</v>
      </c>
      <c r="AN271" s="37" t="s">
        <v>1265</v>
      </c>
      <c r="AO271" s="31"/>
      <c r="AP271" s="31" t="s">
        <v>107</v>
      </c>
      <c r="AQ271" s="31" t="s">
        <v>107</v>
      </c>
      <c r="AR271" s="31" t="s">
        <v>108</v>
      </c>
      <c r="AS271" s="130" t="s">
        <v>873</v>
      </c>
      <c r="AT271" s="129" t="s">
        <v>1266</v>
      </c>
      <c r="AU271" s="130" t="s">
        <v>182</v>
      </c>
      <c r="AV271" s="38" t="s">
        <v>112</v>
      </c>
      <c r="AW271" s="123" t="s">
        <v>150</v>
      </c>
      <c r="AX271" s="123" t="s">
        <v>114</v>
      </c>
      <c r="AY271" s="30" t="s">
        <v>1267</v>
      </c>
      <c r="AZ271" s="32" t="s">
        <v>1268</v>
      </c>
      <c r="BA271" s="30" t="s">
        <v>971</v>
      </c>
      <c r="BB271" s="53">
        <v>31505</v>
      </c>
      <c r="BC271" s="39" t="s">
        <v>96</v>
      </c>
      <c r="BD271" s="40" t="s">
        <v>1265</v>
      </c>
      <c r="BE271" s="30" t="s">
        <v>118</v>
      </c>
      <c r="BF271" s="30" t="s">
        <v>188</v>
      </c>
      <c r="BG271" s="30" t="s">
        <v>1059</v>
      </c>
      <c r="BH271" s="30" t="s">
        <v>1269</v>
      </c>
      <c r="BI271" s="41" t="s">
        <v>1270</v>
      </c>
      <c r="BJ271" s="42" t="s">
        <v>1271</v>
      </c>
      <c r="BK271" s="43" t="s">
        <v>1272</v>
      </c>
      <c r="BL271" s="30" t="s">
        <v>1273</v>
      </c>
      <c r="BM271" s="44" t="s">
        <v>1274</v>
      </c>
      <c r="BN271" s="125" t="s">
        <v>424</v>
      </c>
      <c r="BO271" s="50">
        <v>32071</v>
      </c>
      <c r="BP271" s="39" t="s">
        <v>96</v>
      </c>
      <c r="BQ271" s="40" t="s">
        <v>1264</v>
      </c>
      <c r="BR271" s="30" t="s">
        <v>118</v>
      </c>
      <c r="BS271" s="30" t="s">
        <v>126</v>
      </c>
      <c r="BT271" s="30" t="s">
        <v>127</v>
      </c>
      <c r="BU271" s="30" t="s">
        <v>127</v>
      </c>
      <c r="BV271" s="45" t="s">
        <v>127</v>
      </c>
      <c r="BW271" s="46" t="s">
        <v>127</v>
      </c>
      <c r="BX271" s="47" t="s">
        <v>1275</v>
      </c>
      <c r="BY271" s="47" t="s">
        <v>108</v>
      </c>
      <c r="BZ271" s="47" t="s">
        <v>108</v>
      </c>
      <c r="CA271" s="47"/>
      <c r="CB271" s="47"/>
      <c r="CC271" s="47"/>
      <c r="CD271" s="47" t="s">
        <v>108</v>
      </c>
      <c r="CE271" s="47" t="s">
        <v>108</v>
      </c>
      <c r="CF271" s="47"/>
      <c r="CG271" s="47" t="s">
        <v>108</v>
      </c>
      <c r="CH271" s="47"/>
      <c r="CI271" s="47"/>
      <c r="CJ271" s="47" t="s">
        <v>108</v>
      </c>
      <c r="CK271" s="47" t="s">
        <v>108</v>
      </c>
      <c r="CL271" s="47" t="s">
        <v>108</v>
      </c>
      <c r="CM271" s="25"/>
      <c r="CN271" s="25"/>
      <c r="CO271" s="25"/>
      <c r="CP271" s="26"/>
    </row>
    <row r="272" spans="1:97" s="27" customFormat="1" ht="23.25" customHeight="1">
      <c r="A272" s="4">
        <v>222</v>
      </c>
      <c r="B272" s="6"/>
      <c r="C272" s="6"/>
      <c r="D272" s="6"/>
      <c r="E272" s="6"/>
      <c r="F272" s="6"/>
      <c r="G272" s="6"/>
      <c r="H272" s="5" t="s">
        <v>85</v>
      </c>
      <c r="I272" s="6" t="s">
        <v>86</v>
      </c>
      <c r="J272" s="7" t="s">
        <v>2015</v>
      </c>
      <c r="K272" s="7" t="s">
        <v>2375</v>
      </c>
      <c r="L272" s="8"/>
      <c r="M272" s="5">
        <v>2048</v>
      </c>
      <c r="N272" s="5">
        <v>3178427273</v>
      </c>
      <c r="O272" s="5" t="s">
        <v>2376</v>
      </c>
      <c r="P272" s="10" t="s">
        <v>2377</v>
      </c>
      <c r="Q272" s="389" t="s">
        <v>2378</v>
      </c>
      <c r="R272" s="8" t="s">
        <v>5466</v>
      </c>
      <c r="S272" s="212" t="s">
        <v>12143</v>
      </c>
      <c r="T272" s="8" t="s">
        <v>2379</v>
      </c>
      <c r="U272" s="11" t="s">
        <v>93</v>
      </c>
      <c r="V272" s="12" t="s">
        <v>94</v>
      </c>
      <c r="W272" s="13">
        <v>43091</v>
      </c>
      <c r="X272" s="13" t="str">
        <f t="shared" ca="1" si="5"/>
        <v>8 Th, 8 Bln</v>
      </c>
      <c r="Y272" s="5" t="s">
        <v>95</v>
      </c>
      <c r="Z272" s="14"/>
      <c r="AA272" s="5" t="s">
        <v>96</v>
      </c>
      <c r="AB272" s="5" t="s">
        <v>97</v>
      </c>
      <c r="AC272" s="7" t="s">
        <v>2380</v>
      </c>
      <c r="AD272" s="131" t="s">
        <v>293</v>
      </c>
      <c r="AE272" s="131">
        <v>10</v>
      </c>
      <c r="AF272" s="7" t="s">
        <v>139</v>
      </c>
      <c r="AG272" s="7" t="s">
        <v>140</v>
      </c>
      <c r="AH272" s="7" t="s">
        <v>141</v>
      </c>
      <c r="AI272" s="7"/>
      <c r="AJ272" s="7" t="s">
        <v>142</v>
      </c>
      <c r="AK272" s="7" t="s">
        <v>104</v>
      </c>
      <c r="AL272" s="7" t="s">
        <v>2381</v>
      </c>
      <c r="AM272" s="15" t="s">
        <v>2382</v>
      </c>
      <c r="AN272" s="15" t="s">
        <v>2382</v>
      </c>
      <c r="AO272" s="8"/>
      <c r="AP272" s="8" t="s">
        <v>146</v>
      </c>
      <c r="AQ272" s="8" t="s">
        <v>107</v>
      </c>
      <c r="AR272" s="8" t="s">
        <v>108</v>
      </c>
      <c r="AS272" s="132" t="s">
        <v>2383</v>
      </c>
      <c r="AT272" s="131" t="s">
        <v>2384</v>
      </c>
      <c r="AU272" s="132" t="s">
        <v>182</v>
      </c>
      <c r="AV272" s="16" t="s">
        <v>112</v>
      </c>
      <c r="AW272" s="56" t="s">
        <v>150</v>
      </c>
      <c r="AX272" s="56" t="s">
        <v>183</v>
      </c>
      <c r="AY272" s="7" t="s">
        <v>2385</v>
      </c>
      <c r="AZ272" s="10" t="s">
        <v>2386</v>
      </c>
      <c r="BA272" s="7" t="s">
        <v>511</v>
      </c>
      <c r="BB272" s="52">
        <v>33498</v>
      </c>
      <c r="BC272" s="17" t="s">
        <v>96</v>
      </c>
      <c r="BD272" s="18" t="s">
        <v>2387</v>
      </c>
      <c r="BE272" s="7" t="s">
        <v>118</v>
      </c>
      <c r="BF272" s="7" t="s">
        <v>188</v>
      </c>
      <c r="BG272" s="7" t="s">
        <v>2388</v>
      </c>
      <c r="BH272" s="7" t="s">
        <v>2389</v>
      </c>
      <c r="BI272" s="19" t="s">
        <v>2387</v>
      </c>
      <c r="BJ272" s="20" t="s">
        <v>250</v>
      </c>
      <c r="BK272" s="21" t="s">
        <v>2390</v>
      </c>
      <c r="BL272" s="7" t="s">
        <v>2391</v>
      </c>
      <c r="BM272" s="22" t="s">
        <v>2392</v>
      </c>
      <c r="BN272" s="8" t="s">
        <v>511</v>
      </c>
      <c r="BO272" s="49">
        <v>33789</v>
      </c>
      <c r="BP272" s="17" t="s">
        <v>96</v>
      </c>
      <c r="BQ272" s="18" t="s">
        <v>2382</v>
      </c>
      <c r="BR272" s="7" t="s">
        <v>118</v>
      </c>
      <c r="BS272" s="7" t="s">
        <v>254</v>
      </c>
      <c r="BT272" s="7" t="s">
        <v>2393</v>
      </c>
      <c r="BU272" s="8" t="s">
        <v>2393</v>
      </c>
      <c r="BV272" s="23"/>
      <c r="BW272" s="24" t="s">
        <v>2394</v>
      </c>
      <c r="BX272" s="21" t="s">
        <v>2395</v>
      </c>
      <c r="BY272" s="21" t="s">
        <v>2396</v>
      </c>
      <c r="BZ272" s="21" t="s">
        <v>511</v>
      </c>
      <c r="CA272" s="21">
        <v>24268</v>
      </c>
      <c r="CB272" s="21"/>
      <c r="CC272" s="21" t="s">
        <v>2397</v>
      </c>
      <c r="CD272" s="21" t="s">
        <v>216</v>
      </c>
      <c r="CE272" s="21" t="s">
        <v>254</v>
      </c>
      <c r="CF272" s="21" t="s">
        <v>96</v>
      </c>
      <c r="CG272" s="21" t="s">
        <v>2398</v>
      </c>
      <c r="CH272" s="21" t="s">
        <v>2399</v>
      </c>
      <c r="CI272" s="21" t="s">
        <v>546</v>
      </c>
      <c r="CJ272" s="21" t="s">
        <v>2398</v>
      </c>
      <c r="CK272" s="21" t="s">
        <v>2400</v>
      </c>
      <c r="CL272" s="21" t="s">
        <v>2401</v>
      </c>
      <c r="CM272" s="25"/>
      <c r="CN272" s="25"/>
      <c r="CO272" s="25"/>
      <c r="CP272" s="26"/>
    </row>
    <row r="273" spans="1:94" s="27" customFormat="1" ht="23.25" customHeight="1">
      <c r="A273" s="4">
        <v>193</v>
      </c>
      <c r="B273" s="6"/>
      <c r="C273" s="6"/>
      <c r="D273" s="6"/>
      <c r="E273" s="6"/>
      <c r="F273" s="6"/>
      <c r="G273" s="6"/>
      <c r="H273" s="5" t="s">
        <v>85</v>
      </c>
      <c r="I273" s="6" t="s">
        <v>86</v>
      </c>
      <c r="J273" s="7" t="s">
        <v>1752</v>
      </c>
      <c r="K273" s="7" t="s">
        <v>1753</v>
      </c>
      <c r="L273" s="8"/>
      <c r="M273" s="5">
        <v>2049</v>
      </c>
      <c r="N273" s="5">
        <v>3175521734</v>
      </c>
      <c r="O273" s="5" t="s">
        <v>1754</v>
      </c>
      <c r="P273" s="10" t="s">
        <v>1755</v>
      </c>
      <c r="Q273" s="389" t="s">
        <v>13417</v>
      </c>
      <c r="R273" s="8" t="s">
        <v>5466</v>
      </c>
      <c r="S273" s="212" t="s">
        <v>12143</v>
      </c>
      <c r="T273" s="8" t="s">
        <v>1756</v>
      </c>
      <c r="U273" s="11" t="s">
        <v>172</v>
      </c>
      <c r="V273" s="12" t="s">
        <v>1757</v>
      </c>
      <c r="W273" s="13">
        <v>42894</v>
      </c>
      <c r="X273" s="13" t="str">
        <f t="shared" ca="1" si="5"/>
        <v>9 Th, 3 Bln</v>
      </c>
      <c r="Y273" s="5" t="s">
        <v>95</v>
      </c>
      <c r="Z273" s="14"/>
      <c r="AA273" s="5" t="s">
        <v>96</v>
      </c>
      <c r="AB273" s="5" t="s">
        <v>97</v>
      </c>
      <c r="AC273" s="7" t="s">
        <v>1758</v>
      </c>
      <c r="AD273" s="131">
        <v>1</v>
      </c>
      <c r="AE273" s="131">
        <v>4</v>
      </c>
      <c r="AF273" s="7" t="s">
        <v>1759</v>
      </c>
      <c r="AG273" s="7" t="s">
        <v>547</v>
      </c>
      <c r="AH273" s="7" t="s">
        <v>178</v>
      </c>
      <c r="AI273" s="7"/>
      <c r="AJ273" s="7" t="s">
        <v>544</v>
      </c>
      <c r="AK273" s="7" t="s">
        <v>104</v>
      </c>
      <c r="AL273" s="7" t="s">
        <v>1760</v>
      </c>
      <c r="AM273" s="15" t="s">
        <v>1761</v>
      </c>
      <c r="AN273" s="15" t="s">
        <v>1761</v>
      </c>
      <c r="AO273" s="8"/>
      <c r="AP273" s="8" t="s">
        <v>107</v>
      </c>
      <c r="AQ273" s="8" t="s">
        <v>146</v>
      </c>
      <c r="AR273" s="8" t="s">
        <v>108</v>
      </c>
      <c r="AS273" s="132" t="s">
        <v>271</v>
      </c>
      <c r="AT273" s="131" t="s">
        <v>1762</v>
      </c>
      <c r="AU273" s="132" t="s">
        <v>182</v>
      </c>
      <c r="AV273" s="16" t="s">
        <v>112</v>
      </c>
      <c r="AW273" s="56" t="s">
        <v>392</v>
      </c>
      <c r="AX273" s="56" t="s">
        <v>427</v>
      </c>
      <c r="AY273" s="7" t="s">
        <v>1763</v>
      </c>
      <c r="AZ273" s="10" t="s">
        <v>1764</v>
      </c>
      <c r="BA273" s="7" t="s">
        <v>1765</v>
      </c>
      <c r="BB273" s="52">
        <v>29805</v>
      </c>
      <c r="BC273" s="17" t="s">
        <v>96</v>
      </c>
      <c r="BD273" s="18" t="s">
        <v>1766</v>
      </c>
      <c r="BE273" s="7" t="s">
        <v>118</v>
      </c>
      <c r="BF273" s="7" t="s">
        <v>327</v>
      </c>
      <c r="BG273" s="7" t="s">
        <v>1767</v>
      </c>
      <c r="BH273" s="7" t="s">
        <v>1768</v>
      </c>
      <c r="BI273" s="19" t="s">
        <v>1769</v>
      </c>
      <c r="BJ273" s="20" t="s">
        <v>428</v>
      </c>
      <c r="BK273" s="21" t="s">
        <v>1770</v>
      </c>
      <c r="BL273" s="7" t="s">
        <v>1771</v>
      </c>
      <c r="BM273" s="22" t="s">
        <v>1772</v>
      </c>
      <c r="BN273" s="8" t="s">
        <v>1757</v>
      </c>
      <c r="BO273" s="49">
        <v>29862</v>
      </c>
      <c r="BP273" s="17" t="s">
        <v>96</v>
      </c>
      <c r="BQ273" s="18" t="s">
        <v>1761</v>
      </c>
      <c r="BR273" s="7" t="s">
        <v>118</v>
      </c>
      <c r="BS273" s="7" t="s">
        <v>126</v>
      </c>
      <c r="BT273" s="7" t="s">
        <v>452</v>
      </c>
      <c r="BU273" s="8" t="s">
        <v>1773</v>
      </c>
      <c r="BV273" s="23"/>
      <c r="BW273" s="24" t="s">
        <v>1774</v>
      </c>
      <c r="BX273" s="21" t="s">
        <v>1775</v>
      </c>
      <c r="BY273" s="21" t="s">
        <v>1776</v>
      </c>
      <c r="BZ273" s="21" t="s">
        <v>1777</v>
      </c>
      <c r="CA273" s="21">
        <v>20138</v>
      </c>
      <c r="CB273" s="21"/>
      <c r="CC273" s="21" t="s">
        <v>1778</v>
      </c>
      <c r="CD273" s="21" t="s">
        <v>118</v>
      </c>
      <c r="CE273" s="21" t="s">
        <v>1779</v>
      </c>
      <c r="CF273" s="21" t="s">
        <v>96</v>
      </c>
      <c r="CG273" s="21" t="s">
        <v>1780</v>
      </c>
      <c r="CH273" s="21">
        <v>1</v>
      </c>
      <c r="CI273" s="21">
        <v>4</v>
      </c>
      <c r="CJ273" s="21" t="s">
        <v>1781</v>
      </c>
      <c r="CK273" s="21" t="s">
        <v>1782</v>
      </c>
      <c r="CL273" s="21" t="s">
        <v>1765</v>
      </c>
      <c r="CM273" s="25"/>
      <c r="CN273" s="25"/>
      <c r="CO273" s="25"/>
      <c r="CP273" s="26"/>
    </row>
    <row r="274" spans="1:94" s="27" customFormat="1" ht="27.75" customHeight="1">
      <c r="A274" s="4">
        <v>143</v>
      </c>
      <c r="B274" s="6"/>
      <c r="C274" s="6"/>
      <c r="D274" s="6"/>
      <c r="E274" s="6"/>
      <c r="F274" s="6"/>
      <c r="G274" s="6"/>
      <c r="H274" s="5" t="s">
        <v>85</v>
      </c>
      <c r="I274" s="6" t="s">
        <v>86</v>
      </c>
      <c r="J274" s="7" t="s">
        <v>657</v>
      </c>
      <c r="K274" s="7" t="s">
        <v>658</v>
      </c>
      <c r="L274" s="8"/>
      <c r="M274" s="5">
        <v>2051</v>
      </c>
      <c r="N274" s="10">
        <v>3160516114</v>
      </c>
      <c r="O274" s="10" t="s">
        <v>659</v>
      </c>
      <c r="P274" s="10" t="s">
        <v>660</v>
      </c>
      <c r="Q274" s="389" t="s">
        <v>661</v>
      </c>
      <c r="R274" s="8" t="s">
        <v>5466</v>
      </c>
      <c r="S274" s="212" t="s">
        <v>12143</v>
      </c>
      <c r="T274" s="8" t="s">
        <v>662</v>
      </c>
      <c r="U274" s="11" t="s">
        <v>172</v>
      </c>
      <c r="V274" s="12" t="s">
        <v>94</v>
      </c>
      <c r="W274" s="13">
        <v>42720</v>
      </c>
      <c r="X274" s="13" t="str">
        <f t="shared" ca="1" si="5"/>
        <v>9 Th, 9 Bln</v>
      </c>
      <c r="Y274" s="5" t="s">
        <v>95</v>
      </c>
      <c r="Z274" s="14"/>
      <c r="AA274" s="5" t="s">
        <v>96</v>
      </c>
      <c r="AB274" s="5" t="s">
        <v>97</v>
      </c>
      <c r="AC274" s="7" t="s">
        <v>664</v>
      </c>
      <c r="AD274" s="131" t="s">
        <v>137</v>
      </c>
      <c r="AE274" s="131" t="s">
        <v>546</v>
      </c>
      <c r="AF274" s="7" t="s">
        <v>409</v>
      </c>
      <c r="AG274" s="7" t="s">
        <v>410</v>
      </c>
      <c r="AH274" s="7" t="s">
        <v>141</v>
      </c>
      <c r="AI274" s="7"/>
      <c r="AJ274" s="7" t="s">
        <v>94</v>
      </c>
      <c r="AK274" s="7" t="s">
        <v>104</v>
      </c>
      <c r="AL274" s="7" t="s">
        <v>665</v>
      </c>
      <c r="AM274" s="15" t="s">
        <v>666</v>
      </c>
      <c r="AN274" s="15" t="s">
        <v>667</v>
      </c>
      <c r="AO274" s="8"/>
      <c r="AP274" s="8" t="s">
        <v>146</v>
      </c>
      <c r="AQ274" s="8" t="s">
        <v>147</v>
      </c>
      <c r="AR274" s="8" t="s">
        <v>147</v>
      </c>
      <c r="AS274" s="132">
        <v>25</v>
      </c>
      <c r="AT274" s="131">
        <v>125</v>
      </c>
      <c r="AU274" s="132" t="s">
        <v>498</v>
      </c>
      <c r="AV274" s="16" t="s">
        <v>212</v>
      </c>
      <c r="AW274" s="56" t="s">
        <v>643</v>
      </c>
      <c r="AX274" s="56" t="s">
        <v>183</v>
      </c>
      <c r="AY274" s="7" t="s">
        <v>668</v>
      </c>
      <c r="AZ274" s="10" t="s">
        <v>669</v>
      </c>
      <c r="BA274" s="7" t="s">
        <v>670</v>
      </c>
      <c r="BB274" s="52">
        <v>25668</v>
      </c>
      <c r="BC274" s="17" t="s">
        <v>96</v>
      </c>
      <c r="BD274" s="18" t="s">
        <v>667</v>
      </c>
      <c r="BE274" s="7" t="s">
        <v>118</v>
      </c>
      <c r="BF274" s="7" t="s">
        <v>671</v>
      </c>
      <c r="BG274" s="7" t="s">
        <v>672</v>
      </c>
      <c r="BH274" s="7" t="s">
        <v>673</v>
      </c>
      <c r="BI274" s="19" t="s">
        <v>127</v>
      </c>
      <c r="BJ274" s="20" t="s">
        <v>674</v>
      </c>
      <c r="BK274" s="21" t="s">
        <v>675</v>
      </c>
      <c r="BL274" s="7" t="s">
        <v>676</v>
      </c>
      <c r="BM274" s="22" t="s">
        <v>677</v>
      </c>
      <c r="BN274" s="8" t="s">
        <v>395</v>
      </c>
      <c r="BO274" s="49">
        <v>25665</v>
      </c>
      <c r="BP274" s="17" t="s">
        <v>96</v>
      </c>
      <c r="BQ274" s="18" t="s">
        <v>666</v>
      </c>
      <c r="BR274" s="7" t="s">
        <v>118</v>
      </c>
      <c r="BS274" s="7" t="s">
        <v>126</v>
      </c>
      <c r="BT274" s="7" t="s">
        <v>127</v>
      </c>
      <c r="BU274" s="8" t="s">
        <v>127</v>
      </c>
      <c r="BV274" s="23" t="s">
        <v>127</v>
      </c>
      <c r="BW274" s="24" t="s">
        <v>127</v>
      </c>
      <c r="BX274" s="21" t="s">
        <v>127</v>
      </c>
      <c r="BY274" s="21" t="s">
        <v>127</v>
      </c>
      <c r="BZ274" s="21" t="s">
        <v>127</v>
      </c>
      <c r="CA274" s="21"/>
      <c r="CB274" s="21"/>
      <c r="CC274" s="21"/>
      <c r="CD274" s="21" t="s">
        <v>108</v>
      </c>
      <c r="CE274" s="21" t="s">
        <v>108</v>
      </c>
      <c r="CF274" s="21"/>
      <c r="CG274" s="21" t="s">
        <v>108</v>
      </c>
      <c r="CH274" s="21"/>
      <c r="CI274" s="21"/>
      <c r="CJ274" s="21" t="s">
        <v>108</v>
      </c>
      <c r="CK274" s="21" t="s">
        <v>108</v>
      </c>
      <c r="CL274" s="21" t="s">
        <v>108</v>
      </c>
      <c r="CM274" s="25"/>
      <c r="CN274" s="25"/>
      <c r="CO274" s="25"/>
      <c r="CP274" s="26"/>
    </row>
    <row r="275" spans="1:94" s="27" customFormat="1" ht="23.25" customHeight="1">
      <c r="A275" s="4">
        <v>170</v>
      </c>
      <c r="B275" s="6"/>
      <c r="C275" s="6"/>
      <c r="D275" s="6"/>
      <c r="E275" s="6"/>
      <c r="F275" s="6"/>
      <c r="G275" s="6"/>
      <c r="H275" s="5" t="s">
        <v>85</v>
      </c>
      <c r="I275" s="6" t="s">
        <v>86</v>
      </c>
      <c r="J275" s="7" t="s">
        <v>166</v>
      </c>
      <c r="K275" s="7" t="s">
        <v>540</v>
      </c>
      <c r="L275" s="8"/>
      <c r="M275" s="5">
        <v>2052</v>
      </c>
      <c r="N275" s="5">
        <v>3186892029</v>
      </c>
      <c r="O275" s="5" t="s">
        <v>1276</v>
      </c>
      <c r="P275" s="10" t="s">
        <v>1277</v>
      </c>
      <c r="Q275" s="389" t="s">
        <v>1278</v>
      </c>
      <c r="R275" s="8" t="s">
        <v>5466</v>
      </c>
      <c r="S275" s="212" t="s">
        <v>12143</v>
      </c>
      <c r="T275" s="8" t="s">
        <v>1279</v>
      </c>
      <c r="U275" s="11" t="s">
        <v>93</v>
      </c>
      <c r="V275" s="12" t="s">
        <v>94</v>
      </c>
      <c r="W275" s="13">
        <v>43248</v>
      </c>
      <c r="X275" s="13" t="str">
        <f t="shared" ca="1" si="5"/>
        <v>8 Th, 3 Bln</v>
      </c>
      <c r="Y275" s="5" t="s">
        <v>95</v>
      </c>
      <c r="Z275" s="14"/>
      <c r="AA275" s="5" t="s">
        <v>96</v>
      </c>
      <c r="AB275" s="5" t="s">
        <v>97</v>
      </c>
      <c r="AC275" s="7" t="s">
        <v>1280</v>
      </c>
      <c r="AD275" s="131" t="s">
        <v>1281</v>
      </c>
      <c r="AE275" s="131" t="s">
        <v>138</v>
      </c>
      <c r="AF275" s="7" t="s">
        <v>521</v>
      </c>
      <c r="AG275" s="7" t="s">
        <v>178</v>
      </c>
      <c r="AH275" s="7" t="s">
        <v>178</v>
      </c>
      <c r="AI275" s="7"/>
      <c r="AJ275" s="7" t="s">
        <v>94</v>
      </c>
      <c r="AK275" s="7" t="s">
        <v>179</v>
      </c>
      <c r="AL275" s="7" t="s">
        <v>1282</v>
      </c>
      <c r="AM275" s="15" t="s">
        <v>1283</v>
      </c>
      <c r="AN275" s="15" t="s">
        <v>1284</v>
      </c>
      <c r="AO275" s="8"/>
      <c r="AP275" s="8" t="s">
        <v>146</v>
      </c>
      <c r="AQ275" s="8" t="s">
        <v>147</v>
      </c>
      <c r="AR275" s="8" t="s">
        <v>147</v>
      </c>
      <c r="AS275" s="132">
        <v>16</v>
      </c>
      <c r="AT275" s="131">
        <v>109</v>
      </c>
      <c r="AU275" s="132" t="s">
        <v>498</v>
      </c>
      <c r="AV275" s="16" t="s">
        <v>112</v>
      </c>
      <c r="AW275" s="56" t="s">
        <v>392</v>
      </c>
      <c r="AX275" s="56" t="s">
        <v>114</v>
      </c>
      <c r="AY275" s="7" t="s">
        <v>1285</v>
      </c>
      <c r="AZ275" s="10" t="s">
        <v>1286</v>
      </c>
      <c r="BA275" s="7" t="s">
        <v>971</v>
      </c>
      <c r="BB275" s="52">
        <v>32705</v>
      </c>
      <c r="BC275" s="17" t="s">
        <v>96</v>
      </c>
      <c r="BD275" s="18" t="s">
        <v>1287</v>
      </c>
      <c r="BE275" s="7" t="s">
        <v>153</v>
      </c>
      <c r="BF275" s="7" t="s">
        <v>154</v>
      </c>
      <c r="BG275" s="7" t="s">
        <v>1288</v>
      </c>
      <c r="BH275" s="7" t="s">
        <v>1289</v>
      </c>
      <c r="BI275" s="19" t="s">
        <v>1290</v>
      </c>
      <c r="BJ275" s="20" t="s">
        <v>250</v>
      </c>
      <c r="BK275" s="21" t="s">
        <v>1291</v>
      </c>
      <c r="BL275" s="7" t="s">
        <v>1292</v>
      </c>
      <c r="BM275" s="22" t="s">
        <v>1293</v>
      </c>
      <c r="BN275" s="8" t="s">
        <v>1294</v>
      </c>
      <c r="BO275" s="49">
        <v>31868</v>
      </c>
      <c r="BP275" s="17" t="s">
        <v>96</v>
      </c>
      <c r="BQ275" s="18" t="s">
        <v>1284</v>
      </c>
      <c r="BR275" s="7" t="s">
        <v>118</v>
      </c>
      <c r="BS275" s="7" t="s">
        <v>126</v>
      </c>
      <c r="BT275" s="7" t="s">
        <v>452</v>
      </c>
      <c r="BU275" s="8" t="s">
        <v>1295</v>
      </c>
      <c r="BV275" s="23"/>
      <c r="BW275" s="24" t="s">
        <v>1296</v>
      </c>
      <c r="BX275" s="21" t="s">
        <v>1297</v>
      </c>
      <c r="BY275" s="21" t="s">
        <v>108</v>
      </c>
      <c r="BZ275" s="21" t="s">
        <v>108</v>
      </c>
      <c r="CA275" s="21"/>
      <c r="CB275" s="21"/>
      <c r="CC275" s="21"/>
      <c r="CD275" s="21" t="s">
        <v>108</v>
      </c>
      <c r="CE275" s="21" t="s">
        <v>108</v>
      </c>
      <c r="CF275" s="21"/>
      <c r="CG275" s="21" t="s">
        <v>108</v>
      </c>
      <c r="CH275" s="21"/>
      <c r="CI275" s="21"/>
      <c r="CJ275" s="21" t="s">
        <v>108</v>
      </c>
      <c r="CK275" s="21" t="s">
        <v>108</v>
      </c>
      <c r="CL275" s="21" t="s">
        <v>108</v>
      </c>
      <c r="CM275" s="25"/>
      <c r="CN275" s="25"/>
      <c r="CO275" s="25"/>
      <c r="CP275" s="26"/>
    </row>
    <row r="276" spans="1:94" s="27" customFormat="1" ht="23.25" customHeight="1">
      <c r="A276" s="4">
        <v>197</v>
      </c>
      <c r="B276" s="6"/>
      <c r="C276" s="6"/>
      <c r="D276" s="6"/>
      <c r="E276" s="6"/>
      <c r="F276" s="6"/>
      <c r="G276" s="6"/>
      <c r="H276" s="5" t="s">
        <v>85</v>
      </c>
      <c r="I276" s="6" t="s">
        <v>86</v>
      </c>
      <c r="J276" s="7" t="s">
        <v>1855</v>
      </c>
      <c r="K276" s="7" t="s">
        <v>1856</v>
      </c>
      <c r="L276" s="8"/>
      <c r="M276" s="5">
        <v>2058</v>
      </c>
      <c r="N276" s="5">
        <v>3184307183</v>
      </c>
      <c r="O276" s="5" t="s">
        <v>1857</v>
      </c>
      <c r="P276" s="10" t="s">
        <v>1858</v>
      </c>
      <c r="Q276" s="389" t="s">
        <v>1859</v>
      </c>
      <c r="R276" s="8" t="s">
        <v>5466</v>
      </c>
      <c r="S276" s="212" t="s">
        <v>12143</v>
      </c>
      <c r="T276" s="8" t="s">
        <v>1860</v>
      </c>
      <c r="U276" s="11" t="s">
        <v>93</v>
      </c>
      <c r="V276" s="12" t="s">
        <v>94</v>
      </c>
      <c r="W276" s="13">
        <v>43189</v>
      </c>
      <c r="X276" s="13" t="str">
        <f t="shared" ca="1" si="5"/>
        <v>8 Th, 5 Bln</v>
      </c>
      <c r="Y276" s="5" t="s">
        <v>95</v>
      </c>
      <c r="Z276" s="14"/>
      <c r="AA276" s="5" t="s">
        <v>96</v>
      </c>
      <c r="AB276" s="5" t="s">
        <v>97</v>
      </c>
      <c r="AC276" s="7" t="s">
        <v>1861</v>
      </c>
      <c r="AD276" s="131" t="s">
        <v>1281</v>
      </c>
      <c r="AE276" s="131" t="s">
        <v>1862</v>
      </c>
      <c r="AF276" s="7" t="s">
        <v>615</v>
      </c>
      <c r="AG276" s="7" t="s">
        <v>178</v>
      </c>
      <c r="AH276" s="7" t="s">
        <v>178</v>
      </c>
      <c r="AI276" s="7"/>
      <c r="AJ276" s="7" t="s">
        <v>94</v>
      </c>
      <c r="AK276" s="7" t="s">
        <v>104</v>
      </c>
      <c r="AL276" s="7" t="s">
        <v>1863</v>
      </c>
      <c r="AM276" s="15" t="s">
        <v>1864</v>
      </c>
      <c r="AN276" s="15" t="s">
        <v>1864</v>
      </c>
      <c r="AO276" s="8"/>
      <c r="AP276" s="8" t="s">
        <v>146</v>
      </c>
      <c r="AQ276" s="8" t="s">
        <v>146</v>
      </c>
      <c r="AR276" s="8" t="s">
        <v>147</v>
      </c>
      <c r="AS276" s="132">
        <v>0</v>
      </c>
      <c r="AT276" s="131">
        <v>0</v>
      </c>
      <c r="AU276" s="132" t="s">
        <v>182</v>
      </c>
      <c r="AV276" s="16" t="s">
        <v>112</v>
      </c>
      <c r="AW276" s="56" t="s">
        <v>113</v>
      </c>
      <c r="AX276" s="56" t="s">
        <v>114</v>
      </c>
      <c r="AY276" s="7" t="s">
        <v>1865</v>
      </c>
      <c r="AZ276" s="10" t="s">
        <v>1866</v>
      </c>
      <c r="BA276" s="7" t="s">
        <v>94</v>
      </c>
      <c r="BB276" s="52">
        <v>33231</v>
      </c>
      <c r="BC276" s="17" t="s">
        <v>96</v>
      </c>
      <c r="BD276" s="18" t="s">
        <v>1864</v>
      </c>
      <c r="BE276" s="7" t="s">
        <v>153</v>
      </c>
      <c r="BF276" s="7" t="s">
        <v>1526</v>
      </c>
      <c r="BG276" s="7" t="s">
        <v>1867</v>
      </c>
      <c r="BH276" s="7" t="s">
        <v>1868</v>
      </c>
      <c r="BI276" s="19">
        <v>0</v>
      </c>
      <c r="BJ276" s="20">
        <v>10000000</v>
      </c>
      <c r="BK276" s="21" t="s">
        <v>1869</v>
      </c>
      <c r="BL276" s="7" t="s">
        <v>1870</v>
      </c>
      <c r="BM276" s="22" t="s">
        <v>1871</v>
      </c>
      <c r="BN276" s="8" t="s">
        <v>94</v>
      </c>
      <c r="BO276" s="49">
        <v>33429</v>
      </c>
      <c r="BP276" s="17" t="s">
        <v>96</v>
      </c>
      <c r="BQ276" s="18" t="s">
        <v>1872</v>
      </c>
      <c r="BR276" s="7" t="s">
        <v>118</v>
      </c>
      <c r="BS276" s="7" t="s">
        <v>1526</v>
      </c>
      <c r="BT276" s="7" t="s">
        <v>1873</v>
      </c>
      <c r="BU276" s="8" t="s">
        <v>1874</v>
      </c>
      <c r="BV276" s="23">
        <v>0</v>
      </c>
      <c r="BW276" s="24">
        <v>8000000</v>
      </c>
      <c r="BX276" s="21" t="s">
        <v>1875</v>
      </c>
      <c r="BY276" s="21" t="s">
        <v>1876</v>
      </c>
      <c r="BZ276" s="21" t="s">
        <v>94</v>
      </c>
      <c r="CA276" s="21">
        <v>24293</v>
      </c>
      <c r="CB276" s="21"/>
      <c r="CC276" s="21" t="s">
        <v>1877</v>
      </c>
      <c r="CD276" s="21" t="s">
        <v>224</v>
      </c>
      <c r="CE276" s="21" t="s">
        <v>471</v>
      </c>
      <c r="CF276" s="21" t="s">
        <v>96</v>
      </c>
      <c r="CG276" s="21" t="s">
        <v>1878</v>
      </c>
      <c r="CH276" s="21" t="s">
        <v>1281</v>
      </c>
      <c r="CI276" s="21" t="s">
        <v>1862</v>
      </c>
      <c r="CJ276" s="21" t="s">
        <v>615</v>
      </c>
      <c r="CK276" s="21" t="s">
        <v>178</v>
      </c>
      <c r="CL276" s="21" t="s">
        <v>94</v>
      </c>
      <c r="CM276" s="25"/>
      <c r="CN276" s="25"/>
      <c r="CO276" s="25"/>
      <c r="CP276" s="26"/>
    </row>
    <row r="277" spans="1:94" s="27" customFormat="1" ht="23.25" customHeight="1">
      <c r="A277" s="4">
        <v>198</v>
      </c>
      <c r="B277" s="6"/>
      <c r="C277" s="6"/>
      <c r="D277" s="6"/>
      <c r="E277" s="6"/>
      <c r="F277" s="6"/>
      <c r="G277" s="6"/>
      <c r="H277" s="5" t="s">
        <v>85</v>
      </c>
      <c r="I277" s="6" t="s">
        <v>86</v>
      </c>
      <c r="J277" s="7" t="s">
        <v>166</v>
      </c>
      <c r="K277" s="7" t="s">
        <v>936</v>
      </c>
      <c r="L277" s="8"/>
      <c r="M277" s="5">
        <v>2062</v>
      </c>
      <c r="N277" s="5">
        <v>3177820105</v>
      </c>
      <c r="O277" s="5" t="s">
        <v>1879</v>
      </c>
      <c r="P277" s="10" t="s">
        <v>1880</v>
      </c>
      <c r="Q277" s="389" t="s">
        <v>1881</v>
      </c>
      <c r="R277" s="8" t="s">
        <v>5466</v>
      </c>
      <c r="S277" s="212" t="s">
        <v>12143</v>
      </c>
      <c r="T277" s="8" t="s">
        <v>1882</v>
      </c>
      <c r="U277" s="11" t="s">
        <v>172</v>
      </c>
      <c r="V277" s="12" t="s">
        <v>94</v>
      </c>
      <c r="W277" s="13">
        <v>43085</v>
      </c>
      <c r="X277" s="13" t="str">
        <f t="shared" ca="1" si="5"/>
        <v>8 Th, 9 Bln</v>
      </c>
      <c r="Y277" s="5" t="s">
        <v>95</v>
      </c>
      <c r="Z277" s="14"/>
      <c r="AA277" s="5" t="s">
        <v>96</v>
      </c>
      <c r="AB277" s="5" t="s">
        <v>97</v>
      </c>
      <c r="AC277" s="7" t="s">
        <v>1883</v>
      </c>
      <c r="AD277" s="131">
        <v>6</v>
      </c>
      <c r="AE277" s="131">
        <v>14</v>
      </c>
      <c r="AF277" s="7" t="s">
        <v>615</v>
      </c>
      <c r="AG277" s="7" t="s">
        <v>178</v>
      </c>
      <c r="AH277" s="7" t="s">
        <v>178</v>
      </c>
      <c r="AI277" s="7"/>
      <c r="AJ277" s="7" t="s">
        <v>103</v>
      </c>
      <c r="AK277" s="7" t="s">
        <v>104</v>
      </c>
      <c r="AL277" s="7" t="s">
        <v>1204</v>
      </c>
      <c r="AM277" s="15" t="s">
        <v>127</v>
      </c>
      <c r="AN277" s="15" t="s">
        <v>1884</v>
      </c>
      <c r="AO277" s="8"/>
      <c r="AP277" s="8" t="s">
        <v>146</v>
      </c>
      <c r="AQ277" s="8" t="s">
        <v>127</v>
      </c>
      <c r="AR277" s="8" t="s">
        <v>127</v>
      </c>
      <c r="AS277" s="132">
        <v>30</v>
      </c>
      <c r="AT277" s="131">
        <v>120</v>
      </c>
      <c r="AU277" s="132" t="s">
        <v>111</v>
      </c>
      <c r="AV277" s="16" t="s">
        <v>112</v>
      </c>
      <c r="AW277" s="56" t="s">
        <v>112</v>
      </c>
      <c r="AX277" s="56" t="s">
        <v>114</v>
      </c>
      <c r="AY277" s="7" t="s">
        <v>1885</v>
      </c>
      <c r="AZ277" s="10" t="s">
        <v>1886</v>
      </c>
      <c r="BA277" s="7" t="s">
        <v>544</v>
      </c>
      <c r="BB277" s="52">
        <v>33089</v>
      </c>
      <c r="BC277" s="17" t="s">
        <v>96</v>
      </c>
      <c r="BD277" s="18" t="s">
        <v>1887</v>
      </c>
      <c r="BE277" s="7" t="s">
        <v>153</v>
      </c>
      <c r="BF277" s="7" t="s">
        <v>925</v>
      </c>
      <c r="BG277" s="7" t="s">
        <v>926</v>
      </c>
      <c r="BH277" s="7" t="s">
        <v>1888</v>
      </c>
      <c r="BI277" s="19" t="s">
        <v>127</v>
      </c>
      <c r="BJ277" s="20">
        <v>25000000</v>
      </c>
      <c r="BK277" s="21" t="s">
        <v>1889</v>
      </c>
      <c r="BL277" s="7" t="s">
        <v>1890</v>
      </c>
      <c r="BM277" s="22" t="s">
        <v>1891</v>
      </c>
      <c r="BN277" s="8" t="s">
        <v>1892</v>
      </c>
      <c r="BO277" s="49">
        <v>32893</v>
      </c>
      <c r="BP277" s="17" t="s">
        <v>96</v>
      </c>
      <c r="BQ277" s="18" t="s">
        <v>1893</v>
      </c>
      <c r="BR277" s="7" t="s">
        <v>153</v>
      </c>
      <c r="BS277" s="7" t="s">
        <v>925</v>
      </c>
      <c r="BT277" s="7" t="s">
        <v>1894</v>
      </c>
      <c r="BU277" s="8" t="s">
        <v>1895</v>
      </c>
      <c r="BV277" s="23" t="s">
        <v>127</v>
      </c>
      <c r="BW277" s="24">
        <v>5000000</v>
      </c>
      <c r="BX277" s="21" t="s">
        <v>1896</v>
      </c>
      <c r="BY277" s="21" t="s">
        <v>108</v>
      </c>
      <c r="BZ277" s="21" t="s">
        <v>108</v>
      </c>
      <c r="CA277" s="21"/>
      <c r="CB277" s="21"/>
      <c r="CC277" s="21"/>
      <c r="CD277" s="21" t="s">
        <v>108</v>
      </c>
      <c r="CE277" s="21" t="s">
        <v>108</v>
      </c>
      <c r="CF277" s="21"/>
      <c r="CG277" s="21" t="s">
        <v>108</v>
      </c>
      <c r="CH277" s="21"/>
      <c r="CI277" s="21"/>
      <c r="CJ277" s="21" t="s">
        <v>108</v>
      </c>
      <c r="CK277" s="21" t="s">
        <v>108</v>
      </c>
      <c r="CL277" s="21" t="s">
        <v>108</v>
      </c>
      <c r="CM277" s="25"/>
      <c r="CN277" s="25"/>
      <c r="CO277" s="25"/>
      <c r="CP277" s="26"/>
    </row>
    <row r="278" spans="1:94" s="27" customFormat="1" ht="23.25" customHeight="1">
      <c r="A278" s="4">
        <v>121</v>
      </c>
      <c r="B278" s="6"/>
      <c r="C278" s="6"/>
      <c r="D278" s="6"/>
      <c r="E278" s="6"/>
      <c r="F278" s="6"/>
      <c r="G278" s="6"/>
      <c r="H278" s="5" t="s">
        <v>85</v>
      </c>
      <c r="I278" s="6" t="s">
        <v>86</v>
      </c>
      <c r="J278" s="7" t="s">
        <v>87</v>
      </c>
      <c r="K278" s="7" t="s">
        <v>88</v>
      </c>
      <c r="L278" s="8"/>
      <c r="M278" s="5">
        <v>1964</v>
      </c>
      <c r="N278" s="5">
        <v>3179190539</v>
      </c>
      <c r="O278" s="5" t="s">
        <v>89</v>
      </c>
      <c r="P278" s="10" t="s">
        <v>90</v>
      </c>
      <c r="Q278" s="389" t="s">
        <v>91</v>
      </c>
      <c r="R278" s="8" t="s">
        <v>6025</v>
      </c>
      <c r="S278" s="212" t="s">
        <v>12144</v>
      </c>
      <c r="T278" s="8" t="s">
        <v>92</v>
      </c>
      <c r="U278" s="11" t="s">
        <v>93</v>
      </c>
      <c r="V278" s="12" t="s">
        <v>94</v>
      </c>
      <c r="W278" s="13">
        <v>43031</v>
      </c>
      <c r="X278" s="13" t="str">
        <f t="shared" ca="1" si="5"/>
        <v>8 Th, 10 Bln</v>
      </c>
      <c r="Y278" s="5" t="s">
        <v>95</v>
      </c>
      <c r="Z278" s="14"/>
      <c r="AA278" s="5" t="s">
        <v>96</v>
      </c>
      <c r="AB278" s="5" t="s">
        <v>97</v>
      </c>
      <c r="AC278" s="7" t="s">
        <v>98</v>
      </c>
      <c r="AD278" s="131" t="s">
        <v>99</v>
      </c>
      <c r="AE278" s="131" t="s">
        <v>100</v>
      </c>
      <c r="AF278" s="7" t="s">
        <v>101</v>
      </c>
      <c r="AG278" s="7" t="s">
        <v>102</v>
      </c>
      <c r="AH278" s="7" t="s">
        <v>102</v>
      </c>
      <c r="AI278" s="7"/>
      <c r="AJ278" s="7" t="s">
        <v>103</v>
      </c>
      <c r="AK278" s="7" t="s">
        <v>104</v>
      </c>
      <c r="AL278" s="7" t="s">
        <v>105</v>
      </c>
      <c r="AM278" s="15" t="s">
        <v>106</v>
      </c>
      <c r="AN278" s="15" t="s">
        <v>106</v>
      </c>
      <c r="AO278" s="8"/>
      <c r="AP278" s="8" t="s">
        <v>107</v>
      </c>
      <c r="AQ278" s="8" t="s">
        <v>107</v>
      </c>
      <c r="AR278" s="8" t="s">
        <v>108</v>
      </c>
      <c r="AS278" s="132" t="s">
        <v>109</v>
      </c>
      <c r="AT278" s="131" t="s">
        <v>110</v>
      </c>
      <c r="AU278" s="132" t="s">
        <v>111</v>
      </c>
      <c r="AV278" s="16" t="s">
        <v>112</v>
      </c>
      <c r="AW278" s="56" t="s">
        <v>113</v>
      </c>
      <c r="AX278" s="56" t="s">
        <v>114</v>
      </c>
      <c r="AY278" s="7" t="s">
        <v>115</v>
      </c>
      <c r="AZ278" s="10" t="s">
        <v>116</v>
      </c>
      <c r="BA278" s="7" t="s">
        <v>94</v>
      </c>
      <c r="BB278" s="52">
        <v>32386</v>
      </c>
      <c r="BC278" s="17" t="s">
        <v>96</v>
      </c>
      <c r="BD278" s="18" t="s">
        <v>117</v>
      </c>
      <c r="BE278" s="7" t="s">
        <v>118</v>
      </c>
      <c r="BF278" s="7" t="s">
        <v>119</v>
      </c>
      <c r="BG278" s="7" t="s">
        <v>120</v>
      </c>
      <c r="BH278" s="7" t="s">
        <v>121</v>
      </c>
      <c r="BI278" s="19"/>
      <c r="BJ278" s="20" t="s">
        <v>122</v>
      </c>
      <c r="BK278" s="21" t="s">
        <v>123</v>
      </c>
      <c r="BL278" s="7" t="s">
        <v>124</v>
      </c>
      <c r="BM278" s="22" t="s">
        <v>125</v>
      </c>
      <c r="BN278" s="8" t="s">
        <v>94</v>
      </c>
      <c r="BO278" s="49">
        <v>32289</v>
      </c>
      <c r="BP278" s="17" t="s">
        <v>96</v>
      </c>
      <c r="BQ278" s="18" t="s">
        <v>106</v>
      </c>
      <c r="BR278" s="7" t="s">
        <v>118</v>
      </c>
      <c r="BS278" s="7" t="s">
        <v>126</v>
      </c>
      <c r="BT278" s="7" t="s">
        <v>127</v>
      </c>
      <c r="BU278" s="8" t="s">
        <v>127</v>
      </c>
      <c r="BV278" s="23"/>
      <c r="BW278" s="24" t="s">
        <v>127</v>
      </c>
      <c r="BX278" s="21" t="s">
        <v>128</v>
      </c>
      <c r="BY278" s="21" t="s">
        <v>108</v>
      </c>
      <c r="BZ278" s="21" t="s">
        <v>108</v>
      </c>
      <c r="CA278" s="21"/>
      <c r="CB278" s="21"/>
      <c r="CC278" s="21"/>
      <c r="CD278" s="21" t="s">
        <v>108</v>
      </c>
      <c r="CE278" s="21" t="s">
        <v>108</v>
      </c>
      <c r="CF278" s="21"/>
      <c r="CG278" s="21" t="s">
        <v>108</v>
      </c>
      <c r="CH278" s="21"/>
      <c r="CI278" s="21"/>
      <c r="CJ278" s="21"/>
      <c r="CK278" s="21"/>
      <c r="CL278" s="21"/>
      <c r="CM278" s="25"/>
      <c r="CN278" s="25"/>
      <c r="CO278" s="25"/>
      <c r="CP278" s="26"/>
    </row>
    <row r="279" spans="1:94" s="27" customFormat="1" ht="23.25" customHeight="1">
      <c r="A279" s="4">
        <v>146</v>
      </c>
      <c r="B279" s="6"/>
      <c r="C279" s="6"/>
      <c r="D279" s="6"/>
      <c r="E279" s="6"/>
      <c r="F279" s="6"/>
      <c r="G279" s="6"/>
      <c r="H279" s="5" t="s">
        <v>85</v>
      </c>
      <c r="I279" s="6" t="s">
        <v>86</v>
      </c>
      <c r="J279" s="7" t="s">
        <v>724</v>
      </c>
      <c r="K279" s="7" t="s">
        <v>725</v>
      </c>
      <c r="L279" s="8"/>
      <c r="M279" s="5">
        <v>1959</v>
      </c>
      <c r="N279" s="5">
        <v>3178001601</v>
      </c>
      <c r="O279" s="5" t="s">
        <v>726</v>
      </c>
      <c r="P279" s="10" t="s">
        <v>727</v>
      </c>
      <c r="Q279" s="389" t="s">
        <v>728</v>
      </c>
      <c r="R279" s="8" t="s">
        <v>6025</v>
      </c>
      <c r="S279" s="212" t="s">
        <v>12144</v>
      </c>
      <c r="T279" s="8" t="s">
        <v>729</v>
      </c>
      <c r="U279" s="11" t="s">
        <v>172</v>
      </c>
      <c r="V279" s="12" t="s">
        <v>544</v>
      </c>
      <c r="W279" s="13">
        <v>43056</v>
      </c>
      <c r="X279" s="13" t="str">
        <f t="shared" ca="1" si="5"/>
        <v>8 Th, 9 Bln</v>
      </c>
      <c r="Y279" s="5" t="s">
        <v>95</v>
      </c>
      <c r="Z279" s="14"/>
      <c r="AA279" s="5" t="s">
        <v>96</v>
      </c>
      <c r="AB279" s="5" t="s">
        <v>97</v>
      </c>
      <c r="AC279" s="7" t="s">
        <v>730</v>
      </c>
      <c r="AD279" s="131" t="s">
        <v>384</v>
      </c>
      <c r="AE279" s="131" t="s">
        <v>293</v>
      </c>
      <c r="AF279" s="7" t="s">
        <v>731</v>
      </c>
      <c r="AG279" s="7" t="s">
        <v>732</v>
      </c>
      <c r="AH279" s="7" t="s">
        <v>141</v>
      </c>
      <c r="AI279" s="7"/>
      <c r="AJ279" s="7" t="s">
        <v>544</v>
      </c>
      <c r="AK279" s="7" t="s">
        <v>104</v>
      </c>
      <c r="AL279" s="7" t="s">
        <v>298</v>
      </c>
      <c r="AM279" s="15" t="s">
        <v>162</v>
      </c>
      <c r="AN279" s="15" t="s">
        <v>733</v>
      </c>
      <c r="AO279" s="8"/>
      <c r="AP279" s="8" t="s">
        <v>146</v>
      </c>
      <c r="AQ279" s="8" t="s">
        <v>146</v>
      </c>
      <c r="AR279" s="8" t="s">
        <v>162</v>
      </c>
      <c r="AS279" s="132">
        <v>20</v>
      </c>
      <c r="AT279" s="131">
        <v>105</v>
      </c>
      <c r="AU279" s="132" t="s">
        <v>182</v>
      </c>
      <c r="AV279" s="16" t="s">
        <v>112</v>
      </c>
      <c r="AW279" s="56" t="s">
        <v>150</v>
      </c>
      <c r="AX279" s="56" t="s">
        <v>734</v>
      </c>
      <c r="AY279" s="7" t="s">
        <v>735</v>
      </c>
      <c r="AZ279" s="10" t="s">
        <v>736</v>
      </c>
      <c r="BA279" s="7" t="s">
        <v>544</v>
      </c>
      <c r="BB279" s="52">
        <v>32619</v>
      </c>
      <c r="BC279" s="17" t="s">
        <v>737</v>
      </c>
      <c r="BD279" s="18" t="s">
        <v>738</v>
      </c>
      <c r="BE279" s="7" t="s">
        <v>118</v>
      </c>
      <c r="BF279" s="7" t="s">
        <v>574</v>
      </c>
      <c r="BG279" s="7" t="s">
        <v>739</v>
      </c>
      <c r="BH279" s="7" t="s">
        <v>740</v>
      </c>
      <c r="BI279" s="19" t="s">
        <v>741</v>
      </c>
      <c r="BJ279" s="20" t="s">
        <v>742</v>
      </c>
      <c r="BK279" s="21" t="s">
        <v>743</v>
      </c>
      <c r="BL279" s="7" t="s">
        <v>744</v>
      </c>
      <c r="BM279" s="22" t="s">
        <v>745</v>
      </c>
      <c r="BN279" s="8" t="s">
        <v>94</v>
      </c>
      <c r="BO279" s="49">
        <v>32899</v>
      </c>
      <c r="BP279" s="17" t="s">
        <v>96</v>
      </c>
      <c r="BQ279" s="18" t="s">
        <v>733</v>
      </c>
      <c r="BR279" s="7" t="s">
        <v>216</v>
      </c>
      <c r="BS279" s="7" t="s">
        <v>582</v>
      </c>
      <c r="BT279" s="7" t="s">
        <v>127</v>
      </c>
      <c r="BU279" s="8" t="s">
        <v>127</v>
      </c>
      <c r="BV279" s="23" t="s">
        <v>127</v>
      </c>
      <c r="BW279" s="24" t="s">
        <v>127</v>
      </c>
      <c r="BX279" s="21" t="s">
        <v>746</v>
      </c>
      <c r="BY279" s="21" t="s">
        <v>108</v>
      </c>
      <c r="BZ279" s="21"/>
      <c r="CA279" s="21"/>
      <c r="CB279" s="21"/>
      <c r="CC279" s="21"/>
      <c r="CD279" s="21" t="s">
        <v>108</v>
      </c>
      <c r="CE279" s="21" t="s">
        <v>108</v>
      </c>
      <c r="CF279" s="21"/>
      <c r="CG279" s="21" t="s">
        <v>108</v>
      </c>
      <c r="CH279" s="21"/>
      <c r="CI279" s="21"/>
      <c r="CJ279" s="21"/>
      <c r="CK279" s="21"/>
      <c r="CL279" s="21"/>
      <c r="CM279" s="25"/>
      <c r="CN279" s="25"/>
      <c r="CO279" s="25"/>
      <c r="CP279" s="26"/>
    </row>
    <row r="280" spans="1:94" s="27" customFormat="1" ht="23.25" customHeight="1">
      <c r="A280" s="4">
        <v>200</v>
      </c>
      <c r="B280" s="6"/>
      <c r="C280" s="6"/>
      <c r="D280" s="6"/>
      <c r="E280" s="6"/>
      <c r="F280" s="6"/>
      <c r="G280" s="6"/>
      <c r="H280" s="5" t="s">
        <v>85</v>
      </c>
      <c r="I280" s="6" t="s">
        <v>86</v>
      </c>
      <c r="J280" s="7" t="s">
        <v>1917</v>
      </c>
      <c r="K280" s="7" t="s">
        <v>1918</v>
      </c>
      <c r="L280" s="8"/>
      <c r="M280" s="5">
        <v>1960</v>
      </c>
      <c r="N280" s="5">
        <v>3183194850</v>
      </c>
      <c r="O280" s="5" t="s">
        <v>1919</v>
      </c>
      <c r="P280" s="10" t="s">
        <v>1920</v>
      </c>
      <c r="Q280" s="389" t="s">
        <v>1921</v>
      </c>
      <c r="R280" s="8" t="s">
        <v>6025</v>
      </c>
      <c r="S280" s="212" t="s">
        <v>12144</v>
      </c>
      <c r="T280" s="8" t="s">
        <v>1922</v>
      </c>
      <c r="U280" s="11" t="s">
        <v>172</v>
      </c>
      <c r="V280" s="12" t="s">
        <v>94</v>
      </c>
      <c r="W280" s="13">
        <v>43159</v>
      </c>
      <c r="X280" s="13" t="str">
        <f t="shared" ca="1" si="5"/>
        <v>8 Th, 6 Bln</v>
      </c>
      <c r="Y280" s="5" t="s">
        <v>95</v>
      </c>
      <c r="Z280" s="14"/>
      <c r="AA280" s="5" t="s">
        <v>96</v>
      </c>
      <c r="AB280" s="5" t="s">
        <v>97</v>
      </c>
      <c r="AC280" s="7" t="s">
        <v>1923</v>
      </c>
      <c r="AD280" s="131" t="s">
        <v>293</v>
      </c>
      <c r="AE280" s="131" t="s">
        <v>384</v>
      </c>
      <c r="AF280" s="7" t="s">
        <v>521</v>
      </c>
      <c r="AG280" s="7" t="s">
        <v>178</v>
      </c>
      <c r="AH280" s="7" t="s">
        <v>178</v>
      </c>
      <c r="AI280" s="7"/>
      <c r="AJ280" s="7" t="s">
        <v>94</v>
      </c>
      <c r="AK280" s="7" t="s">
        <v>179</v>
      </c>
      <c r="AL280" s="7" t="s">
        <v>1924</v>
      </c>
      <c r="AM280" s="15" t="s">
        <v>147</v>
      </c>
      <c r="AN280" s="15" t="s">
        <v>1925</v>
      </c>
      <c r="AO280" s="8"/>
      <c r="AP280" s="8" t="s">
        <v>146</v>
      </c>
      <c r="AQ280" s="8" t="s">
        <v>147</v>
      </c>
      <c r="AR280" s="8" t="s">
        <v>147</v>
      </c>
      <c r="AS280" s="132">
        <v>18</v>
      </c>
      <c r="AT280" s="131">
        <v>115</v>
      </c>
      <c r="AU280" s="132" t="s">
        <v>182</v>
      </c>
      <c r="AV280" s="16" t="s">
        <v>112</v>
      </c>
      <c r="AW280" s="56" t="s">
        <v>392</v>
      </c>
      <c r="AX280" s="56" t="s">
        <v>183</v>
      </c>
      <c r="AY280" s="7" t="s">
        <v>1926</v>
      </c>
      <c r="AZ280" s="10" t="s">
        <v>1927</v>
      </c>
      <c r="BA280" s="7" t="s">
        <v>94</v>
      </c>
      <c r="BB280" s="52">
        <v>30495</v>
      </c>
      <c r="BC280" s="17" t="s">
        <v>96</v>
      </c>
      <c r="BD280" s="18" t="s">
        <v>1928</v>
      </c>
      <c r="BE280" s="7" t="s">
        <v>118</v>
      </c>
      <c r="BF280" s="7" t="s">
        <v>276</v>
      </c>
      <c r="BG280" s="7" t="s">
        <v>1929</v>
      </c>
      <c r="BH280" s="7" t="s">
        <v>1930</v>
      </c>
      <c r="BI280" s="19" t="s">
        <v>1931</v>
      </c>
      <c r="BJ280" s="20" t="s">
        <v>1932</v>
      </c>
      <c r="BK280" s="21" t="s">
        <v>1933</v>
      </c>
      <c r="BL280" s="7" t="s">
        <v>1934</v>
      </c>
      <c r="BM280" s="22" t="s">
        <v>1935</v>
      </c>
      <c r="BN280" s="8" t="s">
        <v>94</v>
      </c>
      <c r="BO280" s="49">
        <v>30901</v>
      </c>
      <c r="BP280" s="17" t="s">
        <v>96</v>
      </c>
      <c r="BQ280" s="18" t="s">
        <v>1925</v>
      </c>
      <c r="BR280" s="7" t="s">
        <v>118</v>
      </c>
      <c r="BS280" s="7" t="s">
        <v>126</v>
      </c>
      <c r="BT280" s="7" t="s">
        <v>127</v>
      </c>
      <c r="BU280" s="8" t="s">
        <v>127</v>
      </c>
      <c r="BV280" s="23" t="s">
        <v>127</v>
      </c>
      <c r="BW280" s="24" t="s">
        <v>127</v>
      </c>
      <c r="BX280" s="21" t="s">
        <v>1936</v>
      </c>
      <c r="BY280" s="21" t="s">
        <v>127</v>
      </c>
      <c r="BZ280" s="21" t="s">
        <v>127</v>
      </c>
      <c r="CA280" s="21"/>
      <c r="CB280" s="21"/>
      <c r="CC280" s="21"/>
      <c r="CD280" s="21" t="s">
        <v>108</v>
      </c>
      <c r="CE280" s="21" t="s">
        <v>108</v>
      </c>
      <c r="CF280" s="21"/>
      <c r="CG280" s="21" t="s">
        <v>108</v>
      </c>
      <c r="CH280" s="21"/>
      <c r="CI280" s="21"/>
      <c r="CJ280" s="21"/>
      <c r="CK280" s="21"/>
      <c r="CL280" s="21"/>
      <c r="CM280" s="25"/>
      <c r="CN280" s="25"/>
      <c r="CO280" s="25"/>
      <c r="CP280" s="26"/>
    </row>
    <row r="281" spans="1:94" s="27" customFormat="1" ht="23.25" customHeight="1">
      <c r="A281" s="4">
        <v>174</v>
      </c>
      <c r="B281" s="6"/>
      <c r="C281" s="6"/>
      <c r="D281" s="6"/>
      <c r="E281" s="6"/>
      <c r="F281" s="6"/>
      <c r="G281" s="6"/>
      <c r="H281" s="5" t="s">
        <v>85</v>
      </c>
      <c r="I281" s="6" t="s">
        <v>86</v>
      </c>
      <c r="J281" s="7" t="s">
        <v>513</v>
      </c>
      <c r="K281" s="7" t="s">
        <v>1338</v>
      </c>
      <c r="L281" s="8"/>
      <c r="M281" s="5">
        <v>1968</v>
      </c>
      <c r="N281" s="5">
        <v>3181153104</v>
      </c>
      <c r="O281" s="5" t="s">
        <v>1339</v>
      </c>
      <c r="P281" s="10" t="s">
        <v>131</v>
      </c>
      <c r="Q281" s="389" t="s">
        <v>1340</v>
      </c>
      <c r="R281" s="8" t="s">
        <v>6025</v>
      </c>
      <c r="S281" s="212" t="s">
        <v>12144</v>
      </c>
      <c r="T281" s="8" t="s">
        <v>1341</v>
      </c>
      <c r="U281" s="11" t="s">
        <v>172</v>
      </c>
      <c r="V281" s="12" t="s">
        <v>94</v>
      </c>
      <c r="W281" s="13">
        <v>43175</v>
      </c>
      <c r="X281" s="13" t="str">
        <f t="shared" ca="1" si="5"/>
        <v>8 Th, 6 Bln</v>
      </c>
      <c r="Y281" s="5" t="s">
        <v>95</v>
      </c>
      <c r="Z281" s="14"/>
      <c r="AA281" s="5" t="s">
        <v>96</v>
      </c>
      <c r="AB281" s="5" t="s">
        <v>97</v>
      </c>
      <c r="AC281" s="7" t="s">
        <v>1342</v>
      </c>
      <c r="AD281" s="131">
        <v>7</v>
      </c>
      <c r="AE281" s="131">
        <v>5</v>
      </c>
      <c r="AF281" s="7" t="s">
        <v>139</v>
      </c>
      <c r="AG281" s="7" t="s">
        <v>140</v>
      </c>
      <c r="AH281" s="7" t="s">
        <v>141</v>
      </c>
      <c r="AI281" s="7"/>
      <c r="AJ281" s="7" t="s">
        <v>1343</v>
      </c>
      <c r="AK281" s="7" t="s">
        <v>104</v>
      </c>
      <c r="AL281" s="7" t="s">
        <v>107</v>
      </c>
      <c r="AM281" s="15" t="s">
        <v>147</v>
      </c>
      <c r="AN281" s="15" t="s">
        <v>1344</v>
      </c>
      <c r="AO281" s="8"/>
      <c r="AP281" s="8" t="s">
        <v>146</v>
      </c>
      <c r="AQ281" s="8" t="s">
        <v>146</v>
      </c>
      <c r="AR281" s="8" t="s">
        <v>147</v>
      </c>
      <c r="AS281" s="132">
        <v>33</v>
      </c>
      <c r="AT281" s="131">
        <v>112</v>
      </c>
      <c r="AU281" s="132" t="s">
        <v>182</v>
      </c>
      <c r="AV281" s="16" t="s">
        <v>112</v>
      </c>
      <c r="AW281" s="56" t="s">
        <v>1345</v>
      </c>
      <c r="AX281" s="56" t="s">
        <v>427</v>
      </c>
      <c r="AY281" s="7" t="s">
        <v>1346</v>
      </c>
      <c r="AZ281" s="10" t="s">
        <v>1347</v>
      </c>
      <c r="BA281" s="7" t="s">
        <v>94</v>
      </c>
      <c r="BB281" s="52">
        <v>34287</v>
      </c>
      <c r="BC281" s="17" t="s">
        <v>96</v>
      </c>
      <c r="BD281" s="18" t="s">
        <v>1348</v>
      </c>
      <c r="BE281" s="7" t="s">
        <v>118</v>
      </c>
      <c r="BF281" s="7" t="s">
        <v>596</v>
      </c>
      <c r="BG281" s="7" t="s">
        <v>1349</v>
      </c>
      <c r="BH281" s="7" t="s">
        <v>1350</v>
      </c>
      <c r="BI281" s="19" t="s">
        <v>1351</v>
      </c>
      <c r="BJ281" s="20" t="s">
        <v>1352</v>
      </c>
      <c r="BK281" s="21" t="s">
        <v>1353</v>
      </c>
      <c r="BL281" s="7" t="s">
        <v>1354</v>
      </c>
      <c r="BM281" s="22" t="s">
        <v>1355</v>
      </c>
      <c r="BN281" s="8" t="s">
        <v>94</v>
      </c>
      <c r="BO281" s="49">
        <v>34961</v>
      </c>
      <c r="BP281" s="17" t="s">
        <v>96</v>
      </c>
      <c r="BQ281" s="18" t="s">
        <v>1344</v>
      </c>
      <c r="BR281" s="7" t="s">
        <v>216</v>
      </c>
      <c r="BS281" s="7" t="s">
        <v>1356</v>
      </c>
      <c r="BT281" s="7" t="s">
        <v>1357</v>
      </c>
      <c r="BU281" s="8" t="s">
        <v>1358</v>
      </c>
      <c r="BV281" s="23">
        <v>0</v>
      </c>
      <c r="BW281" s="24" t="s">
        <v>1359</v>
      </c>
      <c r="BX281" s="21" t="s">
        <v>1360</v>
      </c>
      <c r="BY281" s="21" t="s">
        <v>1361</v>
      </c>
      <c r="BZ281" s="21" t="s">
        <v>544</v>
      </c>
      <c r="CA281" s="21">
        <v>24326</v>
      </c>
      <c r="CB281" s="21"/>
      <c r="CC281" s="21" t="s">
        <v>1362</v>
      </c>
      <c r="CD281" s="21" t="s">
        <v>216</v>
      </c>
      <c r="CE281" s="21" t="s">
        <v>1363</v>
      </c>
      <c r="CF281" s="21" t="s">
        <v>96</v>
      </c>
      <c r="CG281" s="21" t="s">
        <v>1364</v>
      </c>
      <c r="CH281" s="21">
        <v>4</v>
      </c>
      <c r="CI281" s="21">
        <v>1</v>
      </c>
      <c r="CJ281" s="21" t="s">
        <v>1365</v>
      </c>
      <c r="CK281" s="21" t="s">
        <v>102</v>
      </c>
      <c r="CL281" s="21" t="s">
        <v>568</v>
      </c>
      <c r="CM281" s="25"/>
      <c r="CN281" s="25"/>
      <c r="CO281" s="25"/>
      <c r="CP281" s="26"/>
    </row>
    <row r="282" spans="1:94" s="27" customFormat="1" ht="23.25" customHeight="1">
      <c r="A282" s="4">
        <v>123</v>
      </c>
      <c r="B282" s="6"/>
      <c r="C282" s="6"/>
      <c r="D282" s="6"/>
      <c r="E282" s="6"/>
      <c r="F282" s="6"/>
      <c r="G282" s="6"/>
      <c r="H282" s="5" t="s">
        <v>85</v>
      </c>
      <c r="I282" s="6" t="s">
        <v>86</v>
      </c>
      <c r="J282" s="7" t="s">
        <v>166</v>
      </c>
      <c r="K282" s="7" t="s">
        <v>167</v>
      </c>
      <c r="L282" s="8"/>
      <c r="M282" s="5">
        <v>1969</v>
      </c>
      <c r="N282" s="5">
        <v>3175058880</v>
      </c>
      <c r="O282" s="5" t="s">
        <v>168</v>
      </c>
      <c r="P282" s="10" t="s">
        <v>169</v>
      </c>
      <c r="Q282" s="389" t="s">
        <v>170</v>
      </c>
      <c r="R282" s="8" t="s">
        <v>6025</v>
      </c>
      <c r="S282" s="212" t="s">
        <v>12144</v>
      </c>
      <c r="T282" s="8" t="s">
        <v>171</v>
      </c>
      <c r="U282" s="11" t="s">
        <v>172</v>
      </c>
      <c r="V282" s="12" t="s">
        <v>173</v>
      </c>
      <c r="W282" s="13">
        <v>42834</v>
      </c>
      <c r="X282" s="13" t="str">
        <f t="shared" ca="1" si="5"/>
        <v>9 Th, 5 Bln</v>
      </c>
      <c r="Y282" s="5" t="s">
        <v>95</v>
      </c>
      <c r="Z282" s="14"/>
      <c r="AA282" s="5" t="s">
        <v>96</v>
      </c>
      <c r="AB282" s="5" t="s">
        <v>97</v>
      </c>
      <c r="AC282" s="7" t="s">
        <v>174</v>
      </c>
      <c r="AD282" s="131" t="s">
        <v>175</v>
      </c>
      <c r="AE282" s="131" t="s">
        <v>176</v>
      </c>
      <c r="AF282" s="7" t="s">
        <v>177</v>
      </c>
      <c r="AG282" s="7" t="s">
        <v>178</v>
      </c>
      <c r="AH282" s="7" t="s">
        <v>178</v>
      </c>
      <c r="AI282" s="7"/>
      <c r="AJ282" s="7" t="s">
        <v>103</v>
      </c>
      <c r="AK282" s="7" t="s">
        <v>179</v>
      </c>
      <c r="AL282" s="7" t="s">
        <v>180</v>
      </c>
      <c r="AM282" s="15" t="s">
        <v>181</v>
      </c>
      <c r="AN282" s="15" t="s">
        <v>181</v>
      </c>
      <c r="AO282" s="8"/>
      <c r="AP282" s="8" t="s">
        <v>107</v>
      </c>
      <c r="AQ282" s="8" t="s">
        <v>107</v>
      </c>
      <c r="AR282" s="8" t="s">
        <v>108</v>
      </c>
      <c r="AS282" s="132">
        <v>18</v>
      </c>
      <c r="AT282" s="131">
        <v>125</v>
      </c>
      <c r="AU282" s="132" t="s">
        <v>182</v>
      </c>
      <c r="AV282" s="16" t="s">
        <v>112</v>
      </c>
      <c r="AW282" s="56" t="s">
        <v>162</v>
      </c>
      <c r="AX282" s="56" t="s">
        <v>183</v>
      </c>
      <c r="AY282" s="7" t="s">
        <v>184</v>
      </c>
      <c r="AZ282" s="10" t="s">
        <v>185</v>
      </c>
      <c r="BA282" s="7" t="s">
        <v>173</v>
      </c>
      <c r="BB282" s="52" t="s">
        <v>186</v>
      </c>
      <c r="BC282" s="17" t="s">
        <v>96</v>
      </c>
      <c r="BD282" s="18" t="s">
        <v>187</v>
      </c>
      <c r="BE282" s="7" t="s">
        <v>118</v>
      </c>
      <c r="BF282" s="7" t="s">
        <v>188</v>
      </c>
      <c r="BG282" s="7" t="s">
        <v>120</v>
      </c>
      <c r="BH282" s="7" t="s">
        <v>189</v>
      </c>
      <c r="BI282" s="19"/>
      <c r="BJ282" s="20" t="s">
        <v>190</v>
      </c>
      <c r="BK282" s="21" t="s">
        <v>191</v>
      </c>
      <c r="BL282" s="7" t="s">
        <v>192</v>
      </c>
      <c r="BM282" s="22" t="s">
        <v>193</v>
      </c>
      <c r="BN282" s="8" t="s">
        <v>173</v>
      </c>
      <c r="BO282" s="49" t="s">
        <v>194</v>
      </c>
      <c r="BP282" s="17" t="s">
        <v>96</v>
      </c>
      <c r="BQ282" s="18" t="s">
        <v>181</v>
      </c>
      <c r="BR282" s="7" t="s">
        <v>118</v>
      </c>
      <c r="BS282" s="7" t="s">
        <v>195</v>
      </c>
      <c r="BT282" s="7" t="s">
        <v>196</v>
      </c>
      <c r="BU282" s="8" t="s">
        <v>197</v>
      </c>
      <c r="BV282" s="23"/>
      <c r="BW282" s="24" t="s">
        <v>198</v>
      </c>
      <c r="BX282" s="21" t="s">
        <v>199</v>
      </c>
      <c r="BY282" s="21" t="s">
        <v>108</v>
      </c>
      <c r="BZ282" s="21" t="s">
        <v>108</v>
      </c>
      <c r="CA282" s="21"/>
      <c r="CB282" s="21"/>
      <c r="CC282" s="21"/>
      <c r="CD282" s="21" t="s">
        <v>108</v>
      </c>
      <c r="CE282" s="21" t="s">
        <v>108</v>
      </c>
      <c r="CF282" s="21"/>
      <c r="CG282" s="21" t="s">
        <v>108</v>
      </c>
      <c r="CH282" s="21"/>
      <c r="CI282" s="21"/>
      <c r="CJ282" s="21" t="s">
        <v>108</v>
      </c>
      <c r="CK282" s="21" t="s">
        <v>108</v>
      </c>
      <c r="CL282" s="21" t="s">
        <v>108</v>
      </c>
      <c r="CM282" s="25"/>
      <c r="CN282" s="25"/>
      <c r="CO282" s="25"/>
      <c r="CP282" s="26"/>
    </row>
    <row r="283" spans="1:94" s="27" customFormat="1" ht="23.25" customHeight="1">
      <c r="A283" s="4">
        <v>151</v>
      </c>
      <c r="B283" s="6"/>
      <c r="C283" s="6"/>
      <c r="D283" s="6"/>
      <c r="E283" s="6"/>
      <c r="F283" s="6"/>
      <c r="G283" s="6"/>
      <c r="H283" s="5" t="s">
        <v>85</v>
      </c>
      <c r="I283" s="6" t="s">
        <v>86</v>
      </c>
      <c r="J283" s="7" t="s">
        <v>166</v>
      </c>
      <c r="K283" s="7" t="s">
        <v>846</v>
      </c>
      <c r="L283" s="8"/>
      <c r="M283" s="5">
        <v>1972</v>
      </c>
      <c r="N283" s="5">
        <v>3171526898</v>
      </c>
      <c r="O283" s="5" t="s">
        <v>847</v>
      </c>
      <c r="P283" s="10" t="s">
        <v>848</v>
      </c>
      <c r="Q283" s="389" t="s">
        <v>849</v>
      </c>
      <c r="R283" s="8" t="s">
        <v>6025</v>
      </c>
      <c r="S283" s="212" t="s">
        <v>12144</v>
      </c>
      <c r="T283" s="8" t="s">
        <v>850</v>
      </c>
      <c r="U283" s="11" t="s">
        <v>172</v>
      </c>
      <c r="V283" s="12" t="s">
        <v>94</v>
      </c>
      <c r="W283" s="13">
        <v>42837</v>
      </c>
      <c r="X283" s="13" t="str">
        <f t="shared" ca="1" si="5"/>
        <v>9 Th, 5 Bln</v>
      </c>
      <c r="Y283" s="5" t="s">
        <v>95</v>
      </c>
      <c r="Z283" s="14"/>
      <c r="AA283" s="5" t="s">
        <v>96</v>
      </c>
      <c r="AB283" s="5" t="s">
        <v>97</v>
      </c>
      <c r="AC283" s="7" t="s">
        <v>851</v>
      </c>
      <c r="AD283" s="131" t="s">
        <v>827</v>
      </c>
      <c r="AE283" s="131" t="s">
        <v>852</v>
      </c>
      <c r="AF283" s="7" t="s">
        <v>615</v>
      </c>
      <c r="AG283" s="7" t="s">
        <v>178</v>
      </c>
      <c r="AH283" s="7" t="s">
        <v>178</v>
      </c>
      <c r="AI283" s="7"/>
      <c r="AJ283" s="7" t="s">
        <v>94</v>
      </c>
      <c r="AK283" s="7" t="s">
        <v>104</v>
      </c>
      <c r="AL283" s="7" t="s">
        <v>853</v>
      </c>
      <c r="AM283" s="15" t="s">
        <v>127</v>
      </c>
      <c r="AN283" s="15" t="s">
        <v>854</v>
      </c>
      <c r="AO283" s="8"/>
      <c r="AP283" s="8" t="s">
        <v>146</v>
      </c>
      <c r="AQ283" s="8" t="s">
        <v>107</v>
      </c>
      <c r="AR283" s="8" t="s">
        <v>108</v>
      </c>
      <c r="AS283" s="132">
        <v>18</v>
      </c>
      <c r="AT283" s="131">
        <v>105</v>
      </c>
      <c r="AU283" s="132" t="s">
        <v>111</v>
      </c>
      <c r="AV283" s="16" t="s">
        <v>112</v>
      </c>
      <c r="AW283" s="56" t="s">
        <v>113</v>
      </c>
      <c r="AX283" s="56" t="s">
        <v>114</v>
      </c>
      <c r="AY283" s="7" t="s">
        <v>855</v>
      </c>
      <c r="AZ283" s="10" t="s">
        <v>856</v>
      </c>
      <c r="BA283" s="7" t="s">
        <v>94</v>
      </c>
      <c r="BB283" s="52">
        <v>28365</v>
      </c>
      <c r="BC283" s="17" t="s">
        <v>96</v>
      </c>
      <c r="BD283" s="18" t="s">
        <v>857</v>
      </c>
      <c r="BE283" s="7" t="s">
        <v>224</v>
      </c>
      <c r="BF283" s="7" t="s">
        <v>154</v>
      </c>
      <c r="BG283" s="7" t="s">
        <v>858</v>
      </c>
      <c r="BH283" s="7" t="s">
        <v>859</v>
      </c>
      <c r="BI283" s="19" t="s">
        <v>127</v>
      </c>
      <c r="BJ283" s="20" t="s">
        <v>860</v>
      </c>
      <c r="BK283" s="21" t="s">
        <v>861</v>
      </c>
      <c r="BL283" s="7" t="s">
        <v>862</v>
      </c>
      <c r="BM283" s="22" t="s">
        <v>863</v>
      </c>
      <c r="BN283" s="8" t="s">
        <v>94</v>
      </c>
      <c r="BO283" s="49">
        <v>34015</v>
      </c>
      <c r="BP283" s="17" t="s">
        <v>96</v>
      </c>
      <c r="BQ283" s="18" t="s">
        <v>854</v>
      </c>
      <c r="BR283" s="7" t="s">
        <v>216</v>
      </c>
      <c r="BS283" s="7" t="s">
        <v>127</v>
      </c>
      <c r="BT283" s="7" t="s">
        <v>127</v>
      </c>
      <c r="BU283" s="8" t="s">
        <v>127</v>
      </c>
      <c r="BV283" s="23" t="s">
        <v>127</v>
      </c>
      <c r="BW283" s="24" t="s">
        <v>127</v>
      </c>
      <c r="BX283" s="21" t="s">
        <v>864</v>
      </c>
      <c r="BY283" s="21" t="s">
        <v>108</v>
      </c>
      <c r="BZ283" s="21" t="s">
        <v>108</v>
      </c>
      <c r="CA283" s="21"/>
      <c r="CB283" s="21"/>
      <c r="CC283" s="21"/>
      <c r="CD283" s="21" t="s">
        <v>108</v>
      </c>
      <c r="CE283" s="21" t="s">
        <v>108</v>
      </c>
      <c r="CF283" s="21"/>
      <c r="CG283" s="21" t="s">
        <v>108</v>
      </c>
      <c r="CH283" s="21"/>
      <c r="CI283" s="21"/>
      <c r="CJ283" s="21" t="s">
        <v>108</v>
      </c>
      <c r="CK283" s="21" t="s">
        <v>108</v>
      </c>
      <c r="CL283" s="21" t="s">
        <v>108</v>
      </c>
      <c r="CM283" s="25"/>
      <c r="CN283" s="25"/>
      <c r="CO283" s="25"/>
      <c r="CP283" s="26"/>
    </row>
    <row r="284" spans="1:94" s="27" customFormat="1" ht="23.25" customHeight="1">
      <c r="A284" s="4">
        <v>125</v>
      </c>
      <c r="B284" s="6"/>
      <c r="C284" s="6"/>
      <c r="D284" s="6"/>
      <c r="E284" s="6"/>
      <c r="F284" s="6"/>
      <c r="G284" s="6"/>
      <c r="H284" s="5" t="s">
        <v>85</v>
      </c>
      <c r="I284" s="6" t="s">
        <v>86</v>
      </c>
      <c r="J284" s="7" t="s">
        <v>231</v>
      </c>
      <c r="K284" s="7" t="s">
        <v>232</v>
      </c>
      <c r="L284" s="8"/>
      <c r="M284" s="5">
        <v>1974</v>
      </c>
      <c r="N284" s="5">
        <v>3189408473</v>
      </c>
      <c r="O284" s="5" t="s">
        <v>233</v>
      </c>
      <c r="P284" s="10" t="s">
        <v>234</v>
      </c>
      <c r="Q284" s="389" t="s">
        <v>235</v>
      </c>
      <c r="R284" s="8" t="s">
        <v>6025</v>
      </c>
      <c r="S284" s="212" t="s">
        <v>12144</v>
      </c>
      <c r="T284" s="8" t="s">
        <v>236</v>
      </c>
      <c r="U284" s="11" t="s">
        <v>93</v>
      </c>
      <c r="V284" s="12" t="s">
        <v>237</v>
      </c>
      <c r="W284" s="13">
        <v>43170</v>
      </c>
      <c r="X284" s="13" t="str">
        <f t="shared" ca="1" si="5"/>
        <v>8 Th, 6 Bln</v>
      </c>
      <c r="Y284" s="5" t="s">
        <v>95</v>
      </c>
      <c r="Z284" s="14"/>
      <c r="AA284" s="5" t="s">
        <v>96</v>
      </c>
      <c r="AB284" s="5" t="s">
        <v>97</v>
      </c>
      <c r="AC284" s="7" t="s">
        <v>238</v>
      </c>
      <c r="AD284" s="131" t="s">
        <v>239</v>
      </c>
      <c r="AE284" s="131" t="s">
        <v>138</v>
      </c>
      <c r="AF284" s="7" t="s">
        <v>240</v>
      </c>
      <c r="AG284" s="7" t="s">
        <v>241</v>
      </c>
      <c r="AH284" s="7" t="s">
        <v>241</v>
      </c>
      <c r="AI284" s="7"/>
      <c r="AJ284" s="7" t="s">
        <v>103</v>
      </c>
      <c r="AK284" s="7" t="s">
        <v>104</v>
      </c>
      <c r="AL284" s="7" t="s">
        <v>242</v>
      </c>
      <c r="AM284" s="15" t="s">
        <v>243</v>
      </c>
      <c r="AN284" s="15" t="s">
        <v>243</v>
      </c>
      <c r="AO284" s="8"/>
      <c r="AP284" s="8" t="s">
        <v>146</v>
      </c>
      <c r="AQ284" s="8" t="s">
        <v>107</v>
      </c>
      <c r="AR284" s="8" t="s">
        <v>146</v>
      </c>
      <c r="AS284" s="132">
        <v>23</v>
      </c>
      <c r="AT284" s="131">
        <v>109</v>
      </c>
      <c r="AU284" s="132" t="s">
        <v>182</v>
      </c>
      <c r="AV284" s="16" t="s">
        <v>112</v>
      </c>
      <c r="AW284" s="56" t="s">
        <v>150</v>
      </c>
      <c r="AX284" s="56" t="s">
        <v>183</v>
      </c>
      <c r="AY284" s="7" t="s">
        <v>244</v>
      </c>
      <c r="AZ284" s="10" t="s">
        <v>245</v>
      </c>
      <c r="BA284" s="7" t="s">
        <v>94</v>
      </c>
      <c r="BB284" s="52">
        <v>33027</v>
      </c>
      <c r="BC284" s="17" t="s">
        <v>96</v>
      </c>
      <c r="BD284" s="18" t="s">
        <v>246</v>
      </c>
      <c r="BE284" s="7" t="s">
        <v>118</v>
      </c>
      <c r="BF284" s="7" t="s">
        <v>247</v>
      </c>
      <c r="BG284" s="7" t="s">
        <v>248</v>
      </c>
      <c r="BH284" s="7" t="s">
        <v>249</v>
      </c>
      <c r="BI284" s="19"/>
      <c r="BJ284" s="20" t="s">
        <v>250</v>
      </c>
      <c r="BK284" s="21"/>
      <c r="BL284" s="7" t="s">
        <v>251</v>
      </c>
      <c r="BM284" s="22" t="s">
        <v>252</v>
      </c>
      <c r="BN284" s="8" t="s">
        <v>253</v>
      </c>
      <c r="BO284" s="49">
        <v>34545</v>
      </c>
      <c r="BP284" s="17" t="s">
        <v>96</v>
      </c>
      <c r="BQ284" s="18" t="s">
        <v>243</v>
      </c>
      <c r="BR284" s="7" t="s">
        <v>153</v>
      </c>
      <c r="BS284" s="7" t="s">
        <v>254</v>
      </c>
      <c r="BT284" s="7" t="s">
        <v>254</v>
      </c>
      <c r="BU284" s="8" t="s">
        <v>255</v>
      </c>
      <c r="BV284" s="23"/>
      <c r="BW284" s="24">
        <v>0</v>
      </c>
      <c r="BX284" s="21" t="s">
        <v>256</v>
      </c>
      <c r="BY284" s="21" t="s">
        <v>108</v>
      </c>
      <c r="BZ284" s="21" t="s">
        <v>108</v>
      </c>
      <c r="CA284" s="21"/>
      <c r="CB284" s="21"/>
      <c r="CC284" s="21"/>
      <c r="CD284" s="21" t="s">
        <v>108</v>
      </c>
      <c r="CE284" s="21" t="s">
        <v>108</v>
      </c>
      <c r="CF284" s="21"/>
      <c r="CG284" s="21" t="s">
        <v>108</v>
      </c>
      <c r="CH284" s="21"/>
      <c r="CI284" s="21"/>
      <c r="CJ284" s="21" t="s">
        <v>108</v>
      </c>
      <c r="CK284" s="21" t="s">
        <v>108</v>
      </c>
      <c r="CL284" s="21" t="s">
        <v>108</v>
      </c>
      <c r="CM284" s="25"/>
      <c r="CN284" s="25"/>
      <c r="CO284" s="25"/>
      <c r="CP284" s="26"/>
    </row>
    <row r="285" spans="1:94" s="27" customFormat="1" ht="23.25" customHeight="1">
      <c r="A285" s="4">
        <v>178</v>
      </c>
      <c r="B285" s="6"/>
      <c r="C285" s="6"/>
      <c r="D285" s="6"/>
      <c r="E285" s="6"/>
      <c r="F285" s="6"/>
      <c r="G285" s="6"/>
      <c r="H285" s="5" t="s">
        <v>85</v>
      </c>
      <c r="I285" s="6" t="s">
        <v>86</v>
      </c>
      <c r="J285" s="7" t="s">
        <v>166</v>
      </c>
      <c r="K285" s="7" t="s">
        <v>609</v>
      </c>
      <c r="L285" s="8"/>
      <c r="M285" s="5">
        <v>1980</v>
      </c>
      <c r="N285" s="5">
        <v>3174897290</v>
      </c>
      <c r="O285" s="5" t="s">
        <v>1431</v>
      </c>
      <c r="P285" s="10" t="s">
        <v>1432</v>
      </c>
      <c r="Q285" s="389" t="s">
        <v>1433</v>
      </c>
      <c r="R285" s="8" t="s">
        <v>6025</v>
      </c>
      <c r="S285" s="212" t="s">
        <v>12144</v>
      </c>
      <c r="T285" s="8" t="s">
        <v>1434</v>
      </c>
      <c r="U285" s="11" t="s">
        <v>93</v>
      </c>
      <c r="V285" s="12" t="s">
        <v>94</v>
      </c>
      <c r="W285" s="13">
        <v>43005</v>
      </c>
      <c r="X285" s="13" t="str">
        <f t="shared" ca="1" si="5"/>
        <v>8 Th, 11 Bln</v>
      </c>
      <c r="Y285" s="5" t="s">
        <v>95</v>
      </c>
      <c r="Z285" s="14"/>
      <c r="AA285" s="5" t="s">
        <v>96</v>
      </c>
      <c r="AB285" s="5" t="s">
        <v>97</v>
      </c>
      <c r="AC285" s="7" t="s">
        <v>1435</v>
      </c>
      <c r="AD285" s="131">
        <v>3</v>
      </c>
      <c r="AE285" s="131">
        <v>11</v>
      </c>
      <c r="AF285" s="7" t="s">
        <v>615</v>
      </c>
      <c r="AG285" s="7" t="s">
        <v>178</v>
      </c>
      <c r="AH285" s="7" t="s">
        <v>178</v>
      </c>
      <c r="AI285" s="7"/>
      <c r="AJ285" s="7" t="s">
        <v>94</v>
      </c>
      <c r="AK285" s="7" t="s">
        <v>179</v>
      </c>
      <c r="AL285" s="7" t="s">
        <v>1436</v>
      </c>
      <c r="AM285" s="15" t="s">
        <v>127</v>
      </c>
      <c r="AN285" s="15" t="s">
        <v>1437</v>
      </c>
      <c r="AO285" s="8"/>
      <c r="AP285" s="8" t="s">
        <v>298</v>
      </c>
      <c r="AQ285" s="8" t="s">
        <v>107</v>
      </c>
      <c r="AR285" s="8" t="s">
        <v>127</v>
      </c>
      <c r="AS285" s="132" t="s">
        <v>1438</v>
      </c>
      <c r="AT285" s="131" t="s">
        <v>1439</v>
      </c>
      <c r="AU285" s="132" t="s">
        <v>498</v>
      </c>
      <c r="AV285" s="16" t="s">
        <v>112</v>
      </c>
      <c r="AW285" s="56" t="s">
        <v>150</v>
      </c>
      <c r="AX285" s="56" t="s">
        <v>323</v>
      </c>
      <c r="AY285" s="7" t="s">
        <v>1440</v>
      </c>
      <c r="AZ285" s="10" t="s">
        <v>1441</v>
      </c>
      <c r="BA285" s="7" t="s">
        <v>1442</v>
      </c>
      <c r="BB285" s="52">
        <v>30556</v>
      </c>
      <c r="BC285" s="17" t="s">
        <v>96</v>
      </c>
      <c r="BD285" s="18" t="s">
        <v>1443</v>
      </c>
      <c r="BE285" s="7" t="s">
        <v>118</v>
      </c>
      <c r="BF285" s="7" t="s">
        <v>327</v>
      </c>
      <c r="BG285" s="7" t="s">
        <v>1444</v>
      </c>
      <c r="BH285" s="7" t="s">
        <v>1445</v>
      </c>
      <c r="BI285" s="19" t="s">
        <v>1446</v>
      </c>
      <c r="BJ285" s="20" t="s">
        <v>1447</v>
      </c>
      <c r="BK285" s="21" t="s">
        <v>1448</v>
      </c>
      <c r="BL285" s="7" t="s">
        <v>1449</v>
      </c>
      <c r="BM285" s="22" t="s">
        <v>1450</v>
      </c>
      <c r="BN285" s="8" t="s">
        <v>1442</v>
      </c>
      <c r="BO285" s="49">
        <v>30556</v>
      </c>
      <c r="BP285" s="17" t="s">
        <v>96</v>
      </c>
      <c r="BQ285" s="18" t="s">
        <v>1437</v>
      </c>
      <c r="BR285" s="7" t="s">
        <v>118</v>
      </c>
      <c r="BS285" s="7" t="s">
        <v>471</v>
      </c>
      <c r="BT285" s="7" t="s">
        <v>1451</v>
      </c>
      <c r="BU285" s="8" t="s">
        <v>1452</v>
      </c>
      <c r="BV285" s="23" t="s">
        <v>127</v>
      </c>
      <c r="BW285" s="24" t="s">
        <v>1453</v>
      </c>
      <c r="BX285" s="21" t="s">
        <v>1454</v>
      </c>
      <c r="BY285" s="21" t="s">
        <v>1455</v>
      </c>
      <c r="BZ285" s="21" t="s">
        <v>1456</v>
      </c>
      <c r="CA285" s="21">
        <v>21463</v>
      </c>
      <c r="CB285" s="21"/>
      <c r="CC285" s="21" t="s">
        <v>1457</v>
      </c>
      <c r="CD285" s="21" t="s">
        <v>216</v>
      </c>
      <c r="CE285" s="21" t="s">
        <v>247</v>
      </c>
      <c r="CF285" s="21" t="s">
        <v>96</v>
      </c>
      <c r="CG285" s="21" t="s">
        <v>1458</v>
      </c>
      <c r="CH285" s="21">
        <v>1</v>
      </c>
      <c r="CI285" s="21">
        <v>11</v>
      </c>
      <c r="CJ285" s="21" t="s">
        <v>615</v>
      </c>
      <c r="CK285" s="21" t="s">
        <v>178</v>
      </c>
      <c r="CL285" s="21" t="s">
        <v>94</v>
      </c>
      <c r="CM285" s="25"/>
      <c r="CN285" s="25"/>
      <c r="CO285" s="25"/>
      <c r="CP285" s="26"/>
    </row>
    <row r="286" spans="1:94" s="27" customFormat="1" ht="23.25" customHeight="1">
      <c r="A286" s="4">
        <v>128</v>
      </c>
      <c r="B286" s="6"/>
      <c r="C286" s="6"/>
      <c r="D286" s="6"/>
      <c r="E286" s="6"/>
      <c r="F286" s="6"/>
      <c r="G286" s="6"/>
      <c r="H286" s="5" t="s">
        <v>85</v>
      </c>
      <c r="I286" s="6" t="s">
        <v>86</v>
      </c>
      <c r="J286" s="7" t="s">
        <v>311</v>
      </c>
      <c r="K286" s="7" t="s">
        <v>312</v>
      </c>
      <c r="L286" s="8"/>
      <c r="M286" s="5">
        <v>1983</v>
      </c>
      <c r="N286" s="5">
        <v>3181864904</v>
      </c>
      <c r="O286" s="5" t="s">
        <v>313</v>
      </c>
      <c r="P286" s="10" t="s">
        <v>314</v>
      </c>
      <c r="Q286" s="389" t="s">
        <v>315</v>
      </c>
      <c r="R286" s="8" t="s">
        <v>6025</v>
      </c>
      <c r="S286" s="212" t="s">
        <v>12144</v>
      </c>
      <c r="T286" s="8" t="s">
        <v>316</v>
      </c>
      <c r="U286" s="11" t="s">
        <v>93</v>
      </c>
      <c r="V286" s="12" t="s">
        <v>94</v>
      </c>
      <c r="W286" s="13">
        <v>43189</v>
      </c>
      <c r="X286" s="13" t="str">
        <f t="shared" ca="1" si="5"/>
        <v>8 Th, 5 Bln</v>
      </c>
      <c r="Y286" s="5" t="s">
        <v>95</v>
      </c>
      <c r="Z286" s="14"/>
      <c r="AA286" s="5" t="s">
        <v>96</v>
      </c>
      <c r="AB286" s="5" t="s">
        <v>97</v>
      </c>
      <c r="AC286" s="7" t="s">
        <v>317</v>
      </c>
      <c r="AD286" s="131">
        <v>33</v>
      </c>
      <c r="AE286" s="131" t="s">
        <v>318</v>
      </c>
      <c r="AF286" s="7" t="s">
        <v>319</v>
      </c>
      <c r="AG286" s="7" t="s">
        <v>140</v>
      </c>
      <c r="AH286" s="7" t="s">
        <v>141</v>
      </c>
      <c r="AI286" s="7"/>
      <c r="AJ286" s="7" t="s">
        <v>94</v>
      </c>
      <c r="AK286" s="7" t="s">
        <v>179</v>
      </c>
      <c r="AL286" s="7" t="s">
        <v>320</v>
      </c>
      <c r="AM286" s="15" t="s">
        <v>127</v>
      </c>
      <c r="AN286" s="15" t="s">
        <v>321</v>
      </c>
      <c r="AO286" s="8"/>
      <c r="AP286" s="8" t="s">
        <v>146</v>
      </c>
      <c r="AQ286" s="8" t="s">
        <v>107</v>
      </c>
      <c r="AR286" s="8" t="s">
        <v>108</v>
      </c>
      <c r="AS286" s="132" t="s">
        <v>322</v>
      </c>
      <c r="AT286" s="131">
        <v>105</v>
      </c>
      <c r="AU286" s="132" t="s">
        <v>182</v>
      </c>
      <c r="AV286" s="16" t="s">
        <v>112</v>
      </c>
      <c r="AW286" s="56" t="s">
        <v>113</v>
      </c>
      <c r="AX286" s="56" t="s">
        <v>323</v>
      </c>
      <c r="AY286" s="7" t="s">
        <v>324</v>
      </c>
      <c r="AZ286" s="10" t="s">
        <v>325</v>
      </c>
      <c r="BA286" s="7" t="s">
        <v>94</v>
      </c>
      <c r="BB286" s="52">
        <v>30973</v>
      </c>
      <c r="BC286" s="17" t="s">
        <v>96</v>
      </c>
      <c r="BD286" s="18" t="s">
        <v>326</v>
      </c>
      <c r="BE286" s="7" t="s">
        <v>153</v>
      </c>
      <c r="BF286" s="7" t="s">
        <v>327</v>
      </c>
      <c r="BG286" s="7" t="s">
        <v>328</v>
      </c>
      <c r="BH286" s="7" t="s">
        <v>329</v>
      </c>
      <c r="BI286" s="19"/>
      <c r="BJ286" s="20">
        <v>2500000</v>
      </c>
      <c r="BK286" s="21"/>
      <c r="BL286" s="7" t="s">
        <v>330</v>
      </c>
      <c r="BM286" s="22" t="s">
        <v>331</v>
      </c>
      <c r="BN286" s="8" t="s">
        <v>94</v>
      </c>
      <c r="BO286" s="49">
        <v>33656</v>
      </c>
      <c r="BP286" s="17" t="s">
        <v>96</v>
      </c>
      <c r="BQ286" s="18" t="s">
        <v>321</v>
      </c>
      <c r="BR286" s="7" t="s">
        <v>118</v>
      </c>
      <c r="BS286" s="7" t="s">
        <v>332</v>
      </c>
      <c r="BT286" s="7" t="s">
        <v>333</v>
      </c>
      <c r="BU286" s="8" t="s">
        <v>334</v>
      </c>
      <c r="BV286" s="23"/>
      <c r="BW286" s="24">
        <v>1000000</v>
      </c>
      <c r="BX286" s="21"/>
      <c r="BY286" s="21" t="s">
        <v>108</v>
      </c>
      <c r="BZ286" s="21" t="s">
        <v>108</v>
      </c>
      <c r="CA286" s="21"/>
      <c r="CB286" s="21"/>
      <c r="CC286" s="21"/>
      <c r="CD286" s="21" t="s">
        <v>108</v>
      </c>
      <c r="CE286" s="21" t="s">
        <v>108</v>
      </c>
      <c r="CF286" s="21"/>
      <c r="CG286" s="21" t="s">
        <v>108</v>
      </c>
      <c r="CH286" s="21"/>
      <c r="CI286" s="21"/>
      <c r="CJ286" s="21" t="s">
        <v>108</v>
      </c>
      <c r="CK286" s="21" t="s">
        <v>108</v>
      </c>
      <c r="CL286" s="21" t="s">
        <v>108</v>
      </c>
      <c r="CM286" s="25"/>
      <c r="CN286" s="25"/>
      <c r="CO286" s="25"/>
      <c r="CP286" s="26"/>
    </row>
    <row r="287" spans="1:94" s="27" customFormat="1" ht="27.75" customHeight="1">
      <c r="A287" s="4">
        <v>205</v>
      </c>
      <c r="B287" s="28"/>
      <c r="C287" s="28"/>
      <c r="D287" s="28"/>
      <c r="E287" s="28"/>
      <c r="F287" s="28"/>
      <c r="G287" s="28"/>
      <c r="H287" s="29" t="s">
        <v>85</v>
      </c>
      <c r="I287" s="28" t="s">
        <v>86</v>
      </c>
      <c r="J287" s="30" t="s">
        <v>257</v>
      </c>
      <c r="K287" s="30" t="s">
        <v>2017</v>
      </c>
      <c r="L287" s="31"/>
      <c r="M287" s="29">
        <v>1985</v>
      </c>
      <c r="N287" s="29">
        <v>3179652774</v>
      </c>
      <c r="O287" s="29" t="s">
        <v>2018</v>
      </c>
      <c r="P287" s="32" t="s">
        <v>2019</v>
      </c>
      <c r="Q287" s="390" t="s">
        <v>2020</v>
      </c>
      <c r="R287" s="8" t="s">
        <v>6025</v>
      </c>
      <c r="S287" s="212" t="s">
        <v>12144</v>
      </c>
      <c r="T287" s="31" t="s">
        <v>2021</v>
      </c>
      <c r="U287" s="33" t="s">
        <v>172</v>
      </c>
      <c r="V287" s="34" t="s">
        <v>263</v>
      </c>
      <c r="W287" s="35">
        <v>42764</v>
      </c>
      <c r="X287" s="35" t="str">
        <f t="shared" ca="1" si="5"/>
        <v>9 Th, 7 Bln</v>
      </c>
      <c r="Y287" s="31" t="s">
        <v>425</v>
      </c>
      <c r="Z287" s="36" t="s">
        <v>2022</v>
      </c>
      <c r="AA287" s="31" t="s">
        <v>96</v>
      </c>
      <c r="AB287" s="31" t="s">
        <v>97</v>
      </c>
      <c r="AC287" s="30" t="s">
        <v>2023</v>
      </c>
      <c r="AD287" s="129">
        <v>10</v>
      </c>
      <c r="AE287" s="129">
        <v>10</v>
      </c>
      <c r="AF287" s="30" t="s">
        <v>263</v>
      </c>
      <c r="AG287" s="30" t="s">
        <v>263</v>
      </c>
      <c r="AH287" s="30" t="s">
        <v>141</v>
      </c>
      <c r="AI287" s="30"/>
      <c r="AJ287" s="30" t="s">
        <v>2024</v>
      </c>
      <c r="AK287" s="30" t="s">
        <v>104</v>
      </c>
      <c r="AL287" s="30" t="s">
        <v>2025</v>
      </c>
      <c r="AM287" s="37" t="s">
        <v>147</v>
      </c>
      <c r="AN287" s="37" t="s">
        <v>2026</v>
      </c>
      <c r="AO287" s="31"/>
      <c r="AP287" s="31" t="s">
        <v>146</v>
      </c>
      <c r="AQ287" s="31" t="s">
        <v>146</v>
      </c>
      <c r="AR287" s="31" t="s">
        <v>147</v>
      </c>
      <c r="AS287" s="130" t="s">
        <v>1567</v>
      </c>
      <c r="AT287" s="129" t="s">
        <v>618</v>
      </c>
      <c r="AU287" s="130" t="s">
        <v>149</v>
      </c>
      <c r="AV287" s="38" t="s">
        <v>112</v>
      </c>
      <c r="AW287" s="123" t="s">
        <v>1130</v>
      </c>
      <c r="AX287" s="123" t="s">
        <v>183</v>
      </c>
      <c r="AY287" s="30" t="s">
        <v>2027</v>
      </c>
      <c r="AZ287" s="32" t="s">
        <v>2028</v>
      </c>
      <c r="BA287" s="30" t="s">
        <v>94</v>
      </c>
      <c r="BB287" s="53">
        <v>32691</v>
      </c>
      <c r="BC287" s="39" t="s">
        <v>96</v>
      </c>
      <c r="BD287" s="40" t="s">
        <v>2029</v>
      </c>
      <c r="BE287" s="30" t="s">
        <v>118</v>
      </c>
      <c r="BF287" s="30" t="s">
        <v>276</v>
      </c>
      <c r="BG287" s="30" t="s">
        <v>2030</v>
      </c>
      <c r="BH287" s="30" t="s">
        <v>2031</v>
      </c>
      <c r="BI287" s="41" t="s">
        <v>2032</v>
      </c>
      <c r="BJ287" s="42" t="s">
        <v>2033</v>
      </c>
      <c r="BK287" s="43" t="s">
        <v>2034</v>
      </c>
      <c r="BL287" s="30" t="s">
        <v>2035</v>
      </c>
      <c r="BM287" s="44" t="s">
        <v>2036</v>
      </c>
      <c r="BN287" s="125" t="s">
        <v>444</v>
      </c>
      <c r="BO287" s="50">
        <v>33832</v>
      </c>
      <c r="BP287" s="39" t="s">
        <v>96</v>
      </c>
      <c r="BQ287" s="40" t="s">
        <v>2026</v>
      </c>
      <c r="BR287" s="30" t="s">
        <v>118</v>
      </c>
      <c r="BS287" s="30" t="s">
        <v>126</v>
      </c>
      <c r="BT287" s="30" t="s">
        <v>147</v>
      </c>
      <c r="BU287" s="30" t="s">
        <v>147</v>
      </c>
      <c r="BV287" s="45">
        <v>0</v>
      </c>
      <c r="BW287" s="46">
        <v>0</v>
      </c>
      <c r="BX287" s="47" t="s">
        <v>2037</v>
      </c>
      <c r="BY287" s="47" t="s">
        <v>108</v>
      </c>
      <c r="BZ287" s="47" t="s">
        <v>108</v>
      </c>
      <c r="CA287" s="47"/>
      <c r="CB287" s="47"/>
      <c r="CC287" s="47"/>
      <c r="CD287" s="47" t="s">
        <v>108</v>
      </c>
      <c r="CE287" s="47" t="s">
        <v>108</v>
      </c>
      <c r="CF287" s="47"/>
      <c r="CG287" s="47" t="s">
        <v>108</v>
      </c>
      <c r="CH287" s="47"/>
      <c r="CI287" s="47"/>
      <c r="CJ287" s="47" t="s">
        <v>108</v>
      </c>
      <c r="CK287" s="47" t="s">
        <v>108</v>
      </c>
      <c r="CL287" s="47" t="s">
        <v>108</v>
      </c>
      <c r="CM287" s="25"/>
      <c r="CN287" s="25"/>
      <c r="CO287" s="25"/>
      <c r="CP287" s="26"/>
    </row>
    <row r="288" spans="1:94" s="27" customFormat="1" ht="23.25" customHeight="1">
      <c r="A288" s="4">
        <v>206</v>
      </c>
      <c r="B288" s="6"/>
      <c r="C288" s="6"/>
      <c r="D288" s="6"/>
      <c r="E288" s="6"/>
      <c r="F288" s="6"/>
      <c r="G288" s="6"/>
      <c r="H288" s="5" t="s">
        <v>85</v>
      </c>
      <c r="I288" s="6" t="s">
        <v>86</v>
      </c>
      <c r="J288" s="7" t="s">
        <v>561</v>
      </c>
      <c r="K288" s="7" t="s">
        <v>2038</v>
      </c>
      <c r="L288" s="8"/>
      <c r="M288" s="5">
        <v>1988</v>
      </c>
      <c r="N288" s="5">
        <v>3171092898</v>
      </c>
      <c r="O288" s="5" t="s">
        <v>2039</v>
      </c>
      <c r="P288" s="10" t="s">
        <v>2040</v>
      </c>
      <c r="Q288" s="389" t="s">
        <v>13420</v>
      </c>
      <c r="R288" s="8" t="s">
        <v>6025</v>
      </c>
      <c r="S288" s="212" t="s">
        <v>12144</v>
      </c>
      <c r="T288" s="8" t="s">
        <v>2041</v>
      </c>
      <c r="U288" s="11" t="s">
        <v>93</v>
      </c>
      <c r="V288" s="12" t="s">
        <v>94</v>
      </c>
      <c r="W288" s="13">
        <v>43076</v>
      </c>
      <c r="X288" s="13" t="str">
        <f t="shared" ca="1" si="5"/>
        <v>8 Th, 9 Bln</v>
      </c>
      <c r="Y288" s="5" t="s">
        <v>95</v>
      </c>
      <c r="Z288" s="14"/>
      <c r="AA288" s="5" t="s">
        <v>96</v>
      </c>
      <c r="AB288" s="5" t="s">
        <v>97</v>
      </c>
      <c r="AC288" s="7" t="s">
        <v>2042</v>
      </c>
      <c r="AD288" s="131" t="s">
        <v>966</v>
      </c>
      <c r="AE288" s="131" t="s">
        <v>265</v>
      </c>
      <c r="AF288" s="7" t="s">
        <v>942</v>
      </c>
      <c r="AG288" s="7" t="s">
        <v>547</v>
      </c>
      <c r="AH288" s="7" t="s">
        <v>178</v>
      </c>
      <c r="AI288" s="7"/>
      <c r="AJ288" s="7" t="s">
        <v>103</v>
      </c>
      <c r="AK288" s="7" t="s">
        <v>179</v>
      </c>
      <c r="AL288" s="7" t="s">
        <v>2043</v>
      </c>
      <c r="AM288" s="15" t="s">
        <v>2044</v>
      </c>
      <c r="AN288" s="15" t="s">
        <v>2044</v>
      </c>
      <c r="AO288" s="8"/>
      <c r="AP288" s="8" t="s">
        <v>298</v>
      </c>
      <c r="AQ288" s="8" t="s">
        <v>107</v>
      </c>
      <c r="AR288" s="8" t="s">
        <v>108</v>
      </c>
      <c r="AS288" s="132" t="s">
        <v>1843</v>
      </c>
      <c r="AT288" s="131" t="s">
        <v>2045</v>
      </c>
      <c r="AU288" s="132" t="s">
        <v>111</v>
      </c>
      <c r="AV288" s="16" t="s">
        <v>112</v>
      </c>
      <c r="AW288" s="56" t="s">
        <v>392</v>
      </c>
      <c r="AX288" s="56" t="s">
        <v>183</v>
      </c>
      <c r="AY288" s="7" t="s">
        <v>2046</v>
      </c>
      <c r="AZ288" s="10" t="s">
        <v>2047</v>
      </c>
      <c r="BA288" s="7" t="s">
        <v>94</v>
      </c>
      <c r="BB288" s="52">
        <v>29870</v>
      </c>
      <c r="BC288" s="17" t="s">
        <v>96</v>
      </c>
      <c r="BD288" s="18" t="s">
        <v>2048</v>
      </c>
      <c r="BE288" s="7" t="s">
        <v>216</v>
      </c>
      <c r="BF288" s="7" t="s">
        <v>2049</v>
      </c>
      <c r="BG288" s="7" t="s">
        <v>2050</v>
      </c>
      <c r="BH288" s="7" t="s">
        <v>2051</v>
      </c>
      <c r="BI288" s="19" t="s">
        <v>2048</v>
      </c>
      <c r="BJ288" s="20" t="s">
        <v>2052</v>
      </c>
      <c r="BK288" s="21" t="s">
        <v>2053</v>
      </c>
      <c r="BL288" s="7" t="s">
        <v>2054</v>
      </c>
      <c r="BM288" s="22" t="s">
        <v>2055</v>
      </c>
      <c r="BN288" s="8" t="s">
        <v>444</v>
      </c>
      <c r="BO288" s="49">
        <v>29125</v>
      </c>
      <c r="BP288" s="17" t="s">
        <v>96</v>
      </c>
      <c r="BQ288" s="18" t="s">
        <v>2044</v>
      </c>
      <c r="BR288" s="7" t="s">
        <v>118</v>
      </c>
      <c r="BS288" s="7" t="s">
        <v>126</v>
      </c>
      <c r="BT288" s="7" t="s">
        <v>127</v>
      </c>
      <c r="BU288" s="8" t="s">
        <v>127</v>
      </c>
      <c r="BV288" s="23" t="s">
        <v>127</v>
      </c>
      <c r="BW288" s="24" t="s">
        <v>127</v>
      </c>
      <c r="BX288" s="21" t="s">
        <v>2056</v>
      </c>
      <c r="BY288" s="21" t="s">
        <v>108</v>
      </c>
      <c r="BZ288" s="21" t="s">
        <v>108</v>
      </c>
      <c r="CA288" s="21"/>
      <c r="CB288" s="21"/>
      <c r="CC288" s="21"/>
      <c r="CD288" s="21" t="s">
        <v>108</v>
      </c>
      <c r="CE288" s="21" t="s">
        <v>108</v>
      </c>
      <c r="CF288" s="21"/>
      <c r="CG288" s="21" t="s">
        <v>108</v>
      </c>
      <c r="CH288" s="21"/>
      <c r="CI288" s="21"/>
      <c r="CJ288" s="21" t="s">
        <v>108</v>
      </c>
      <c r="CK288" s="21" t="s">
        <v>108</v>
      </c>
      <c r="CL288" s="21" t="s">
        <v>108</v>
      </c>
      <c r="CM288" s="25"/>
      <c r="CN288" s="25"/>
      <c r="CO288" s="25"/>
      <c r="CP288" s="26"/>
    </row>
    <row r="289" spans="1:94" s="27" customFormat="1" ht="23.25" customHeight="1">
      <c r="A289" s="4">
        <v>179</v>
      </c>
      <c r="B289" s="6"/>
      <c r="C289" s="6"/>
      <c r="D289" s="6"/>
      <c r="E289" s="6"/>
      <c r="F289" s="6"/>
      <c r="G289" s="6"/>
      <c r="H289" s="5" t="s">
        <v>85</v>
      </c>
      <c r="I289" s="6" t="s">
        <v>86</v>
      </c>
      <c r="J289" s="7" t="s">
        <v>1459</v>
      </c>
      <c r="K289" s="7" t="s">
        <v>1460</v>
      </c>
      <c r="L289" s="8"/>
      <c r="M289" s="5">
        <v>1990</v>
      </c>
      <c r="N289" s="5">
        <v>3177538040</v>
      </c>
      <c r="O289" s="5" t="s">
        <v>1461</v>
      </c>
      <c r="P289" s="10" t="s">
        <v>1462</v>
      </c>
      <c r="Q289" s="389" t="s">
        <v>1463</v>
      </c>
      <c r="R289" s="8" t="s">
        <v>6025</v>
      </c>
      <c r="S289" s="212" t="s">
        <v>12144</v>
      </c>
      <c r="T289" s="8" t="s">
        <v>1464</v>
      </c>
      <c r="U289" s="11" t="s">
        <v>93</v>
      </c>
      <c r="V289" s="12" t="s">
        <v>94</v>
      </c>
      <c r="W289" s="13">
        <v>43024</v>
      </c>
      <c r="X289" s="13" t="str">
        <f t="shared" ca="1" si="5"/>
        <v>8 Th, 11 Bln</v>
      </c>
      <c r="Y289" s="5" t="s">
        <v>95</v>
      </c>
      <c r="Z289" s="14"/>
      <c r="AA289" s="5" t="s">
        <v>96</v>
      </c>
      <c r="AB289" s="5" t="s">
        <v>97</v>
      </c>
      <c r="AC289" s="7" t="s">
        <v>1465</v>
      </c>
      <c r="AD289" s="131" t="s">
        <v>966</v>
      </c>
      <c r="AE289" s="131" t="s">
        <v>827</v>
      </c>
      <c r="AF289" s="7" t="s">
        <v>1466</v>
      </c>
      <c r="AG289" s="7" t="s">
        <v>1467</v>
      </c>
      <c r="AH289" s="7" t="s">
        <v>1467</v>
      </c>
      <c r="AI289" s="7"/>
      <c r="AJ289" s="7" t="s">
        <v>94</v>
      </c>
      <c r="AK289" s="7" t="s">
        <v>179</v>
      </c>
      <c r="AL289" s="7" t="s">
        <v>1128</v>
      </c>
      <c r="AM289" s="15" t="s">
        <v>1468</v>
      </c>
      <c r="AN289" s="15" t="s">
        <v>1468</v>
      </c>
      <c r="AO289" s="8"/>
      <c r="AP289" s="8" t="s">
        <v>146</v>
      </c>
      <c r="AQ289" s="8" t="s">
        <v>146</v>
      </c>
      <c r="AR289" s="8" t="s">
        <v>108</v>
      </c>
      <c r="AS289" s="132">
        <v>21</v>
      </c>
      <c r="AT289" s="131" t="s">
        <v>618</v>
      </c>
      <c r="AU289" s="132" t="s">
        <v>182</v>
      </c>
      <c r="AV289" s="16" t="s">
        <v>112</v>
      </c>
      <c r="AW289" s="56" t="s">
        <v>549</v>
      </c>
      <c r="AX289" s="56" t="s">
        <v>114</v>
      </c>
      <c r="AY289" s="7" t="s">
        <v>1469</v>
      </c>
      <c r="AZ289" s="10" t="s">
        <v>1470</v>
      </c>
      <c r="BA289" s="7" t="s">
        <v>94</v>
      </c>
      <c r="BB289" s="52">
        <v>30349</v>
      </c>
      <c r="BC289" s="17" t="s">
        <v>96</v>
      </c>
      <c r="BD289" s="18" t="s">
        <v>1471</v>
      </c>
      <c r="BE289" s="7" t="s">
        <v>118</v>
      </c>
      <c r="BF289" s="7" t="s">
        <v>119</v>
      </c>
      <c r="BG289" s="7" t="s">
        <v>119</v>
      </c>
      <c r="BH289" s="7"/>
      <c r="BI289" s="19"/>
      <c r="BJ289" s="20" t="s">
        <v>250</v>
      </c>
      <c r="BK289" s="21" t="s">
        <v>1472</v>
      </c>
      <c r="BL289" s="7" t="s">
        <v>1473</v>
      </c>
      <c r="BM289" s="22" t="s">
        <v>1474</v>
      </c>
      <c r="BN289" s="8" t="s">
        <v>94</v>
      </c>
      <c r="BO289" s="49">
        <v>32559</v>
      </c>
      <c r="BP289" s="17" t="s">
        <v>96</v>
      </c>
      <c r="BQ289" s="18" t="s">
        <v>1468</v>
      </c>
      <c r="BR289" s="7" t="s">
        <v>118</v>
      </c>
      <c r="BS289" s="7" t="s">
        <v>276</v>
      </c>
      <c r="BT289" s="7" t="s">
        <v>1475</v>
      </c>
      <c r="BU289" s="8" t="s">
        <v>1476</v>
      </c>
      <c r="BV289" s="23"/>
      <c r="BW289" s="24" t="s">
        <v>250</v>
      </c>
      <c r="BX289" s="21" t="s">
        <v>1472</v>
      </c>
      <c r="BY289" s="21" t="s">
        <v>108</v>
      </c>
      <c r="BZ289" s="21" t="s">
        <v>108</v>
      </c>
      <c r="CA289" s="21"/>
      <c r="CB289" s="21"/>
      <c r="CC289" s="21"/>
      <c r="CD289" s="21" t="s">
        <v>108</v>
      </c>
      <c r="CE289" s="21" t="s">
        <v>108</v>
      </c>
      <c r="CF289" s="21"/>
      <c r="CG289" s="21" t="s">
        <v>108</v>
      </c>
      <c r="CH289" s="21"/>
      <c r="CI289" s="21"/>
      <c r="CJ289" s="21" t="s">
        <v>108</v>
      </c>
      <c r="CK289" s="21" t="s">
        <v>108</v>
      </c>
      <c r="CL289" s="21" t="s">
        <v>108</v>
      </c>
      <c r="CM289" s="25"/>
      <c r="CN289" s="25"/>
      <c r="CO289" s="25"/>
      <c r="CP289" s="26"/>
    </row>
    <row r="290" spans="1:94" s="27" customFormat="1" ht="27.75" customHeight="1">
      <c r="A290" s="4">
        <v>133</v>
      </c>
      <c r="B290" s="6"/>
      <c r="C290" s="6"/>
      <c r="D290" s="6"/>
      <c r="E290" s="6"/>
      <c r="F290" s="6"/>
      <c r="G290" s="6"/>
      <c r="H290" s="5" t="s">
        <v>85</v>
      </c>
      <c r="I290" s="6" t="s">
        <v>86</v>
      </c>
      <c r="J290" s="7" t="s">
        <v>402</v>
      </c>
      <c r="K290" s="7" t="s">
        <v>403</v>
      </c>
      <c r="L290" s="8"/>
      <c r="M290" s="5">
        <v>2000</v>
      </c>
      <c r="N290" s="5">
        <v>3179898175</v>
      </c>
      <c r="O290" s="5" t="s">
        <v>404</v>
      </c>
      <c r="P290" s="10" t="s">
        <v>405</v>
      </c>
      <c r="Q290" s="389" t="s">
        <v>406</v>
      </c>
      <c r="R290" s="8" t="s">
        <v>6025</v>
      </c>
      <c r="S290" s="212" t="s">
        <v>12144</v>
      </c>
      <c r="T290" s="8" t="s">
        <v>407</v>
      </c>
      <c r="U290" s="11" t="s">
        <v>172</v>
      </c>
      <c r="V290" s="12" t="s">
        <v>94</v>
      </c>
      <c r="W290" s="13">
        <v>43018</v>
      </c>
      <c r="X290" s="13" t="str">
        <f t="shared" ca="1" si="5"/>
        <v>8 Th, 11 Bln</v>
      </c>
      <c r="Y290" s="5" t="s">
        <v>95</v>
      </c>
      <c r="Z290" s="14"/>
      <c r="AA290" s="5" t="s">
        <v>96</v>
      </c>
      <c r="AB290" s="5" t="s">
        <v>97</v>
      </c>
      <c r="AC290" s="7" t="s">
        <v>408</v>
      </c>
      <c r="AD290" s="131" t="s">
        <v>384</v>
      </c>
      <c r="AE290" s="131">
        <v>10</v>
      </c>
      <c r="AF290" s="7" t="s">
        <v>409</v>
      </c>
      <c r="AG290" s="7" t="s">
        <v>410</v>
      </c>
      <c r="AH290" s="7" t="s">
        <v>141</v>
      </c>
      <c r="AI290" s="7"/>
      <c r="AJ290" s="7" t="s">
        <v>94</v>
      </c>
      <c r="AK290" s="7" t="s">
        <v>104</v>
      </c>
      <c r="AL290" s="7" t="s">
        <v>411</v>
      </c>
      <c r="AM290" s="15" t="s">
        <v>412</v>
      </c>
      <c r="AN290" s="15" t="s">
        <v>413</v>
      </c>
      <c r="AO290" s="8"/>
      <c r="AP290" s="8" t="s">
        <v>146</v>
      </c>
      <c r="AQ290" s="8" t="s">
        <v>147</v>
      </c>
      <c r="AR290" s="8" t="s">
        <v>147</v>
      </c>
      <c r="AS290" s="132">
        <v>16</v>
      </c>
      <c r="AT290" s="131">
        <v>112</v>
      </c>
      <c r="AU290" s="132" t="s">
        <v>182</v>
      </c>
      <c r="AV290" s="16" t="s">
        <v>112</v>
      </c>
      <c r="AW290" s="56" t="s">
        <v>147</v>
      </c>
      <c r="AX290" s="56" t="s">
        <v>183</v>
      </c>
      <c r="AY290" s="7" t="s">
        <v>414</v>
      </c>
      <c r="AZ290" s="10" t="s">
        <v>415</v>
      </c>
      <c r="BA290" s="7" t="s">
        <v>416</v>
      </c>
      <c r="BB290" s="52">
        <v>32393</v>
      </c>
      <c r="BC290" s="17" t="s">
        <v>96</v>
      </c>
      <c r="BD290" s="18" t="s">
        <v>412</v>
      </c>
      <c r="BE290" s="7" t="s">
        <v>153</v>
      </c>
      <c r="BF290" s="7" t="s">
        <v>327</v>
      </c>
      <c r="BG290" s="7" t="s">
        <v>417</v>
      </c>
      <c r="BH290" s="7" t="s">
        <v>418</v>
      </c>
      <c r="BI290" s="19" t="s">
        <v>419</v>
      </c>
      <c r="BJ290" s="20">
        <v>7400000</v>
      </c>
      <c r="BK290" s="21" t="s">
        <v>420</v>
      </c>
      <c r="BL290" s="7" t="s">
        <v>421</v>
      </c>
      <c r="BM290" s="22" t="s">
        <v>422</v>
      </c>
      <c r="BN290" s="8" t="s">
        <v>94</v>
      </c>
      <c r="BO290" s="49">
        <v>33697</v>
      </c>
      <c r="BP290" s="17" t="s">
        <v>96</v>
      </c>
      <c r="BQ290" s="18" t="s">
        <v>413</v>
      </c>
      <c r="BR290" s="7" t="s">
        <v>118</v>
      </c>
      <c r="BS290" s="7" t="s">
        <v>147</v>
      </c>
      <c r="BT290" s="7" t="s">
        <v>147</v>
      </c>
      <c r="BU290" s="8" t="s">
        <v>147</v>
      </c>
      <c r="BV290" s="23">
        <v>0</v>
      </c>
      <c r="BW290" s="24">
        <v>0</v>
      </c>
      <c r="BX290" s="21" t="s">
        <v>423</v>
      </c>
      <c r="BY290" s="21" t="s">
        <v>108</v>
      </c>
      <c r="BZ290" s="21" t="s">
        <v>108</v>
      </c>
      <c r="CA290" s="21"/>
      <c r="CB290" s="21"/>
      <c r="CC290" s="21"/>
      <c r="CD290" s="21" t="s">
        <v>108</v>
      </c>
      <c r="CE290" s="21" t="s">
        <v>108</v>
      </c>
      <c r="CF290" s="21"/>
      <c r="CG290" s="21" t="s">
        <v>108</v>
      </c>
      <c r="CH290" s="21"/>
      <c r="CI290" s="21"/>
      <c r="CJ290" s="21" t="s">
        <v>108</v>
      </c>
      <c r="CK290" s="21" t="s">
        <v>108</v>
      </c>
      <c r="CL290" s="21" t="s">
        <v>108</v>
      </c>
      <c r="CM290" s="25"/>
      <c r="CN290" s="25"/>
      <c r="CO290" s="25"/>
      <c r="CP290" s="26"/>
    </row>
    <row r="291" spans="1:94" s="27" customFormat="1" ht="23.25" customHeight="1">
      <c r="A291" s="4">
        <v>208</v>
      </c>
      <c r="B291" s="6"/>
      <c r="C291" s="6"/>
      <c r="D291" s="6"/>
      <c r="E291" s="6"/>
      <c r="F291" s="6"/>
      <c r="G291" s="6"/>
      <c r="H291" s="5" t="s">
        <v>85</v>
      </c>
      <c r="I291" s="6" t="s">
        <v>86</v>
      </c>
      <c r="J291" s="7" t="s">
        <v>2083</v>
      </c>
      <c r="K291" s="7" t="s">
        <v>2084</v>
      </c>
      <c r="L291" s="8"/>
      <c r="M291" s="5">
        <v>2001</v>
      </c>
      <c r="N291" s="5">
        <v>3181606990</v>
      </c>
      <c r="O291" s="5" t="s">
        <v>2085</v>
      </c>
      <c r="P291" s="10" t="s">
        <v>2086</v>
      </c>
      <c r="Q291" s="389" t="s">
        <v>2087</v>
      </c>
      <c r="R291" s="8" t="s">
        <v>6025</v>
      </c>
      <c r="S291" s="212" t="s">
        <v>12144</v>
      </c>
      <c r="T291" s="8" t="s">
        <v>2088</v>
      </c>
      <c r="U291" s="11" t="s">
        <v>172</v>
      </c>
      <c r="V291" s="12" t="s">
        <v>94</v>
      </c>
      <c r="W291" s="13">
        <v>43175</v>
      </c>
      <c r="X291" s="13" t="str">
        <f t="shared" ca="1" si="5"/>
        <v>8 Th, 6 Bln</v>
      </c>
      <c r="Y291" s="5" t="s">
        <v>95</v>
      </c>
      <c r="Z291" s="14"/>
      <c r="AA291" s="5" t="s">
        <v>96</v>
      </c>
      <c r="AB291" s="5" t="s">
        <v>97</v>
      </c>
      <c r="AC291" s="7" t="s">
        <v>2089</v>
      </c>
      <c r="AD291" s="131" t="s">
        <v>384</v>
      </c>
      <c r="AE291" s="131" t="s">
        <v>207</v>
      </c>
      <c r="AF291" s="7" t="s">
        <v>2090</v>
      </c>
      <c r="AG291" s="7" t="s">
        <v>994</v>
      </c>
      <c r="AH291" s="7" t="s">
        <v>141</v>
      </c>
      <c r="AI291" s="7"/>
      <c r="AJ291" s="7" t="s">
        <v>263</v>
      </c>
      <c r="AK291" s="7" t="s">
        <v>104</v>
      </c>
      <c r="AL291" s="7" t="s">
        <v>1325</v>
      </c>
      <c r="AM291" s="15" t="s">
        <v>2091</v>
      </c>
      <c r="AN291" s="15" t="s">
        <v>2092</v>
      </c>
      <c r="AO291" s="8"/>
      <c r="AP291" s="8" t="s">
        <v>107</v>
      </c>
      <c r="AQ291" s="8" t="s">
        <v>107</v>
      </c>
      <c r="AR291" s="8" t="s">
        <v>108</v>
      </c>
      <c r="AS291" s="132">
        <v>24</v>
      </c>
      <c r="AT291" s="131">
        <v>120</v>
      </c>
      <c r="AU291" s="132" t="s">
        <v>182</v>
      </c>
      <c r="AV291" s="16" t="s">
        <v>112</v>
      </c>
      <c r="AW291" s="56" t="s">
        <v>162</v>
      </c>
      <c r="AX291" s="56" t="s">
        <v>2093</v>
      </c>
      <c r="AY291" s="7" t="s">
        <v>2094</v>
      </c>
      <c r="AZ291" s="10" t="s">
        <v>2095</v>
      </c>
      <c r="BA291" s="7" t="s">
        <v>603</v>
      </c>
      <c r="BB291" s="52">
        <v>32806</v>
      </c>
      <c r="BC291" s="17" t="s">
        <v>96</v>
      </c>
      <c r="BD291" s="18" t="s">
        <v>2092</v>
      </c>
      <c r="BE291" s="7" t="s">
        <v>118</v>
      </c>
      <c r="BF291" s="7" t="s">
        <v>276</v>
      </c>
      <c r="BG291" s="7" t="s">
        <v>2096</v>
      </c>
      <c r="BH291" s="7" t="s">
        <v>2097</v>
      </c>
      <c r="BI291" s="19"/>
      <c r="BJ291" s="20" t="s">
        <v>2098</v>
      </c>
      <c r="BK291" s="21" t="s">
        <v>2099</v>
      </c>
      <c r="BL291" s="7" t="s">
        <v>2100</v>
      </c>
      <c r="BM291" s="22" t="s">
        <v>2101</v>
      </c>
      <c r="BN291" s="8" t="s">
        <v>94</v>
      </c>
      <c r="BO291" s="49">
        <v>32193</v>
      </c>
      <c r="BP291" s="17" t="s">
        <v>96</v>
      </c>
      <c r="BQ291" s="18" t="s">
        <v>2102</v>
      </c>
      <c r="BR291" s="7" t="s">
        <v>118</v>
      </c>
      <c r="BS291" s="7" t="s">
        <v>2103</v>
      </c>
      <c r="BT291" s="7" t="s">
        <v>2104</v>
      </c>
      <c r="BU291" s="8" t="s">
        <v>263</v>
      </c>
      <c r="BV291" s="23"/>
      <c r="BW291" s="24" t="s">
        <v>2105</v>
      </c>
      <c r="BX291" s="21" t="s">
        <v>2106</v>
      </c>
      <c r="BY291" s="21" t="s">
        <v>2107</v>
      </c>
      <c r="BZ291" s="21" t="s">
        <v>94</v>
      </c>
      <c r="CA291" s="21">
        <v>21848</v>
      </c>
      <c r="CB291" s="21"/>
      <c r="CC291" s="21" t="s">
        <v>2108</v>
      </c>
      <c r="CD291" s="21" t="s">
        <v>118</v>
      </c>
      <c r="CE291" s="21" t="s">
        <v>913</v>
      </c>
      <c r="CF291" s="21" t="s">
        <v>96</v>
      </c>
      <c r="CG291" s="21" t="s">
        <v>2109</v>
      </c>
      <c r="CH291" s="21" t="s">
        <v>100</v>
      </c>
      <c r="CI291" s="21" t="s">
        <v>100</v>
      </c>
      <c r="CJ291" s="21" t="s">
        <v>993</v>
      </c>
      <c r="CK291" s="21" t="s">
        <v>994</v>
      </c>
      <c r="CL291" s="21" t="s">
        <v>263</v>
      </c>
      <c r="CM291" s="25"/>
      <c r="CN291" s="25"/>
      <c r="CO291" s="25"/>
      <c r="CP291" s="26"/>
    </row>
    <row r="292" spans="1:94" s="27" customFormat="1" ht="23.25" customHeight="1">
      <c r="A292" s="4">
        <v>211</v>
      </c>
      <c r="B292" s="6"/>
      <c r="C292" s="6"/>
      <c r="D292" s="6"/>
      <c r="E292" s="6"/>
      <c r="F292" s="6"/>
      <c r="G292" s="6"/>
      <c r="H292" s="5" t="s">
        <v>85</v>
      </c>
      <c r="I292" s="6" t="s">
        <v>86</v>
      </c>
      <c r="J292" s="7" t="s">
        <v>2151</v>
      </c>
      <c r="K292" s="7" t="s">
        <v>2152</v>
      </c>
      <c r="L292" s="8"/>
      <c r="M292" s="5">
        <v>2005</v>
      </c>
      <c r="N292" s="5">
        <v>3179860058</v>
      </c>
      <c r="O292" s="5" t="s">
        <v>2153</v>
      </c>
      <c r="P292" s="10" t="s">
        <v>2154</v>
      </c>
      <c r="Q292" s="389" t="s">
        <v>2155</v>
      </c>
      <c r="R292" s="8" t="s">
        <v>6025</v>
      </c>
      <c r="S292" s="212" t="s">
        <v>12144</v>
      </c>
      <c r="T292" s="8" t="s">
        <v>2156</v>
      </c>
      <c r="U292" s="11" t="s">
        <v>93</v>
      </c>
      <c r="V292" s="12" t="s">
        <v>395</v>
      </c>
      <c r="W292" s="13">
        <v>42992</v>
      </c>
      <c r="X292" s="13" t="str">
        <f t="shared" ca="1" si="5"/>
        <v>9 Th, 0 Bln</v>
      </c>
      <c r="Y292" s="5" t="s">
        <v>95</v>
      </c>
      <c r="Z292" s="14"/>
      <c r="AA292" s="5" t="s">
        <v>96</v>
      </c>
      <c r="AB292" s="5" t="s">
        <v>97</v>
      </c>
      <c r="AC292" s="7" t="s">
        <v>2157</v>
      </c>
      <c r="AD292" s="131">
        <v>10</v>
      </c>
      <c r="AE292" s="131" t="s">
        <v>294</v>
      </c>
      <c r="AF292" s="7" t="s">
        <v>2158</v>
      </c>
      <c r="AG292" s="7" t="s">
        <v>2159</v>
      </c>
      <c r="AH292" s="7" t="s">
        <v>2159</v>
      </c>
      <c r="AI292" s="7"/>
      <c r="AJ292" s="7" t="s">
        <v>94</v>
      </c>
      <c r="AK292" s="7" t="s">
        <v>386</v>
      </c>
      <c r="AL292" s="7" t="s">
        <v>2160</v>
      </c>
      <c r="AM292" s="15" t="s">
        <v>2161</v>
      </c>
      <c r="AN292" s="15" t="s">
        <v>2162</v>
      </c>
      <c r="AO292" s="8"/>
      <c r="AP292" s="8" t="s">
        <v>146</v>
      </c>
      <c r="AQ292" s="8" t="s">
        <v>146</v>
      </c>
      <c r="AR292" s="8" t="s">
        <v>147</v>
      </c>
      <c r="AS292" s="132">
        <v>30</v>
      </c>
      <c r="AT292" s="131">
        <v>120</v>
      </c>
      <c r="AU292" s="132" t="s">
        <v>111</v>
      </c>
      <c r="AV292" s="16" t="s">
        <v>112</v>
      </c>
      <c r="AW292" s="56" t="s">
        <v>392</v>
      </c>
      <c r="AX292" s="56" t="s">
        <v>114</v>
      </c>
      <c r="AY292" s="7" t="s">
        <v>2163</v>
      </c>
      <c r="AZ292" s="10" t="s">
        <v>2164</v>
      </c>
      <c r="BA292" s="7" t="s">
        <v>395</v>
      </c>
      <c r="BB292" s="52">
        <v>33478</v>
      </c>
      <c r="BC292" s="17" t="s">
        <v>96</v>
      </c>
      <c r="BD292" s="18" t="s">
        <v>2162</v>
      </c>
      <c r="BE292" s="7" t="s">
        <v>153</v>
      </c>
      <c r="BF292" s="7" t="s">
        <v>925</v>
      </c>
      <c r="BG292" s="7" t="s">
        <v>2165</v>
      </c>
      <c r="BH292" s="7" t="s">
        <v>2166</v>
      </c>
      <c r="BI292" s="19" t="s">
        <v>2162</v>
      </c>
      <c r="BJ292" s="20">
        <v>10000000</v>
      </c>
      <c r="BK292" s="21" t="s">
        <v>2167</v>
      </c>
      <c r="BL292" s="7" t="s">
        <v>2168</v>
      </c>
      <c r="BM292" s="22" t="s">
        <v>2169</v>
      </c>
      <c r="BN292" s="8" t="s">
        <v>395</v>
      </c>
      <c r="BO292" s="49">
        <v>33229</v>
      </c>
      <c r="BP292" s="17" t="s">
        <v>96</v>
      </c>
      <c r="BQ292" s="18" t="s">
        <v>2170</v>
      </c>
      <c r="BR292" s="7" t="s">
        <v>153</v>
      </c>
      <c r="BS292" s="7" t="s">
        <v>126</v>
      </c>
      <c r="BT292" s="7" t="s">
        <v>162</v>
      </c>
      <c r="BU292" s="8" t="s">
        <v>162</v>
      </c>
      <c r="BV292" s="23"/>
      <c r="BW292" s="24">
        <v>3000000</v>
      </c>
      <c r="BX292" s="21" t="s">
        <v>2171</v>
      </c>
      <c r="BY292" s="21" t="s">
        <v>108</v>
      </c>
      <c r="BZ292" s="21" t="s">
        <v>108</v>
      </c>
      <c r="CA292" s="21"/>
      <c r="CB292" s="21"/>
      <c r="CC292" s="21"/>
      <c r="CD292" s="21" t="s">
        <v>108</v>
      </c>
      <c r="CE292" s="21" t="s">
        <v>108</v>
      </c>
      <c r="CF292" s="21"/>
      <c r="CG292" s="21" t="s">
        <v>108</v>
      </c>
      <c r="CH292" s="21"/>
      <c r="CI292" s="21"/>
      <c r="CJ292" s="21" t="s">
        <v>108</v>
      </c>
      <c r="CK292" s="21" t="s">
        <v>108</v>
      </c>
      <c r="CL292" s="21" t="s">
        <v>108</v>
      </c>
      <c r="CM292" s="25"/>
      <c r="CN292" s="25"/>
      <c r="CO292" s="25"/>
      <c r="CP292" s="26"/>
    </row>
    <row r="293" spans="1:94" s="27" customFormat="1" ht="23.25" customHeight="1">
      <c r="A293" s="4">
        <v>157</v>
      </c>
      <c r="B293" s="6"/>
      <c r="C293" s="6"/>
      <c r="D293" s="6"/>
      <c r="E293" s="6"/>
      <c r="F293" s="6"/>
      <c r="G293" s="6"/>
      <c r="H293" s="5" t="s">
        <v>85</v>
      </c>
      <c r="I293" s="6" t="s">
        <v>86</v>
      </c>
      <c r="J293" s="7" t="s">
        <v>985</v>
      </c>
      <c r="K293" s="7" t="s">
        <v>986</v>
      </c>
      <c r="L293" s="8"/>
      <c r="M293" s="5">
        <v>2006</v>
      </c>
      <c r="N293" s="10" t="s">
        <v>987</v>
      </c>
      <c r="O293" s="10" t="s">
        <v>988</v>
      </c>
      <c r="P293" s="10" t="s">
        <v>989</v>
      </c>
      <c r="Q293" s="389" t="s">
        <v>990</v>
      </c>
      <c r="R293" s="8" t="s">
        <v>6025</v>
      </c>
      <c r="S293" s="212" t="s">
        <v>12144</v>
      </c>
      <c r="T293" s="8" t="s">
        <v>991</v>
      </c>
      <c r="U293" s="11" t="s">
        <v>93</v>
      </c>
      <c r="V293" s="12" t="s">
        <v>94</v>
      </c>
      <c r="W293" s="13">
        <v>43232</v>
      </c>
      <c r="X293" s="13" t="str">
        <f t="shared" ca="1" si="5"/>
        <v>8 Th, 4 Bln</v>
      </c>
      <c r="Y293" s="5" t="s">
        <v>95</v>
      </c>
      <c r="Z293" s="14" t="s">
        <v>162</v>
      </c>
      <c r="AA293" s="5" t="s">
        <v>96</v>
      </c>
      <c r="AB293" s="5" t="s">
        <v>97</v>
      </c>
      <c r="AC293" s="7" t="s">
        <v>992</v>
      </c>
      <c r="AD293" s="131" t="s">
        <v>265</v>
      </c>
      <c r="AE293" s="131" t="s">
        <v>966</v>
      </c>
      <c r="AF293" s="7" t="s">
        <v>993</v>
      </c>
      <c r="AG293" s="7" t="s">
        <v>994</v>
      </c>
      <c r="AH293" s="7" t="s">
        <v>141</v>
      </c>
      <c r="AI293" s="7"/>
      <c r="AJ293" s="7" t="s">
        <v>263</v>
      </c>
      <c r="AK293" s="7" t="s">
        <v>179</v>
      </c>
      <c r="AL293" s="7" t="s">
        <v>995</v>
      </c>
      <c r="AM293" s="15" t="s">
        <v>996</v>
      </c>
      <c r="AN293" s="15" t="s">
        <v>997</v>
      </c>
      <c r="AO293" s="8"/>
      <c r="AP293" s="8" t="s">
        <v>298</v>
      </c>
      <c r="AQ293" s="8" t="s">
        <v>298</v>
      </c>
      <c r="AR293" s="8" t="s">
        <v>162</v>
      </c>
      <c r="AS293" s="132" t="s">
        <v>998</v>
      </c>
      <c r="AT293" s="131">
        <v>115</v>
      </c>
      <c r="AU293" s="132" t="s">
        <v>111</v>
      </c>
      <c r="AV293" s="16" t="s">
        <v>212</v>
      </c>
      <c r="AW293" s="56" t="s">
        <v>999</v>
      </c>
      <c r="AX293" s="56" t="s">
        <v>1000</v>
      </c>
      <c r="AY293" s="7" t="s">
        <v>1001</v>
      </c>
      <c r="AZ293" s="10" t="s">
        <v>1002</v>
      </c>
      <c r="BA293" s="7" t="s">
        <v>670</v>
      </c>
      <c r="BB293" s="52">
        <v>29150</v>
      </c>
      <c r="BC293" s="17" t="s">
        <v>96</v>
      </c>
      <c r="BD293" s="18" t="s">
        <v>1003</v>
      </c>
      <c r="BE293" s="7" t="s">
        <v>118</v>
      </c>
      <c r="BF293" s="7" t="s">
        <v>1004</v>
      </c>
      <c r="BG293" s="7" t="s">
        <v>1005</v>
      </c>
      <c r="BH293" s="7" t="s">
        <v>1006</v>
      </c>
      <c r="BI293" s="19" t="s">
        <v>996</v>
      </c>
      <c r="BJ293" s="20" t="s">
        <v>1007</v>
      </c>
      <c r="BK293" s="21" t="s">
        <v>1008</v>
      </c>
      <c r="BL293" s="7" t="s">
        <v>1009</v>
      </c>
      <c r="BM293" s="22" t="s">
        <v>1010</v>
      </c>
      <c r="BN293" s="8" t="s">
        <v>670</v>
      </c>
      <c r="BO293" s="49">
        <v>30997</v>
      </c>
      <c r="BP293" s="17" t="s">
        <v>96</v>
      </c>
      <c r="BQ293" s="18" t="s">
        <v>997</v>
      </c>
      <c r="BR293" s="7" t="s">
        <v>118</v>
      </c>
      <c r="BS293" s="7" t="s">
        <v>1011</v>
      </c>
      <c r="BT293" s="7" t="s">
        <v>1012</v>
      </c>
      <c r="BU293" s="8" t="s">
        <v>1013</v>
      </c>
      <c r="BV293" s="23" t="s">
        <v>1014</v>
      </c>
      <c r="BW293" s="24" t="s">
        <v>1015</v>
      </c>
      <c r="BX293" s="21" t="s">
        <v>1016</v>
      </c>
      <c r="BY293" s="21" t="s">
        <v>108</v>
      </c>
      <c r="BZ293" s="21" t="s">
        <v>108</v>
      </c>
      <c r="CA293" s="21"/>
      <c r="CB293" s="21"/>
      <c r="CC293" s="21"/>
      <c r="CD293" s="21" t="s">
        <v>108</v>
      </c>
      <c r="CE293" s="21" t="s">
        <v>108</v>
      </c>
      <c r="CF293" s="21"/>
      <c r="CG293" s="21" t="s">
        <v>108</v>
      </c>
      <c r="CH293" s="21"/>
      <c r="CI293" s="21"/>
      <c r="CJ293" s="21" t="s">
        <v>108</v>
      </c>
      <c r="CK293" s="21" t="s">
        <v>108</v>
      </c>
      <c r="CL293" s="21" t="s">
        <v>108</v>
      </c>
      <c r="CM293" s="25"/>
      <c r="CN293" s="25"/>
      <c r="CO293" s="25"/>
      <c r="CP293" s="26"/>
    </row>
    <row r="294" spans="1:94" s="27" customFormat="1" ht="23.25" customHeight="1">
      <c r="A294" s="4">
        <v>182</v>
      </c>
      <c r="B294" s="6"/>
      <c r="C294" s="6"/>
      <c r="D294" s="6"/>
      <c r="E294" s="6"/>
      <c r="F294" s="6"/>
      <c r="G294" s="6"/>
      <c r="H294" s="5" t="s">
        <v>85</v>
      </c>
      <c r="I294" s="6" t="s">
        <v>86</v>
      </c>
      <c r="J294" s="7" t="s">
        <v>1529</v>
      </c>
      <c r="K294" s="7" t="s">
        <v>1530</v>
      </c>
      <c r="L294" s="8"/>
      <c r="M294" s="5">
        <v>2007</v>
      </c>
      <c r="N294" s="10">
        <v>3171808719</v>
      </c>
      <c r="O294" s="10" t="s">
        <v>1531</v>
      </c>
      <c r="P294" s="10" t="s">
        <v>1532</v>
      </c>
      <c r="Q294" s="389" t="s">
        <v>1533</v>
      </c>
      <c r="R294" s="8" t="s">
        <v>6025</v>
      </c>
      <c r="S294" s="212" t="s">
        <v>12144</v>
      </c>
      <c r="T294" s="8" t="s">
        <v>1534</v>
      </c>
      <c r="U294" s="11" t="s">
        <v>172</v>
      </c>
      <c r="V294" s="12" t="s">
        <v>94</v>
      </c>
      <c r="W294" s="13">
        <v>43031</v>
      </c>
      <c r="X294" s="13" t="str">
        <f t="shared" ca="1" si="5"/>
        <v>8 Th, 10 Bln</v>
      </c>
      <c r="Y294" s="5" t="s">
        <v>95</v>
      </c>
      <c r="Z294" s="14"/>
      <c r="AA294" s="5" t="s">
        <v>96</v>
      </c>
      <c r="AB294" s="5" t="s">
        <v>97</v>
      </c>
      <c r="AC294" s="7" t="s">
        <v>1535</v>
      </c>
      <c r="AD294" s="131">
        <v>2</v>
      </c>
      <c r="AE294" s="131">
        <v>11</v>
      </c>
      <c r="AF294" s="7" t="s">
        <v>521</v>
      </c>
      <c r="AG294" s="7" t="s">
        <v>178</v>
      </c>
      <c r="AH294" s="7" t="s">
        <v>178</v>
      </c>
      <c r="AI294" s="7"/>
      <c r="AJ294" s="7" t="s">
        <v>103</v>
      </c>
      <c r="AK294" s="7" t="s">
        <v>104</v>
      </c>
      <c r="AL294" s="7" t="s">
        <v>1282</v>
      </c>
      <c r="AM294" s="15" t="s">
        <v>1536</v>
      </c>
      <c r="AN294" s="15" t="s">
        <v>1536</v>
      </c>
      <c r="AO294" s="8"/>
      <c r="AP294" s="8" t="s">
        <v>107</v>
      </c>
      <c r="AQ294" s="8" t="s">
        <v>146</v>
      </c>
      <c r="AR294" s="8" t="s">
        <v>147</v>
      </c>
      <c r="AS294" s="132" t="s">
        <v>1537</v>
      </c>
      <c r="AT294" s="131" t="s">
        <v>1538</v>
      </c>
      <c r="AU294" s="132" t="s">
        <v>182</v>
      </c>
      <c r="AV294" s="16" t="s">
        <v>112</v>
      </c>
      <c r="AW294" s="56" t="s">
        <v>150</v>
      </c>
      <c r="AX294" s="56" t="s">
        <v>183</v>
      </c>
      <c r="AY294" s="7" t="s">
        <v>1539</v>
      </c>
      <c r="AZ294" s="10" t="s">
        <v>1540</v>
      </c>
      <c r="BA294" s="7" t="s">
        <v>603</v>
      </c>
      <c r="BB294" s="52">
        <v>30730</v>
      </c>
      <c r="BC294" s="17" t="s">
        <v>96</v>
      </c>
      <c r="BD294" s="18" t="s">
        <v>1541</v>
      </c>
      <c r="BE294" s="7" t="s">
        <v>153</v>
      </c>
      <c r="BF294" s="7" t="s">
        <v>188</v>
      </c>
      <c r="BG294" s="7" t="s">
        <v>1542</v>
      </c>
      <c r="BH294" s="7" t="s">
        <v>1543</v>
      </c>
      <c r="BI294" s="19"/>
      <c r="BJ294" s="20" t="s">
        <v>1544</v>
      </c>
      <c r="BK294" s="21" t="s">
        <v>1545</v>
      </c>
      <c r="BL294" s="7" t="s">
        <v>1546</v>
      </c>
      <c r="BM294" s="22" t="s">
        <v>1547</v>
      </c>
      <c r="BN294" s="8" t="s">
        <v>603</v>
      </c>
      <c r="BO294" s="49">
        <v>30876</v>
      </c>
      <c r="BP294" s="17" t="s">
        <v>96</v>
      </c>
      <c r="BQ294" s="18" t="s">
        <v>1536</v>
      </c>
      <c r="BR294" s="7" t="s">
        <v>118</v>
      </c>
      <c r="BS294" s="7" t="s">
        <v>582</v>
      </c>
      <c r="BT294" s="7" t="s">
        <v>126</v>
      </c>
      <c r="BU294" s="8" t="s">
        <v>1548</v>
      </c>
      <c r="BV294" s="23"/>
      <c r="BW294" s="24" t="s">
        <v>1549</v>
      </c>
      <c r="BX294" s="21" t="s">
        <v>1550</v>
      </c>
      <c r="BY294" s="21" t="s">
        <v>1551</v>
      </c>
      <c r="BZ294" s="21" t="s">
        <v>603</v>
      </c>
      <c r="CA294" s="21">
        <v>21347</v>
      </c>
      <c r="CB294" s="21"/>
      <c r="CC294" s="21" t="s">
        <v>1552</v>
      </c>
      <c r="CD294" s="21" t="s">
        <v>118</v>
      </c>
      <c r="CE294" s="21" t="s">
        <v>1553</v>
      </c>
      <c r="CF294" s="21" t="s">
        <v>96</v>
      </c>
      <c r="CG294" s="21" t="s">
        <v>1554</v>
      </c>
      <c r="CH294" s="21">
        <v>2</v>
      </c>
      <c r="CI294" s="21">
        <v>6</v>
      </c>
      <c r="CJ294" s="21" t="s">
        <v>1555</v>
      </c>
      <c r="CK294" s="21" t="s">
        <v>1556</v>
      </c>
      <c r="CL294" s="21" t="s">
        <v>1557</v>
      </c>
      <c r="CM294" s="25"/>
      <c r="CN294" s="25"/>
      <c r="CO294" s="25"/>
      <c r="CP294" s="26"/>
    </row>
    <row r="295" spans="1:94" s="27" customFormat="1" ht="23.25" customHeight="1">
      <c r="A295" s="4">
        <v>213</v>
      </c>
      <c r="B295" s="6"/>
      <c r="C295" s="6"/>
      <c r="D295" s="6"/>
      <c r="E295" s="6"/>
      <c r="F295" s="6"/>
      <c r="G295" s="6"/>
      <c r="H295" s="5" t="s">
        <v>85</v>
      </c>
      <c r="I295" s="6" t="s">
        <v>86</v>
      </c>
      <c r="J295" s="7" t="s">
        <v>1218</v>
      </c>
      <c r="K295" s="7" t="s">
        <v>178</v>
      </c>
      <c r="L295" s="8"/>
      <c r="M295" s="5">
        <v>2008</v>
      </c>
      <c r="N295" s="5">
        <v>3183791667</v>
      </c>
      <c r="O295" s="5" t="s">
        <v>2195</v>
      </c>
      <c r="P295" s="10" t="s">
        <v>2196</v>
      </c>
      <c r="Q295" s="389" t="s">
        <v>2197</v>
      </c>
      <c r="R295" s="8" t="s">
        <v>6025</v>
      </c>
      <c r="S295" s="212" t="s">
        <v>12144</v>
      </c>
      <c r="T295" s="8" t="s">
        <v>2198</v>
      </c>
      <c r="U295" s="11" t="s">
        <v>172</v>
      </c>
      <c r="V295" s="12" t="s">
        <v>2199</v>
      </c>
      <c r="W295" s="13">
        <v>43169</v>
      </c>
      <c r="X295" s="13" t="str">
        <f t="shared" ca="1" si="5"/>
        <v>8 Th, 6 Bln</v>
      </c>
      <c r="Y295" s="5" t="s">
        <v>95</v>
      </c>
      <c r="Z295" s="14" t="s">
        <v>127</v>
      </c>
      <c r="AA295" s="5" t="s">
        <v>96</v>
      </c>
      <c r="AB295" s="5" t="s">
        <v>97</v>
      </c>
      <c r="AC295" s="7" t="s">
        <v>2200</v>
      </c>
      <c r="AD295" s="131" t="s">
        <v>137</v>
      </c>
      <c r="AE295" s="131" t="s">
        <v>293</v>
      </c>
      <c r="AF295" s="7" t="s">
        <v>2201</v>
      </c>
      <c r="AG295" s="7" t="s">
        <v>2202</v>
      </c>
      <c r="AH295" s="7" t="s">
        <v>141</v>
      </c>
      <c r="AI295" s="7"/>
      <c r="AJ295" s="7" t="s">
        <v>2203</v>
      </c>
      <c r="AK295" s="7" t="s">
        <v>386</v>
      </c>
      <c r="AL295" s="7" t="s">
        <v>2204</v>
      </c>
      <c r="AM295" s="15" t="s">
        <v>2205</v>
      </c>
      <c r="AN295" s="15" t="s">
        <v>2205</v>
      </c>
      <c r="AO295" s="8"/>
      <c r="AP295" s="8" t="s">
        <v>107</v>
      </c>
      <c r="AQ295" s="8" t="s">
        <v>146</v>
      </c>
      <c r="AR295" s="8" t="s">
        <v>147</v>
      </c>
      <c r="AS295" s="132" t="s">
        <v>2206</v>
      </c>
      <c r="AT295" s="131" t="s">
        <v>2207</v>
      </c>
      <c r="AU295" s="132" t="s">
        <v>182</v>
      </c>
      <c r="AV295" s="16" t="s">
        <v>112</v>
      </c>
      <c r="AW295" s="56" t="s">
        <v>113</v>
      </c>
      <c r="AX295" s="56" t="s">
        <v>2208</v>
      </c>
      <c r="AY295" s="7" t="s">
        <v>2209</v>
      </c>
      <c r="AZ295" s="10" t="s">
        <v>2210</v>
      </c>
      <c r="BA295" s="7" t="s">
        <v>2203</v>
      </c>
      <c r="BB295" s="52">
        <v>31651</v>
      </c>
      <c r="BC295" s="17" t="s">
        <v>96</v>
      </c>
      <c r="BD295" s="18" t="s">
        <v>2205</v>
      </c>
      <c r="BE295" s="7" t="s">
        <v>118</v>
      </c>
      <c r="BF295" s="7" t="s">
        <v>327</v>
      </c>
      <c r="BG295" s="7" t="s">
        <v>2211</v>
      </c>
      <c r="BH295" s="7" t="s">
        <v>2212</v>
      </c>
      <c r="BI295" s="19" t="s">
        <v>127</v>
      </c>
      <c r="BJ295" s="20" t="s">
        <v>2213</v>
      </c>
      <c r="BK295" s="21" t="s">
        <v>2214</v>
      </c>
      <c r="BL295" s="7" t="s">
        <v>2215</v>
      </c>
      <c r="BM295" s="22" t="s">
        <v>2216</v>
      </c>
      <c r="BN295" s="8" t="s">
        <v>2217</v>
      </c>
      <c r="BO295" s="49">
        <v>31738</v>
      </c>
      <c r="BP295" s="17" t="s">
        <v>96</v>
      </c>
      <c r="BQ295" s="18" t="s">
        <v>2218</v>
      </c>
      <c r="BR295" s="7" t="s">
        <v>118</v>
      </c>
      <c r="BS295" s="7" t="s">
        <v>254</v>
      </c>
      <c r="BT295" s="7" t="s">
        <v>127</v>
      </c>
      <c r="BU295" s="8" t="s">
        <v>127</v>
      </c>
      <c r="BV295" s="23" t="s">
        <v>127</v>
      </c>
      <c r="BW295" s="24" t="s">
        <v>127</v>
      </c>
      <c r="BX295" s="21" t="s">
        <v>127</v>
      </c>
      <c r="BY295" s="21" t="s">
        <v>2209</v>
      </c>
      <c r="BZ295" s="21" t="s">
        <v>2203</v>
      </c>
      <c r="CA295" s="21">
        <v>31651</v>
      </c>
      <c r="CB295" s="21"/>
      <c r="CC295" s="21" t="s">
        <v>2205</v>
      </c>
      <c r="CD295" s="21" t="s">
        <v>118</v>
      </c>
      <c r="CE295" s="21" t="s">
        <v>2219</v>
      </c>
      <c r="CF295" s="21" t="s">
        <v>96</v>
      </c>
      <c r="CG295" s="21" t="s">
        <v>2220</v>
      </c>
      <c r="CH295" s="21" t="s">
        <v>137</v>
      </c>
      <c r="CI295" s="21" t="s">
        <v>293</v>
      </c>
      <c r="CJ295" s="21" t="s">
        <v>2201</v>
      </c>
      <c r="CK295" s="21" t="s">
        <v>2202</v>
      </c>
      <c r="CL295" s="21" t="s">
        <v>2203</v>
      </c>
      <c r="CM295" s="25"/>
      <c r="CN295" s="25"/>
      <c r="CO295" s="25"/>
      <c r="CP295" s="26"/>
    </row>
    <row r="296" spans="1:94" s="27" customFormat="1" ht="23.25" customHeight="1">
      <c r="A296" s="4">
        <v>183</v>
      </c>
      <c r="B296" s="6"/>
      <c r="C296" s="6"/>
      <c r="D296" s="6"/>
      <c r="E296" s="6"/>
      <c r="F296" s="6"/>
      <c r="G296" s="6"/>
      <c r="H296" s="5" t="s">
        <v>85</v>
      </c>
      <c r="I296" s="6" t="s">
        <v>86</v>
      </c>
      <c r="J296" s="7" t="s">
        <v>1558</v>
      </c>
      <c r="K296" s="7" t="s">
        <v>1559</v>
      </c>
      <c r="L296" s="8"/>
      <c r="M296" s="5">
        <v>2010</v>
      </c>
      <c r="N296" s="10">
        <v>3179935546</v>
      </c>
      <c r="O296" s="10" t="s">
        <v>1560</v>
      </c>
      <c r="P296" s="10" t="s">
        <v>1561</v>
      </c>
      <c r="Q296" s="389" t="s">
        <v>1562</v>
      </c>
      <c r="R296" s="8" t="s">
        <v>6025</v>
      </c>
      <c r="S296" s="212" t="s">
        <v>12144</v>
      </c>
      <c r="T296" s="8" t="s">
        <v>1563</v>
      </c>
      <c r="U296" s="11" t="s">
        <v>93</v>
      </c>
      <c r="V296" s="12" t="s">
        <v>94</v>
      </c>
      <c r="W296" s="13">
        <v>42948</v>
      </c>
      <c r="X296" s="13" t="str">
        <f t="shared" ca="1" si="5"/>
        <v>9 Th, 1 Bln</v>
      </c>
      <c r="Y296" s="5" t="s">
        <v>95</v>
      </c>
      <c r="Z296" s="14"/>
      <c r="AA296" s="5" t="s">
        <v>96</v>
      </c>
      <c r="AB296" s="5" t="s">
        <v>97</v>
      </c>
      <c r="AC296" s="7" t="s">
        <v>1564</v>
      </c>
      <c r="AD296" s="131">
        <v>24</v>
      </c>
      <c r="AE296" s="131" t="s">
        <v>99</v>
      </c>
      <c r="AF296" s="7" t="s">
        <v>1155</v>
      </c>
      <c r="AG296" s="7" t="s">
        <v>140</v>
      </c>
      <c r="AH296" s="7" t="s">
        <v>141</v>
      </c>
      <c r="AI296" s="7"/>
      <c r="AJ296" s="7" t="s">
        <v>94</v>
      </c>
      <c r="AK296" s="7" t="s">
        <v>386</v>
      </c>
      <c r="AL296" s="7" t="s">
        <v>1565</v>
      </c>
      <c r="AM296" s="15" t="s">
        <v>127</v>
      </c>
      <c r="AN296" s="15" t="s">
        <v>1566</v>
      </c>
      <c r="AO296" s="8"/>
      <c r="AP296" s="8" t="s">
        <v>146</v>
      </c>
      <c r="AQ296" s="8" t="s">
        <v>107</v>
      </c>
      <c r="AR296" s="8" t="s">
        <v>108</v>
      </c>
      <c r="AS296" s="132" t="s">
        <v>1567</v>
      </c>
      <c r="AT296" s="131" t="s">
        <v>618</v>
      </c>
      <c r="AU296" s="132" t="s">
        <v>111</v>
      </c>
      <c r="AV296" s="16" t="s">
        <v>112</v>
      </c>
      <c r="AW296" s="56" t="s">
        <v>162</v>
      </c>
      <c r="AX296" s="56" t="s">
        <v>183</v>
      </c>
      <c r="AY296" s="7" t="s">
        <v>1568</v>
      </c>
      <c r="AZ296" s="10" t="s">
        <v>1569</v>
      </c>
      <c r="BA296" s="7" t="s">
        <v>94</v>
      </c>
      <c r="BB296" s="52">
        <v>32474</v>
      </c>
      <c r="BC296" s="17" t="s">
        <v>96</v>
      </c>
      <c r="BD296" s="18" t="s">
        <v>1570</v>
      </c>
      <c r="BE296" s="7" t="s">
        <v>118</v>
      </c>
      <c r="BF296" s="7" t="s">
        <v>1571</v>
      </c>
      <c r="BG296" s="7" t="s">
        <v>1572</v>
      </c>
      <c r="BH296" s="7" t="s">
        <v>1573</v>
      </c>
      <c r="BI296" s="19" t="s">
        <v>127</v>
      </c>
      <c r="BJ296" s="20" t="s">
        <v>1574</v>
      </c>
      <c r="BK296" s="21" t="s">
        <v>1575</v>
      </c>
      <c r="BL296" s="7" t="s">
        <v>1576</v>
      </c>
      <c r="BM296" s="22" t="s">
        <v>1577</v>
      </c>
      <c r="BN296" s="8" t="s">
        <v>94</v>
      </c>
      <c r="BO296" s="49">
        <v>33202</v>
      </c>
      <c r="BP296" s="17" t="s">
        <v>96</v>
      </c>
      <c r="BQ296" s="18" t="s">
        <v>1566</v>
      </c>
      <c r="BR296" s="7" t="s">
        <v>153</v>
      </c>
      <c r="BS296" s="7" t="s">
        <v>126</v>
      </c>
      <c r="BT296" s="7" t="s">
        <v>127</v>
      </c>
      <c r="BU296" s="8" t="s">
        <v>127</v>
      </c>
      <c r="BV296" s="23" t="s">
        <v>127</v>
      </c>
      <c r="BW296" s="24" t="s">
        <v>127</v>
      </c>
      <c r="BX296" s="21" t="s">
        <v>1578</v>
      </c>
      <c r="BY296" s="21" t="s">
        <v>108</v>
      </c>
      <c r="BZ296" s="21" t="s">
        <v>108</v>
      </c>
      <c r="CA296" s="21"/>
      <c r="CB296" s="21"/>
      <c r="CC296" s="21"/>
      <c r="CD296" s="21" t="s">
        <v>108</v>
      </c>
      <c r="CE296" s="21" t="s">
        <v>108</v>
      </c>
      <c r="CF296" s="21"/>
      <c r="CG296" s="21" t="s">
        <v>108</v>
      </c>
      <c r="CH296" s="21"/>
      <c r="CI296" s="21"/>
      <c r="CJ296" s="21" t="s">
        <v>108</v>
      </c>
      <c r="CK296" s="21" t="s">
        <v>108</v>
      </c>
      <c r="CL296" s="21" t="s">
        <v>108</v>
      </c>
      <c r="CM296" s="25"/>
      <c r="CN296" s="25"/>
      <c r="CO296" s="25"/>
      <c r="CP296" s="26"/>
    </row>
    <row r="297" spans="1:94" s="27" customFormat="1" ht="23.25" customHeight="1">
      <c r="A297" s="4">
        <v>184</v>
      </c>
      <c r="B297" s="6"/>
      <c r="C297" s="6"/>
      <c r="D297" s="6"/>
      <c r="E297" s="6"/>
      <c r="F297" s="6"/>
      <c r="G297" s="6"/>
      <c r="H297" s="5" t="s">
        <v>85</v>
      </c>
      <c r="I297" s="6" t="s">
        <v>86</v>
      </c>
      <c r="J297" s="7" t="s">
        <v>1579</v>
      </c>
      <c r="K297" s="7" t="s">
        <v>1580</v>
      </c>
      <c r="L297" s="8"/>
      <c r="M297" s="5">
        <v>2011</v>
      </c>
      <c r="N297" s="5">
        <v>3171575010</v>
      </c>
      <c r="O297" s="5" t="s">
        <v>1581</v>
      </c>
      <c r="P297" s="10" t="s">
        <v>1582</v>
      </c>
      <c r="Q297" s="389" t="s">
        <v>1583</v>
      </c>
      <c r="R297" s="8" t="s">
        <v>6025</v>
      </c>
      <c r="S297" s="212" t="s">
        <v>12144</v>
      </c>
      <c r="T297" s="8" t="s">
        <v>1584</v>
      </c>
      <c r="U297" s="11" t="s">
        <v>172</v>
      </c>
      <c r="V297" s="12" t="s">
        <v>94</v>
      </c>
      <c r="W297" s="13">
        <v>42819</v>
      </c>
      <c r="X297" s="13" t="str">
        <f t="shared" ca="1" si="5"/>
        <v>9 Th, 5 Bln</v>
      </c>
      <c r="Y297" s="5" t="s">
        <v>95</v>
      </c>
      <c r="Z297" s="14"/>
      <c r="AA297" s="5" t="s">
        <v>96</v>
      </c>
      <c r="AB297" s="5" t="s">
        <v>97</v>
      </c>
      <c r="AC297" s="7" t="s">
        <v>1585</v>
      </c>
      <c r="AD297" s="131" t="s">
        <v>137</v>
      </c>
      <c r="AE297" s="131" t="s">
        <v>100</v>
      </c>
      <c r="AF297" s="7" t="s">
        <v>921</v>
      </c>
      <c r="AG297" s="7" t="s">
        <v>687</v>
      </c>
      <c r="AH297" s="7" t="s">
        <v>141</v>
      </c>
      <c r="AI297" s="7"/>
      <c r="AJ297" s="7" t="s">
        <v>142</v>
      </c>
      <c r="AK297" s="7" t="s">
        <v>179</v>
      </c>
      <c r="AL297" s="7" t="s">
        <v>688</v>
      </c>
      <c r="AM297" s="15" t="s">
        <v>1586</v>
      </c>
      <c r="AN297" s="15" t="s">
        <v>1587</v>
      </c>
      <c r="AO297" s="8"/>
      <c r="AP297" s="8" t="s">
        <v>107</v>
      </c>
      <c r="AQ297" s="8" t="s">
        <v>146</v>
      </c>
      <c r="AR297" s="8" t="s">
        <v>108</v>
      </c>
      <c r="AS297" s="132" t="s">
        <v>1588</v>
      </c>
      <c r="AT297" s="131" t="s">
        <v>1589</v>
      </c>
      <c r="AU297" s="132" t="s">
        <v>149</v>
      </c>
      <c r="AV297" s="16" t="s">
        <v>112</v>
      </c>
      <c r="AW297" s="56" t="s">
        <v>1590</v>
      </c>
      <c r="AX297" s="56" t="s">
        <v>114</v>
      </c>
      <c r="AY297" s="7" t="s">
        <v>1591</v>
      </c>
      <c r="AZ297" s="10" t="s">
        <v>1592</v>
      </c>
      <c r="BA297" s="7" t="s">
        <v>94</v>
      </c>
      <c r="BB297" s="52">
        <v>31279</v>
      </c>
      <c r="BC297" s="17" t="s">
        <v>96</v>
      </c>
      <c r="BD297" s="18" t="s">
        <v>1587</v>
      </c>
      <c r="BE297" s="7" t="s">
        <v>153</v>
      </c>
      <c r="BF297" s="7" t="s">
        <v>471</v>
      </c>
      <c r="BG297" s="7" t="s">
        <v>1593</v>
      </c>
      <c r="BH297" s="7" t="s">
        <v>1594</v>
      </c>
      <c r="BI297" s="19" t="s">
        <v>127</v>
      </c>
      <c r="BJ297" s="20" t="s">
        <v>1312</v>
      </c>
      <c r="BK297" s="21" t="s">
        <v>1595</v>
      </c>
      <c r="BL297" s="7" t="s">
        <v>1596</v>
      </c>
      <c r="BM297" s="22" t="s">
        <v>1597</v>
      </c>
      <c r="BN297" s="8" t="s">
        <v>94</v>
      </c>
      <c r="BO297" s="49">
        <v>31725</v>
      </c>
      <c r="BP297" s="17" t="s">
        <v>96</v>
      </c>
      <c r="BQ297" s="18" t="s">
        <v>1598</v>
      </c>
      <c r="BR297" s="7" t="s">
        <v>118</v>
      </c>
      <c r="BS297" s="7" t="s">
        <v>471</v>
      </c>
      <c r="BT297" s="7" t="s">
        <v>1599</v>
      </c>
      <c r="BU297" s="8" t="s">
        <v>1600</v>
      </c>
      <c r="BV297" s="23">
        <v>0</v>
      </c>
      <c r="BW297" s="24" t="s">
        <v>983</v>
      </c>
      <c r="BX297" s="21" t="s">
        <v>1601</v>
      </c>
      <c r="BY297" s="21" t="s">
        <v>147</v>
      </c>
      <c r="BZ297" s="21" t="s">
        <v>147</v>
      </c>
      <c r="CA297" s="21"/>
      <c r="CB297" s="21"/>
      <c r="CC297" s="21"/>
      <c r="CD297" s="21" t="s">
        <v>108</v>
      </c>
      <c r="CE297" s="21" t="s">
        <v>108</v>
      </c>
      <c r="CF297" s="21"/>
      <c r="CG297" s="21" t="s">
        <v>108</v>
      </c>
      <c r="CH297" s="21"/>
      <c r="CI297" s="21"/>
      <c r="CJ297" s="21" t="s">
        <v>108</v>
      </c>
      <c r="CK297" s="21" t="s">
        <v>108</v>
      </c>
      <c r="CL297" s="21" t="s">
        <v>108</v>
      </c>
      <c r="CM297" s="25"/>
      <c r="CN297" s="25"/>
      <c r="CO297" s="25"/>
      <c r="CP297" s="26"/>
    </row>
    <row r="298" spans="1:94" s="27" customFormat="1" ht="23.25" customHeight="1">
      <c r="A298" s="4">
        <v>209</v>
      </c>
      <c r="B298" s="6"/>
      <c r="C298" s="6"/>
      <c r="D298" s="6"/>
      <c r="E298" s="6"/>
      <c r="F298" s="6"/>
      <c r="G298" s="6"/>
      <c r="H298" s="5" t="s">
        <v>85</v>
      </c>
      <c r="I298" s="6" t="s">
        <v>86</v>
      </c>
      <c r="J298" s="7" t="s">
        <v>2110</v>
      </c>
      <c r="K298" s="7" t="s">
        <v>2111</v>
      </c>
      <c r="L298" s="8"/>
      <c r="M298" s="5">
        <v>2002</v>
      </c>
      <c r="N298" s="5">
        <v>3176946389</v>
      </c>
      <c r="O298" s="5" t="s">
        <v>2112</v>
      </c>
      <c r="P298" s="10" t="s">
        <v>2113</v>
      </c>
      <c r="Q298" s="389" t="s">
        <v>13421</v>
      </c>
      <c r="R298" s="8" t="s">
        <v>6025</v>
      </c>
      <c r="S298" s="212" t="s">
        <v>12144</v>
      </c>
      <c r="T298" s="8" t="s">
        <v>2114</v>
      </c>
      <c r="U298" s="11" t="s">
        <v>172</v>
      </c>
      <c r="V298" s="12" t="s">
        <v>395</v>
      </c>
      <c r="W298" s="13">
        <v>43071</v>
      </c>
      <c r="X298" s="13" t="str">
        <f t="shared" ca="1" si="5"/>
        <v>8 Th, 9 Bln</v>
      </c>
      <c r="Y298" s="5" t="s">
        <v>95</v>
      </c>
      <c r="Z298" s="14"/>
      <c r="AA298" s="5" t="s">
        <v>96</v>
      </c>
      <c r="AB298" s="5" t="s">
        <v>97</v>
      </c>
      <c r="AC298" s="7" t="s">
        <v>2115</v>
      </c>
      <c r="AD298" s="131">
        <v>5</v>
      </c>
      <c r="AE298" s="131">
        <v>3</v>
      </c>
      <c r="AF298" s="7" t="s">
        <v>177</v>
      </c>
      <c r="AG298" s="7" t="s">
        <v>178</v>
      </c>
      <c r="AH298" s="7" t="s">
        <v>178</v>
      </c>
      <c r="AI298" s="7"/>
      <c r="AJ298" s="7" t="s">
        <v>94</v>
      </c>
      <c r="AK298" s="7" t="s">
        <v>104</v>
      </c>
      <c r="AL298" s="7" t="s">
        <v>2116</v>
      </c>
      <c r="AM298" s="15" t="s">
        <v>2117</v>
      </c>
      <c r="AN298" s="15" t="s">
        <v>2117</v>
      </c>
      <c r="AO298" s="8"/>
      <c r="AP298" s="8" t="s">
        <v>298</v>
      </c>
      <c r="AQ298" s="8" t="s">
        <v>107</v>
      </c>
      <c r="AR298" s="8" t="s">
        <v>108</v>
      </c>
      <c r="AS298" s="132">
        <v>20</v>
      </c>
      <c r="AT298" s="131">
        <v>110</v>
      </c>
      <c r="AU298" s="132" t="s">
        <v>182</v>
      </c>
      <c r="AV298" s="16" t="s">
        <v>112</v>
      </c>
      <c r="AW298" s="56" t="s">
        <v>150</v>
      </c>
      <c r="AX298" s="56" t="s">
        <v>114</v>
      </c>
      <c r="AY298" s="7" t="s">
        <v>2118</v>
      </c>
      <c r="AZ298" s="10" t="s">
        <v>2119</v>
      </c>
      <c r="BA298" s="7" t="s">
        <v>603</v>
      </c>
      <c r="BB298" s="52" t="s">
        <v>2120</v>
      </c>
      <c r="BC298" s="17" t="s">
        <v>96</v>
      </c>
      <c r="BD298" s="18" t="s">
        <v>2121</v>
      </c>
      <c r="BE298" s="7" t="s">
        <v>224</v>
      </c>
      <c r="BF298" s="7" t="s">
        <v>2122</v>
      </c>
      <c r="BG298" s="7" t="s">
        <v>761</v>
      </c>
      <c r="BH298" s="7" t="s">
        <v>2123</v>
      </c>
      <c r="BI298" s="19"/>
      <c r="BJ298" s="20" t="s">
        <v>122</v>
      </c>
      <c r="BK298" s="21" t="s">
        <v>2124</v>
      </c>
      <c r="BL298" s="7" t="s">
        <v>2125</v>
      </c>
      <c r="BM298" s="22" t="s">
        <v>2126</v>
      </c>
      <c r="BN298" s="8" t="s">
        <v>395</v>
      </c>
      <c r="BO298" s="49">
        <v>33165</v>
      </c>
      <c r="BP298" s="17" t="s">
        <v>96</v>
      </c>
      <c r="BQ298" s="18" t="s">
        <v>2117</v>
      </c>
      <c r="BR298" s="7" t="s">
        <v>153</v>
      </c>
      <c r="BS298" s="7" t="s">
        <v>126</v>
      </c>
      <c r="BT298" s="7" t="s">
        <v>127</v>
      </c>
      <c r="BU298" s="8" t="s">
        <v>127</v>
      </c>
      <c r="BV298" s="23" t="s">
        <v>127</v>
      </c>
      <c r="BW298" s="24" t="s">
        <v>127</v>
      </c>
      <c r="BX298" s="21" t="s">
        <v>2127</v>
      </c>
      <c r="BY298" s="21" t="s">
        <v>108</v>
      </c>
      <c r="BZ298" s="21" t="s">
        <v>108</v>
      </c>
      <c r="CA298" s="21"/>
      <c r="CB298" s="21"/>
      <c r="CC298" s="21"/>
      <c r="CD298" s="21" t="s">
        <v>108</v>
      </c>
      <c r="CE298" s="21" t="s">
        <v>108</v>
      </c>
      <c r="CF298" s="21"/>
      <c r="CG298" s="21" t="s">
        <v>108</v>
      </c>
      <c r="CH298" s="21"/>
      <c r="CI298" s="21"/>
      <c r="CJ298" s="21" t="s">
        <v>108</v>
      </c>
      <c r="CK298" s="21" t="s">
        <v>108</v>
      </c>
      <c r="CL298" s="21" t="s">
        <v>108</v>
      </c>
      <c r="CM298" s="25"/>
      <c r="CN298" s="25"/>
      <c r="CO298" s="25"/>
      <c r="CP298" s="26"/>
    </row>
    <row r="299" spans="1:94" s="119" customFormat="1" ht="23.25" customHeight="1">
      <c r="A299" s="481"/>
      <c r="B299" s="482"/>
      <c r="C299" s="482"/>
      <c r="D299" s="482"/>
      <c r="E299" s="482"/>
      <c r="F299" s="482"/>
      <c r="G299" s="482"/>
      <c r="H299" s="303" t="s">
        <v>13590</v>
      </c>
      <c r="I299" s="482" t="s">
        <v>4774</v>
      </c>
      <c r="J299" s="483" t="s">
        <v>13591</v>
      </c>
      <c r="K299" s="483" t="s">
        <v>13592</v>
      </c>
      <c r="L299" s="48"/>
      <c r="M299" s="303">
        <v>2329</v>
      </c>
      <c r="N299" s="303">
        <v>3177579734</v>
      </c>
      <c r="O299" s="484" t="s">
        <v>13600</v>
      </c>
      <c r="P299" s="484" t="s">
        <v>13601</v>
      </c>
      <c r="Q299" s="395" t="s">
        <v>13593</v>
      </c>
      <c r="R299" s="48" t="s">
        <v>6025</v>
      </c>
      <c r="S299" s="300" t="s">
        <v>12144</v>
      </c>
      <c r="T299" s="48" t="s">
        <v>13594</v>
      </c>
      <c r="U299" s="485" t="s">
        <v>172</v>
      </c>
      <c r="V299" s="486" t="s">
        <v>653</v>
      </c>
      <c r="W299" s="487">
        <v>42893</v>
      </c>
      <c r="X299" s="487" t="str">
        <f t="shared" ca="1" si="5"/>
        <v>9 Th, 3 Bln</v>
      </c>
      <c r="Y299" s="303"/>
      <c r="Z299" s="488"/>
      <c r="AA299" s="303" t="s">
        <v>96</v>
      </c>
      <c r="AB299" s="303" t="s">
        <v>97</v>
      </c>
      <c r="AC299" s="483" t="s">
        <v>13595</v>
      </c>
      <c r="AD299" s="489">
        <v>2</v>
      </c>
      <c r="AE299" s="489">
        <v>4</v>
      </c>
      <c r="AF299" s="483" t="s">
        <v>13596</v>
      </c>
      <c r="AG299" s="483" t="s">
        <v>13597</v>
      </c>
      <c r="AH299" s="483" t="s">
        <v>141</v>
      </c>
      <c r="AI299" s="483"/>
      <c r="AJ299" s="483" t="s">
        <v>13598</v>
      </c>
      <c r="AK299" s="483"/>
      <c r="AL299" s="483"/>
      <c r="AM299" s="490"/>
      <c r="AN299" s="490"/>
      <c r="AO299" s="48"/>
      <c r="AP299" s="48">
        <v>3</v>
      </c>
      <c r="AQ299" s="48">
        <v>0</v>
      </c>
      <c r="AR299" s="48"/>
      <c r="AS299" s="491">
        <v>51</v>
      </c>
      <c r="AT299" s="489"/>
      <c r="AU299" s="491"/>
      <c r="AV299" s="492"/>
      <c r="AW299" s="493"/>
      <c r="AX299" s="493"/>
      <c r="AY299" s="483" t="s">
        <v>13599</v>
      </c>
      <c r="AZ299" s="484" t="s">
        <v>13602</v>
      </c>
      <c r="BA299" s="483" t="s">
        <v>469</v>
      </c>
      <c r="BB299" s="494">
        <v>32901</v>
      </c>
      <c r="BC299" s="495" t="s">
        <v>96</v>
      </c>
      <c r="BD299" s="496" t="s">
        <v>13603</v>
      </c>
      <c r="BE299" s="483" t="s">
        <v>118</v>
      </c>
      <c r="BF299" s="483" t="s">
        <v>247</v>
      </c>
      <c r="BG299" s="483" t="s">
        <v>247</v>
      </c>
      <c r="BH299" s="483" t="s">
        <v>13604</v>
      </c>
      <c r="BI299" s="497"/>
      <c r="BJ299" s="306">
        <v>30000000</v>
      </c>
      <c r="BK299" s="498" t="s">
        <v>13605</v>
      </c>
      <c r="BL299" s="483" t="s">
        <v>13606</v>
      </c>
      <c r="BM299" s="499" t="s">
        <v>13607</v>
      </c>
      <c r="BN299" s="48" t="s">
        <v>469</v>
      </c>
      <c r="BO299" s="500">
        <v>32655</v>
      </c>
      <c r="BP299" s="495" t="s">
        <v>96</v>
      </c>
      <c r="BQ299" s="496" t="s">
        <v>13608</v>
      </c>
      <c r="BR299" s="483" t="s">
        <v>118</v>
      </c>
      <c r="BS299" s="483" t="s">
        <v>126</v>
      </c>
      <c r="BT299" s="483"/>
      <c r="BU299" s="48"/>
      <c r="BV299" s="501"/>
      <c r="BW299" s="502"/>
      <c r="BX299" s="498" t="s">
        <v>13609</v>
      </c>
      <c r="BY299" s="503"/>
      <c r="BZ299" s="503"/>
      <c r="CA299" s="503"/>
      <c r="CB299" s="503"/>
      <c r="CC299" s="503"/>
      <c r="CD299" s="503"/>
      <c r="CE299" s="503"/>
      <c r="CF299" s="503"/>
      <c r="CG299" s="503"/>
      <c r="CH299" s="503"/>
      <c r="CI299" s="503"/>
      <c r="CJ299" s="503"/>
      <c r="CK299" s="503"/>
      <c r="CL299" s="503"/>
      <c r="CM299" s="117"/>
      <c r="CN299" s="117"/>
      <c r="CO299" s="117"/>
      <c r="CP299" s="118"/>
    </row>
    <row r="300" spans="1:94" s="27" customFormat="1" ht="23.25" customHeight="1">
      <c r="A300" s="4">
        <v>214</v>
      </c>
      <c r="B300" s="6"/>
      <c r="C300" s="6"/>
      <c r="D300" s="6"/>
      <c r="E300" s="6"/>
      <c r="F300" s="6"/>
      <c r="G300" s="6"/>
      <c r="H300" s="5" t="s">
        <v>85</v>
      </c>
      <c r="I300" s="6" t="s">
        <v>86</v>
      </c>
      <c r="J300" s="7" t="s">
        <v>1752</v>
      </c>
      <c r="K300" s="7" t="s">
        <v>2221</v>
      </c>
      <c r="L300" s="8"/>
      <c r="M300" s="5">
        <v>2018</v>
      </c>
      <c r="N300" s="5">
        <v>3183680187</v>
      </c>
      <c r="O300" s="5"/>
      <c r="P300" s="10" t="s">
        <v>2222</v>
      </c>
      <c r="Q300" s="389" t="s">
        <v>2223</v>
      </c>
      <c r="R300" s="8" t="s">
        <v>6025</v>
      </c>
      <c r="S300" s="212" t="s">
        <v>12144</v>
      </c>
      <c r="T300" s="8" t="s">
        <v>2224</v>
      </c>
      <c r="U300" s="11" t="s">
        <v>93</v>
      </c>
      <c r="V300" s="12" t="s">
        <v>94</v>
      </c>
      <c r="W300" s="13">
        <v>43101</v>
      </c>
      <c r="X300" s="13" t="str">
        <f t="shared" ca="1" si="5"/>
        <v>8 Th, 8 Bln</v>
      </c>
      <c r="Y300" s="5" t="s">
        <v>95</v>
      </c>
      <c r="Z300" s="14"/>
      <c r="AA300" s="5" t="s">
        <v>96</v>
      </c>
      <c r="AB300" s="5" t="s">
        <v>97</v>
      </c>
      <c r="AC300" s="7" t="s">
        <v>2225</v>
      </c>
      <c r="AD300" s="131">
        <v>13</v>
      </c>
      <c r="AE300" s="131" t="s">
        <v>100</v>
      </c>
      <c r="AF300" s="7" t="s">
        <v>1070</v>
      </c>
      <c r="AG300" s="7" t="s">
        <v>2226</v>
      </c>
      <c r="AH300" s="7" t="s">
        <v>141</v>
      </c>
      <c r="AI300" s="7"/>
      <c r="AJ300" s="7" t="s">
        <v>263</v>
      </c>
      <c r="AK300" s="7" t="s">
        <v>179</v>
      </c>
      <c r="AL300" s="7" t="s">
        <v>107</v>
      </c>
      <c r="AM300" s="15" t="s">
        <v>2227</v>
      </c>
      <c r="AN300" s="15" t="s">
        <v>2228</v>
      </c>
      <c r="AO300" s="8"/>
      <c r="AP300" s="8" t="s">
        <v>107</v>
      </c>
      <c r="AQ300" s="8" t="s">
        <v>298</v>
      </c>
      <c r="AR300" s="8" t="s">
        <v>108</v>
      </c>
      <c r="AS300" s="132">
        <v>20</v>
      </c>
      <c r="AT300" s="131">
        <v>128</v>
      </c>
      <c r="AU300" s="132" t="s">
        <v>498</v>
      </c>
      <c r="AV300" s="16" t="s">
        <v>112</v>
      </c>
      <c r="AW300" s="56" t="s">
        <v>113</v>
      </c>
      <c r="AX300" s="56" t="s">
        <v>2229</v>
      </c>
      <c r="AY300" s="7" t="s">
        <v>2230</v>
      </c>
      <c r="AZ300" s="10" t="s">
        <v>2231</v>
      </c>
      <c r="BA300" s="7" t="s">
        <v>94</v>
      </c>
      <c r="BB300" s="52">
        <v>31792</v>
      </c>
      <c r="BC300" s="17" t="s">
        <v>96</v>
      </c>
      <c r="BD300" s="18" t="s">
        <v>2228</v>
      </c>
      <c r="BE300" s="7" t="s">
        <v>118</v>
      </c>
      <c r="BF300" s="7" t="s">
        <v>195</v>
      </c>
      <c r="BG300" s="7" t="s">
        <v>195</v>
      </c>
      <c r="BH300" s="7" t="s">
        <v>2232</v>
      </c>
      <c r="BI300" s="19"/>
      <c r="BJ300" s="20">
        <v>12000000</v>
      </c>
      <c r="BK300" s="21" t="s">
        <v>2233</v>
      </c>
      <c r="BL300" s="7" t="s">
        <v>2234</v>
      </c>
      <c r="BM300" s="22" t="s">
        <v>2235</v>
      </c>
      <c r="BN300" s="8" t="s">
        <v>94</v>
      </c>
      <c r="BO300" s="49">
        <v>33727</v>
      </c>
      <c r="BP300" s="17" t="s">
        <v>96</v>
      </c>
      <c r="BQ300" s="18" t="s">
        <v>2227</v>
      </c>
      <c r="BR300" s="7" t="s">
        <v>118</v>
      </c>
      <c r="BS300" s="7" t="s">
        <v>195</v>
      </c>
      <c r="BT300" s="7" t="s">
        <v>195</v>
      </c>
      <c r="BU300" s="8" t="s">
        <v>2232</v>
      </c>
      <c r="BV300" s="23"/>
      <c r="BW300" s="24">
        <v>0</v>
      </c>
      <c r="BX300" s="21"/>
      <c r="BY300" s="21" t="s">
        <v>108</v>
      </c>
      <c r="BZ300" s="21" t="s">
        <v>108</v>
      </c>
      <c r="CA300" s="21"/>
      <c r="CB300" s="21"/>
      <c r="CC300" s="21"/>
      <c r="CD300" s="21" t="s">
        <v>108</v>
      </c>
      <c r="CE300" s="21" t="s">
        <v>108</v>
      </c>
      <c r="CF300" s="21"/>
      <c r="CG300" s="21" t="s">
        <v>108</v>
      </c>
      <c r="CH300" s="21"/>
      <c r="CI300" s="21"/>
      <c r="CJ300" s="21" t="s">
        <v>108</v>
      </c>
      <c r="CK300" s="21" t="s">
        <v>108</v>
      </c>
      <c r="CL300" s="21" t="s">
        <v>108</v>
      </c>
      <c r="CM300" s="25"/>
      <c r="CN300" s="25"/>
      <c r="CO300" s="25"/>
      <c r="CP300" s="26"/>
    </row>
    <row r="301" spans="1:94" s="27" customFormat="1" ht="23.25" customHeight="1">
      <c r="A301" s="4">
        <v>160</v>
      </c>
      <c r="B301" s="6"/>
      <c r="C301" s="6"/>
      <c r="D301" s="6"/>
      <c r="E301" s="6"/>
      <c r="F301" s="6"/>
      <c r="G301" s="6"/>
      <c r="H301" s="5" t="s">
        <v>85</v>
      </c>
      <c r="I301" s="6" t="s">
        <v>86</v>
      </c>
      <c r="J301" s="7" t="s">
        <v>1063</v>
      </c>
      <c r="K301" s="7" t="s">
        <v>1064</v>
      </c>
      <c r="L301" s="8"/>
      <c r="M301" s="5">
        <v>2019</v>
      </c>
      <c r="N301" s="5">
        <v>3173183273</v>
      </c>
      <c r="O301" s="5" t="s">
        <v>1065</v>
      </c>
      <c r="P301" s="10" t="s">
        <v>1066</v>
      </c>
      <c r="Q301" s="389" t="s">
        <v>1067</v>
      </c>
      <c r="R301" s="8" t="s">
        <v>6025</v>
      </c>
      <c r="S301" s="212" t="s">
        <v>12144</v>
      </c>
      <c r="T301" s="8" t="s">
        <v>1068</v>
      </c>
      <c r="U301" s="11" t="s">
        <v>172</v>
      </c>
      <c r="V301" s="12" t="s">
        <v>263</v>
      </c>
      <c r="W301" s="13">
        <v>43042</v>
      </c>
      <c r="X301" s="13" t="str">
        <f t="shared" ca="1" si="5"/>
        <v>8 Th, 10 Bln</v>
      </c>
      <c r="Y301" s="5" t="s">
        <v>95</v>
      </c>
      <c r="Z301" s="14" t="s">
        <v>127</v>
      </c>
      <c r="AA301" s="5" t="s">
        <v>96</v>
      </c>
      <c r="AB301" s="5" t="s">
        <v>97</v>
      </c>
      <c r="AC301" s="7" t="s">
        <v>1069</v>
      </c>
      <c r="AD301" s="131">
        <v>21</v>
      </c>
      <c r="AE301" s="131" t="s">
        <v>207</v>
      </c>
      <c r="AF301" s="7" t="s">
        <v>1070</v>
      </c>
      <c r="AG301" s="7" t="s">
        <v>994</v>
      </c>
      <c r="AH301" s="7" t="s">
        <v>141</v>
      </c>
      <c r="AI301" s="7"/>
      <c r="AJ301" s="7" t="s">
        <v>263</v>
      </c>
      <c r="AK301" s="7" t="s">
        <v>104</v>
      </c>
      <c r="AL301" s="7" t="s">
        <v>1071</v>
      </c>
      <c r="AM301" s="15" t="s">
        <v>127</v>
      </c>
      <c r="AN301" s="15" t="s">
        <v>1072</v>
      </c>
      <c r="AO301" s="8"/>
      <c r="AP301" s="8" t="s">
        <v>298</v>
      </c>
      <c r="AQ301" s="8" t="s">
        <v>107</v>
      </c>
      <c r="AR301" s="8" t="s">
        <v>127</v>
      </c>
      <c r="AS301" s="132">
        <v>19</v>
      </c>
      <c r="AT301" s="131">
        <v>117</v>
      </c>
      <c r="AU301" s="132" t="s">
        <v>111</v>
      </c>
      <c r="AV301" s="16" t="s">
        <v>112</v>
      </c>
      <c r="AW301" s="56" t="s">
        <v>113</v>
      </c>
      <c r="AX301" s="56" t="s">
        <v>183</v>
      </c>
      <c r="AY301" s="7" t="s">
        <v>1073</v>
      </c>
      <c r="AZ301" s="10" t="s">
        <v>1074</v>
      </c>
      <c r="BA301" s="7" t="s">
        <v>94</v>
      </c>
      <c r="BB301" s="52">
        <v>31896</v>
      </c>
      <c r="BC301" s="17" t="s">
        <v>96</v>
      </c>
      <c r="BD301" s="18" t="s">
        <v>1075</v>
      </c>
      <c r="BE301" s="7" t="s">
        <v>118</v>
      </c>
      <c r="BF301" s="7" t="s">
        <v>596</v>
      </c>
      <c r="BG301" s="7" t="s">
        <v>1076</v>
      </c>
      <c r="BH301" s="7" t="s">
        <v>1077</v>
      </c>
      <c r="BI301" s="19" t="s">
        <v>127</v>
      </c>
      <c r="BJ301" s="20" t="s">
        <v>1078</v>
      </c>
      <c r="BK301" s="21" t="s">
        <v>1079</v>
      </c>
      <c r="BL301" s="7" t="s">
        <v>1080</v>
      </c>
      <c r="BM301" s="22" t="s">
        <v>1081</v>
      </c>
      <c r="BN301" s="8" t="s">
        <v>94</v>
      </c>
      <c r="BO301" s="49">
        <v>31896</v>
      </c>
      <c r="BP301" s="17" t="s">
        <v>96</v>
      </c>
      <c r="BQ301" s="18" t="s">
        <v>1072</v>
      </c>
      <c r="BR301" s="7" t="s">
        <v>118</v>
      </c>
      <c r="BS301" s="7" t="s">
        <v>471</v>
      </c>
      <c r="BT301" s="7" t="s">
        <v>1082</v>
      </c>
      <c r="BU301" s="8" t="s">
        <v>1083</v>
      </c>
      <c r="BV301" s="23" t="s">
        <v>127</v>
      </c>
      <c r="BW301" s="24" t="s">
        <v>1084</v>
      </c>
      <c r="BX301" s="21" t="s">
        <v>1085</v>
      </c>
      <c r="BY301" s="21" t="s">
        <v>108</v>
      </c>
      <c r="BZ301" s="21" t="s">
        <v>108</v>
      </c>
      <c r="CA301" s="21"/>
      <c r="CB301" s="21"/>
      <c r="CC301" s="21"/>
      <c r="CD301" s="21" t="s">
        <v>108</v>
      </c>
      <c r="CE301" s="21" t="s">
        <v>108</v>
      </c>
      <c r="CF301" s="21"/>
      <c r="CG301" s="21" t="s">
        <v>108</v>
      </c>
      <c r="CH301" s="21"/>
      <c r="CI301" s="21"/>
      <c r="CJ301" s="21" t="s">
        <v>108</v>
      </c>
      <c r="CK301" s="21" t="s">
        <v>108</v>
      </c>
      <c r="CL301" s="21" t="s">
        <v>108</v>
      </c>
      <c r="CM301" s="25"/>
      <c r="CN301" s="25"/>
      <c r="CO301" s="25"/>
      <c r="CP301" s="26"/>
    </row>
    <row r="302" spans="1:94" s="27" customFormat="1" ht="23.25" customHeight="1">
      <c r="A302" s="4">
        <v>219</v>
      </c>
      <c r="B302" s="6"/>
      <c r="C302" s="6"/>
      <c r="D302" s="6"/>
      <c r="E302" s="6"/>
      <c r="F302" s="6"/>
      <c r="G302" s="6"/>
      <c r="H302" s="5" t="s">
        <v>85</v>
      </c>
      <c r="I302" s="6" t="s">
        <v>86</v>
      </c>
      <c r="J302" s="7" t="s">
        <v>2301</v>
      </c>
      <c r="K302" s="7" t="s">
        <v>2302</v>
      </c>
      <c r="L302" s="8"/>
      <c r="M302" s="5">
        <v>2031</v>
      </c>
      <c r="N302" s="5">
        <v>3178704702</v>
      </c>
      <c r="O302" s="5" t="s">
        <v>2303</v>
      </c>
      <c r="P302" s="10" t="s">
        <v>2304</v>
      </c>
      <c r="Q302" s="389" t="s">
        <v>2305</v>
      </c>
      <c r="R302" s="8" t="s">
        <v>6025</v>
      </c>
      <c r="S302" s="212" t="s">
        <v>12144</v>
      </c>
      <c r="T302" s="8" t="s">
        <v>2306</v>
      </c>
      <c r="U302" s="11" t="s">
        <v>172</v>
      </c>
      <c r="V302" s="12" t="s">
        <v>2307</v>
      </c>
      <c r="W302" s="13">
        <v>42995</v>
      </c>
      <c r="X302" s="13" t="str">
        <f t="shared" ca="1" si="5"/>
        <v>8 Th, 11 Bln</v>
      </c>
      <c r="Y302" s="5" t="s">
        <v>95</v>
      </c>
      <c r="Z302" s="14"/>
      <c r="AA302" s="5" t="s">
        <v>96</v>
      </c>
      <c r="AB302" s="5" t="s">
        <v>97</v>
      </c>
      <c r="AC302" s="7" t="s">
        <v>2308</v>
      </c>
      <c r="AD302" s="131" t="s">
        <v>176</v>
      </c>
      <c r="AE302" s="131" t="s">
        <v>265</v>
      </c>
      <c r="AF302" s="7" t="s">
        <v>942</v>
      </c>
      <c r="AG302" s="7" t="s">
        <v>178</v>
      </c>
      <c r="AH302" s="7" t="s">
        <v>178</v>
      </c>
      <c r="AI302" s="7"/>
      <c r="AJ302" s="7" t="s">
        <v>103</v>
      </c>
      <c r="AK302" s="7" t="s">
        <v>179</v>
      </c>
      <c r="AL302" s="7" t="s">
        <v>2309</v>
      </c>
      <c r="AM302" s="15" t="s">
        <v>2310</v>
      </c>
      <c r="AN302" s="15" t="s">
        <v>2311</v>
      </c>
      <c r="AO302" s="8"/>
      <c r="AP302" s="8" t="s">
        <v>107</v>
      </c>
      <c r="AQ302" s="8" t="s">
        <v>146</v>
      </c>
      <c r="AR302" s="8" t="s">
        <v>162</v>
      </c>
      <c r="AS302" s="132" t="s">
        <v>2312</v>
      </c>
      <c r="AT302" s="131" t="s">
        <v>127</v>
      </c>
      <c r="AU302" s="132" t="s">
        <v>149</v>
      </c>
      <c r="AV302" s="16" t="s">
        <v>112</v>
      </c>
      <c r="AW302" s="56" t="s">
        <v>392</v>
      </c>
      <c r="AX302" s="56" t="s">
        <v>183</v>
      </c>
      <c r="AY302" s="7" t="s">
        <v>2313</v>
      </c>
      <c r="AZ302" s="10" t="s">
        <v>2314</v>
      </c>
      <c r="BA302" s="7" t="s">
        <v>2315</v>
      </c>
      <c r="BB302" s="52">
        <v>29989</v>
      </c>
      <c r="BC302" s="17" t="s">
        <v>96</v>
      </c>
      <c r="BD302" s="18" t="s">
        <v>2316</v>
      </c>
      <c r="BE302" s="7" t="s">
        <v>153</v>
      </c>
      <c r="BF302" s="7" t="s">
        <v>2317</v>
      </c>
      <c r="BG302" s="7" t="s">
        <v>2318</v>
      </c>
      <c r="BH302" s="7" t="s">
        <v>2319</v>
      </c>
      <c r="BI302" s="19" t="s">
        <v>127</v>
      </c>
      <c r="BJ302" s="20" t="s">
        <v>808</v>
      </c>
      <c r="BK302" s="21" t="s">
        <v>2320</v>
      </c>
      <c r="BL302" s="7" t="s">
        <v>2321</v>
      </c>
      <c r="BM302" s="22" t="s">
        <v>2322</v>
      </c>
      <c r="BN302" s="8" t="s">
        <v>94</v>
      </c>
      <c r="BO302" s="49">
        <v>31800</v>
      </c>
      <c r="BP302" s="17" t="s">
        <v>96</v>
      </c>
      <c r="BQ302" s="18" t="s">
        <v>2311</v>
      </c>
      <c r="BR302" s="7" t="s">
        <v>118</v>
      </c>
      <c r="BS302" s="7" t="s">
        <v>554</v>
      </c>
      <c r="BT302" s="7" t="s">
        <v>2323</v>
      </c>
      <c r="BU302" s="8" t="s">
        <v>2324</v>
      </c>
      <c r="BV302" s="23" t="s">
        <v>127</v>
      </c>
      <c r="BW302" s="24" t="s">
        <v>556</v>
      </c>
      <c r="BX302" s="21" t="s">
        <v>2325</v>
      </c>
      <c r="BY302" s="21" t="s">
        <v>2326</v>
      </c>
      <c r="BZ302" s="21" t="s">
        <v>713</v>
      </c>
      <c r="CA302" s="21"/>
      <c r="CB302" s="21"/>
      <c r="CC302" s="21" t="s">
        <v>2327</v>
      </c>
      <c r="CD302" s="21" t="s">
        <v>153</v>
      </c>
      <c r="CE302" s="21" t="s">
        <v>913</v>
      </c>
      <c r="CF302" s="21" t="s">
        <v>96</v>
      </c>
      <c r="CG302" s="21" t="s">
        <v>2328</v>
      </c>
      <c r="CH302" s="21" t="s">
        <v>176</v>
      </c>
      <c r="CI302" s="21" t="s">
        <v>265</v>
      </c>
      <c r="CJ302" s="21" t="s">
        <v>942</v>
      </c>
      <c r="CK302" s="21" t="s">
        <v>178</v>
      </c>
      <c r="CL302" s="21" t="s">
        <v>94</v>
      </c>
      <c r="CM302" s="25"/>
      <c r="CN302" s="25"/>
      <c r="CO302" s="25"/>
      <c r="CP302" s="26"/>
    </row>
    <row r="303" spans="1:94" s="27" customFormat="1" ht="23.25" customHeight="1">
      <c r="A303" s="180">
        <v>145</v>
      </c>
      <c r="B303" s="181"/>
      <c r="C303" s="181"/>
      <c r="D303" s="181"/>
      <c r="E303" s="181"/>
      <c r="F303" s="181"/>
      <c r="G303" s="181"/>
      <c r="H303" s="99" t="s">
        <v>85</v>
      </c>
      <c r="I303" s="181" t="s">
        <v>86</v>
      </c>
      <c r="J303" s="182" t="s">
        <v>699</v>
      </c>
      <c r="K303" s="182" t="s">
        <v>700</v>
      </c>
      <c r="L303" s="183"/>
      <c r="M303" s="99">
        <v>2059</v>
      </c>
      <c r="N303" s="99">
        <v>3179596639</v>
      </c>
      <c r="O303" s="99" t="s">
        <v>701</v>
      </c>
      <c r="P303" s="184" t="s">
        <v>702</v>
      </c>
      <c r="Q303" s="393" t="s">
        <v>703</v>
      </c>
      <c r="R303" s="8" t="s">
        <v>6025</v>
      </c>
      <c r="S303" s="212" t="s">
        <v>12144</v>
      </c>
      <c r="T303" s="183" t="s">
        <v>704</v>
      </c>
      <c r="U303" s="185" t="s">
        <v>172</v>
      </c>
      <c r="V303" s="186" t="s">
        <v>705</v>
      </c>
      <c r="W303" s="187">
        <v>43007</v>
      </c>
      <c r="X303" s="187" t="str">
        <f t="shared" ca="1" si="5"/>
        <v>8 Th, 11 Bln</v>
      </c>
      <c r="Y303" s="99" t="s">
        <v>95</v>
      </c>
      <c r="Z303" s="188"/>
      <c r="AA303" s="99" t="s">
        <v>96</v>
      </c>
      <c r="AB303" s="99" t="s">
        <v>97</v>
      </c>
      <c r="AC303" s="182" t="s">
        <v>706</v>
      </c>
      <c r="AD303" s="189">
        <v>43</v>
      </c>
      <c r="AE303" s="189">
        <v>10</v>
      </c>
      <c r="AF303" s="182" t="s">
        <v>707</v>
      </c>
      <c r="AG303" s="182" t="s">
        <v>140</v>
      </c>
      <c r="AH303" s="182" t="s">
        <v>141</v>
      </c>
      <c r="AI303" s="182"/>
      <c r="AJ303" s="182" t="s">
        <v>94</v>
      </c>
      <c r="AK303" s="182" t="s">
        <v>104</v>
      </c>
      <c r="AL303" s="182" t="s">
        <v>708</v>
      </c>
      <c r="AM303" s="190" t="s">
        <v>709</v>
      </c>
      <c r="AN303" s="190" t="s">
        <v>710</v>
      </c>
      <c r="AO303" s="183"/>
      <c r="AP303" s="183" t="s">
        <v>146</v>
      </c>
      <c r="AQ303" s="183" t="s">
        <v>146</v>
      </c>
      <c r="AR303" s="183" t="s">
        <v>147</v>
      </c>
      <c r="AS303" s="191">
        <v>15</v>
      </c>
      <c r="AT303" s="189">
        <v>110</v>
      </c>
      <c r="AU303" s="191" t="s">
        <v>149</v>
      </c>
      <c r="AV303" s="192" t="s">
        <v>112</v>
      </c>
      <c r="AW303" s="193" t="s">
        <v>113</v>
      </c>
      <c r="AX303" s="193" t="s">
        <v>114</v>
      </c>
      <c r="AY303" s="182" t="s">
        <v>711</v>
      </c>
      <c r="AZ303" s="184" t="s">
        <v>712</v>
      </c>
      <c r="BA303" s="182" t="s">
        <v>713</v>
      </c>
      <c r="BB303" s="194">
        <v>33006</v>
      </c>
      <c r="BC303" s="195" t="s">
        <v>96</v>
      </c>
      <c r="BD303" s="196" t="s">
        <v>709</v>
      </c>
      <c r="BE303" s="182" t="s">
        <v>224</v>
      </c>
      <c r="BF303" s="182" t="s">
        <v>714</v>
      </c>
      <c r="BG303" s="182" t="s">
        <v>226</v>
      </c>
      <c r="BH303" s="182" t="s">
        <v>715</v>
      </c>
      <c r="BI303" s="197"/>
      <c r="BJ303" s="198">
        <v>10000000</v>
      </c>
      <c r="BK303" s="199" t="s">
        <v>716</v>
      </c>
      <c r="BL303" s="182" t="s">
        <v>717</v>
      </c>
      <c r="BM303" s="200" t="s">
        <v>718</v>
      </c>
      <c r="BN303" s="183" t="s">
        <v>719</v>
      </c>
      <c r="BO303" s="201">
        <v>33329</v>
      </c>
      <c r="BP303" s="195" t="s">
        <v>96</v>
      </c>
      <c r="BQ303" s="196" t="s">
        <v>710</v>
      </c>
      <c r="BR303" s="182" t="s">
        <v>153</v>
      </c>
      <c r="BS303" s="182" t="s">
        <v>154</v>
      </c>
      <c r="BT303" s="182" t="s">
        <v>720</v>
      </c>
      <c r="BU303" s="183" t="s">
        <v>721</v>
      </c>
      <c r="BV303" s="202" t="s">
        <v>722</v>
      </c>
      <c r="BW303" s="203">
        <v>2500000</v>
      </c>
      <c r="BX303" s="199" t="s">
        <v>723</v>
      </c>
      <c r="BY303" s="199" t="s">
        <v>108</v>
      </c>
      <c r="BZ303" s="199" t="s">
        <v>108</v>
      </c>
      <c r="CA303" s="199"/>
      <c r="CB303" s="199"/>
      <c r="CC303" s="199"/>
      <c r="CD303" s="199" t="s">
        <v>108</v>
      </c>
      <c r="CE303" s="199" t="s">
        <v>108</v>
      </c>
      <c r="CF303" s="199"/>
      <c r="CG303" s="199" t="s">
        <v>108</v>
      </c>
      <c r="CH303" s="199"/>
      <c r="CI303" s="199"/>
      <c r="CJ303" s="199" t="s">
        <v>108</v>
      </c>
      <c r="CK303" s="199" t="s">
        <v>108</v>
      </c>
      <c r="CL303" s="199" t="s">
        <v>108</v>
      </c>
      <c r="CM303" s="25"/>
      <c r="CN303" s="25"/>
      <c r="CO303" s="25"/>
      <c r="CP303" s="26"/>
    </row>
    <row r="304" spans="1:94" s="204" customFormat="1">
      <c r="H304" s="309">
        <v>46207</v>
      </c>
      <c r="I304" s="204" t="s">
        <v>4774</v>
      </c>
      <c r="J304" s="204" t="s">
        <v>13344</v>
      </c>
      <c r="K304" s="204" t="s">
        <v>13345</v>
      </c>
      <c r="M304" s="206">
        <v>2325</v>
      </c>
      <c r="N304" s="204">
        <v>3175146157</v>
      </c>
      <c r="O304" s="311" t="s">
        <v>13346</v>
      </c>
      <c r="P304" s="310" t="s">
        <v>13347</v>
      </c>
      <c r="Q304" s="291" t="s">
        <v>12134</v>
      </c>
      <c r="R304" s="48" t="s">
        <v>6025</v>
      </c>
      <c r="S304" s="300" t="s">
        <v>12144</v>
      </c>
      <c r="T304" s="204" t="s">
        <v>1738</v>
      </c>
      <c r="U304" s="204" t="s">
        <v>93</v>
      </c>
      <c r="V304" s="204" t="s">
        <v>94</v>
      </c>
      <c r="W304" s="309">
        <v>42976</v>
      </c>
      <c r="X304" s="204" t="str">
        <f t="shared" ca="1" si="5"/>
        <v>9 Th, 0 Bln</v>
      </c>
      <c r="AC304" s="204" t="s">
        <v>13348</v>
      </c>
      <c r="AD304" s="206"/>
      <c r="AE304" s="206"/>
      <c r="AF304" s="204" t="s">
        <v>319</v>
      </c>
      <c r="AG304" s="204" t="s">
        <v>140</v>
      </c>
      <c r="AH304" s="204" t="s">
        <v>141</v>
      </c>
      <c r="AJ304" s="204" t="s">
        <v>142</v>
      </c>
      <c r="AO304" s="206"/>
      <c r="AP304" s="206"/>
      <c r="AQ304" s="206"/>
      <c r="AR304" s="206"/>
      <c r="AS304" s="206"/>
      <c r="AT304" s="206"/>
      <c r="AU304" s="206"/>
      <c r="AW304" s="205"/>
      <c r="AX304" s="205"/>
      <c r="AY304" s="205" t="s">
        <v>13349</v>
      </c>
      <c r="AZ304" s="360" t="s">
        <v>13350</v>
      </c>
      <c r="BA304" s="204" t="s">
        <v>94</v>
      </c>
      <c r="BB304" s="207">
        <v>31773</v>
      </c>
      <c r="BD304" s="361" t="s">
        <v>13351</v>
      </c>
      <c r="BE304" s="360" t="s">
        <v>118</v>
      </c>
      <c r="BF304" s="204" t="s">
        <v>554</v>
      </c>
      <c r="BG304" s="204" t="s">
        <v>13352</v>
      </c>
      <c r="BH304" s="204" t="s">
        <v>13353</v>
      </c>
      <c r="BI304" s="362" t="s">
        <v>13354</v>
      </c>
      <c r="BJ304" s="204">
        <v>14000000</v>
      </c>
      <c r="BK304" s="360" t="s">
        <v>13355</v>
      </c>
      <c r="BL304" s="208" t="s">
        <v>13356</v>
      </c>
      <c r="BM304" s="362" t="s">
        <v>13357</v>
      </c>
      <c r="BN304" s="362" t="s">
        <v>7247</v>
      </c>
      <c r="BO304" s="363">
        <v>33237</v>
      </c>
      <c r="BQ304" s="360" t="s">
        <v>13358</v>
      </c>
      <c r="BR304" s="360" t="s">
        <v>118</v>
      </c>
      <c r="BS304" s="360" t="s">
        <v>7622</v>
      </c>
      <c r="BT304" s="360" t="s">
        <v>13359</v>
      </c>
      <c r="BU304" s="360" t="s">
        <v>13360</v>
      </c>
      <c r="BW304" s="204">
        <v>3000000</v>
      </c>
    </row>
    <row r="305" spans="1:94" s="27" customFormat="1" ht="23.25" customHeight="1">
      <c r="A305" s="4">
        <v>144</v>
      </c>
      <c r="B305" s="28"/>
      <c r="C305" s="28"/>
      <c r="D305" s="28"/>
      <c r="E305" s="28"/>
      <c r="F305" s="28"/>
      <c r="G305" s="28"/>
      <c r="H305" s="29" t="s">
        <v>85</v>
      </c>
      <c r="I305" s="28" t="s">
        <v>86</v>
      </c>
      <c r="J305" s="30" t="s">
        <v>678</v>
      </c>
      <c r="K305" s="30" t="s">
        <v>679</v>
      </c>
      <c r="L305" s="31"/>
      <c r="M305" s="29">
        <v>2057</v>
      </c>
      <c r="N305" s="29">
        <v>3179426244</v>
      </c>
      <c r="O305" s="29" t="s">
        <v>680</v>
      </c>
      <c r="P305" s="32" t="s">
        <v>681</v>
      </c>
      <c r="Q305" s="390" t="s">
        <v>682</v>
      </c>
      <c r="R305" s="31" t="s">
        <v>6025</v>
      </c>
      <c r="S305" s="339" t="s">
        <v>12144</v>
      </c>
      <c r="T305" s="31" t="s">
        <v>683</v>
      </c>
      <c r="U305" s="33" t="s">
        <v>93</v>
      </c>
      <c r="V305" s="34" t="s">
        <v>94</v>
      </c>
      <c r="W305" s="35">
        <v>43004</v>
      </c>
      <c r="X305" s="35" t="str">
        <f ca="1">""&amp;DATEDIF(W305,TODAY(),"y")&amp;" Th, "&amp;DATEDIF(W305,TODAY(),"ym")&amp;" Bln"</f>
        <v>8 Th, 11 Bln</v>
      </c>
      <c r="Y305" s="31" t="s">
        <v>425</v>
      </c>
      <c r="Z305" s="36" t="s">
        <v>684</v>
      </c>
      <c r="AA305" s="31" t="s">
        <v>96</v>
      </c>
      <c r="AB305" s="31" t="s">
        <v>97</v>
      </c>
      <c r="AC305" s="30" t="s">
        <v>685</v>
      </c>
      <c r="AD305" s="129" t="s">
        <v>176</v>
      </c>
      <c r="AE305" s="129" t="s">
        <v>358</v>
      </c>
      <c r="AF305" s="30" t="s">
        <v>686</v>
      </c>
      <c r="AG305" s="30" t="s">
        <v>687</v>
      </c>
      <c r="AH305" s="30" t="s">
        <v>141</v>
      </c>
      <c r="AI305" s="30"/>
      <c r="AJ305" s="30" t="s">
        <v>94</v>
      </c>
      <c r="AK305" s="30" t="s">
        <v>179</v>
      </c>
      <c r="AL305" s="30" t="s">
        <v>688</v>
      </c>
      <c r="AM305" s="37" t="s">
        <v>689</v>
      </c>
      <c r="AN305" s="37" t="s">
        <v>689</v>
      </c>
      <c r="AO305" s="31"/>
      <c r="AP305" s="31" t="s">
        <v>146</v>
      </c>
      <c r="AQ305" s="31" t="s">
        <v>147</v>
      </c>
      <c r="AR305" s="31" t="s">
        <v>147</v>
      </c>
      <c r="AS305" s="130">
        <v>29</v>
      </c>
      <c r="AT305" s="129">
        <v>122</v>
      </c>
      <c r="AU305" s="130" t="s">
        <v>111</v>
      </c>
      <c r="AV305" s="38" t="s">
        <v>112</v>
      </c>
      <c r="AW305" s="123" t="s">
        <v>162</v>
      </c>
      <c r="AX305" s="123" t="s">
        <v>114</v>
      </c>
      <c r="AY305" s="30" t="s">
        <v>690</v>
      </c>
      <c r="AZ305" s="32" t="s">
        <v>691</v>
      </c>
      <c r="BA305" s="30" t="s">
        <v>94</v>
      </c>
      <c r="BB305" s="53">
        <v>31662</v>
      </c>
      <c r="BC305" s="39" t="s">
        <v>96</v>
      </c>
      <c r="BD305" s="40" t="s">
        <v>692</v>
      </c>
      <c r="BE305" s="30" t="s">
        <v>118</v>
      </c>
      <c r="BF305" s="30" t="s">
        <v>327</v>
      </c>
      <c r="BG305" s="30" t="s">
        <v>693</v>
      </c>
      <c r="BH305" s="30" t="s">
        <v>694</v>
      </c>
      <c r="BI305" s="41"/>
      <c r="BJ305" s="42" t="s">
        <v>190</v>
      </c>
      <c r="BK305" s="43"/>
      <c r="BL305" s="30" t="s">
        <v>695</v>
      </c>
      <c r="BM305" s="44" t="s">
        <v>696</v>
      </c>
      <c r="BN305" s="125" t="s">
        <v>444</v>
      </c>
      <c r="BO305" s="50">
        <v>34241</v>
      </c>
      <c r="BP305" s="39" t="s">
        <v>96</v>
      </c>
      <c r="BQ305" s="40" t="s">
        <v>689</v>
      </c>
      <c r="BR305" s="30" t="s">
        <v>118</v>
      </c>
      <c r="BS305" s="30" t="s">
        <v>471</v>
      </c>
      <c r="BT305" s="30" t="s">
        <v>226</v>
      </c>
      <c r="BU305" s="30" t="s">
        <v>697</v>
      </c>
      <c r="BV305" s="45"/>
      <c r="BW305" s="46" t="s">
        <v>698</v>
      </c>
      <c r="BX305" s="47"/>
      <c r="BY305" s="47" t="s">
        <v>108</v>
      </c>
      <c r="BZ305" s="47" t="s">
        <v>108</v>
      </c>
      <c r="CA305" s="47"/>
      <c r="CB305" s="47"/>
      <c r="CC305" s="47"/>
      <c r="CD305" s="47" t="s">
        <v>108</v>
      </c>
      <c r="CE305" s="47" t="s">
        <v>108</v>
      </c>
      <c r="CF305" s="47"/>
      <c r="CG305" s="47" t="s">
        <v>108</v>
      </c>
      <c r="CH305" s="47"/>
      <c r="CI305" s="47"/>
      <c r="CJ305" s="47" t="s">
        <v>108</v>
      </c>
      <c r="CK305" s="47" t="s">
        <v>108</v>
      </c>
      <c r="CL305" s="47" t="s">
        <v>108</v>
      </c>
      <c r="CM305" s="25"/>
      <c r="CN305" s="25"/>
      <c r="CO305" s="25"/>
      <c r="CP305" s="26"/>
    </row>
    <row r="306" spans="1:94" s="87" customFormat="1" ht="23.25" customHeight="1">
      <c r="A306" s="175"/>
      <c r="B306" s="61"/>
      <c r="C306" s="61"/>
      <c r="D306" s="61"/>
      <c r="E306" s="61"/>
      <c r="F306" s="61"/>
      <c r="G306" s="61"/>
      <c r="H306" s="210" t="s">
        <v>11620</v>
      </c>
      <c r="I306" s="61" t="s">
        <v>4774</v>
      </c>
      <c r="J306" s="63" t="s">
        <v>11514</v>
      </c>
      <c r="K306" s="63" t="s">
        <v>11515</v>
      </c>
      <c r="L306" s="64"/>
      <c r="M306" s="62">
        <v>2219</v>
      </c>
      <c r="N306" s="66" t="s">
        <v>11621</v>
      </c>
      <c r="O306" s="211" t="s">
        <v>11519</v>
      </c>
      <c r="P306" s="211" t="s">
        <v>11520</v>
      </c>
      <c r="Q306" s="391" t="s">
        <v>11516</v>
      </c>
      <c r="R306" s="64" t="s">
        <v>6591</v>
      </c>
      <c r="S306" s="212" t="s">
        <v>12145</v>
      </c>
      <c r="T306" s="64" t="s">
        <v>11517</v>
      </c>
      <c r="U306" s="67" t="s">
        <v>172</v>
      </c>
      <c r="V306" s="68" t="s">
        <v>94</v>
      </c>
      <c r="W306" s="69" t="s">
        <v>11518</v>
      </c>
      <c r="X306" s="69" t="s">
        <v>11521</v>
      </c>
      <c r="Y306" s="62" t="s">
        <v>95</v>
      </c>
      <c r="Z306" s="14"/>
      <c r="AA306" s="62" t="s">
        <v>96</v>
      </c>
      <c r="AB306" s="62" t="s">
        <v>97</v>
      </c>
      <c r="AC306" s="63" t="s">
        <v>11522</v>
      </c>
      <c r="AD306" s="133">
        <v>18</v>
      </c>
      <c r="AE306" s="133">
        <v>1</v>
      </c>
      <c r="AF306" s="63" t="s">
        <v>177</v>
      </c>
      <c r="AG306" s="63" t="s">
        <v>178</v>
      </c>
      <c r="AH306" s="63" t="s">
        <v>94</v>
      </c>
      <c r="AI306" s="63"/>
      <c r="AJ306" s="63" t="s">
        <v>103</v>
      </c>
      <c r="AK306" s="63" t="s">
        <v>104</v>
      </c>
      <c r="AL306" s="63" t="s">
        <v>11523</v>
      </c>
      <c r="AM306" s="71" t="s">
        <v>127</v>
      </c>
      <c r="AN306" s="71" t="s">
        <v>11524</v>
      </c>
      <c r="AO306" s="64">
        <v>1</v>
      </c>
      <c r="AP306" s="64">
        <v>1</v>
      </c>
      <c r="AQ306" s="64"/>
      <c r="AR306" s="64"/>
      <c r="AS306" s="134"/>
      <c r="AT306" s="133"/>
      <c r="AU306" s="134"/>
      <c r="AV306" s="73" t="s">
        <v>112</v>
      </c>
      <c r="AW306" s="135"/>
      <c r="AX306" s="135" t="s">
        <v>11619</v>
      </c>
      <c r="AY306" s="63" t="s">
        <v>11525</v>
      </c>
      <c r="AZ306" s="66" t="s">
        <v>11526</v>
      </c>
      <c r="BA306" s="63" t="s">
        <v>94</v>
      </c>
      <c r="BB306" s="213">
        <v>33442</v>
      </c>
      <c r="BC306" s="75" t="s">
        <v>96</v>
      </c>
      <c r="BD306" s="76" t="s">
        <v>11524</v>
      </c>
      <c r="BE306" s="63" t="s">
        <v>224</v>
      </c>
      <c r="BF306" s="63" t="s">
        <v>11527</v>
      </c>
      <c r="BG306" s="63" t="s">
        <v>768</v>
      </c>
      <c r="BH306" s="63" t="s">
        <v>6227</v>
      </c>
      <c r="BI306" s="78"/>
      <c r="BJ306" s="96">
        <v>8000000</v>
      </c>
      <c r="BK306" s="90" t="s">
        <v>11528</v>
      </c>
      <c r="BL306" s="63" t="s">
        <v>11529</v>
      </c>
      <c r="BM306" s="97" t="s">
        <v>11530</v>
      </c>
      <c r="BN306" s="64" t="s">
        <v>94</v>
      </c>
      <c r="BO306" s="214">
        <v>35404</v>
      </c>
      <c r="BP306" s="75" t="s">
        <v>96</v>
      </c>
      <c r="BQ306" s="76" t="s">
        <v>11531</v>
      </c>
      <c r="BR306" s="63" t="s">
        <v>118</v>
      </c>
      <c r="BS306" s="63" t="s">
        <v>126</v>
      </c>
      <c r="BT306" s="77" t="s">
        <v>127</v>
      </c>
      <c r="BU306" s="64" t="s">
        <v>11522</v>
      </c>
      <c r="BV306" s="98" t="s">
        <v>11531</v>
      </c>
      <c r="BW306" s="94" t="s">
        <v>127</v>
      </c>
      <c r="BX306" s="90" t="s">
        <v>11532</v>
      </c>
      <c r="BY306" s="91" t="s">
        <v>127</v>
      </c>
      <c r="BZ306" s="91" t="s">
        <v>127</v>
      </c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5"/>
      <c r="CN306" s="85"/>
      <c r="CO306" s="85"/>
      <c r="CP306" s="86"/>
    </row>
    <row r="307" spans="1:94" s="27" customFormat="1" ht="23.25" customHeight="1">
      <c r="A307" s="4">
        <v>122</v>
      </c>
      <c r="B307" s="6"/>
      <c r="C307" s="6"/>
      <c r="D307" s="6"/>
      <c r="E307" s="6"/>
      <c r="F307" s="6"/>
      <c r="G307" s="6"/>
      <c r="H307" s="5" t="s">
        <v>85</v>
      </c>
      <c r="I307" s="6" t="s">
        <v>86</v>
      </c>
      <c r="J307" s="7" t="s">
        <v>129</v>
      </c>
      <c r="K307" s="7" t="s">
        <v>130</v>
      </c>
      <c r="L307" s="8"/>
      <c r="M307" s="5">
        <v>1967</v>
      </c>
      <c r="N307" s="5">
        <v>3187878968</v>
      </c>
      <c r="O307" s="5" t="s">
        <v>131</v>
      </c>
      <c r="P307" s="10" t="s">
        <v>132</v>
      </c>
      <c r="Q307" s="389" t="s">
        <v>133</v>
      </c>
      <c r="R307" s="64" t="s">
        <v>6591</v>
      </c>
      <c r="S307" s="212" t="s">
        <v>12145</v>
      </c>
      <c r="T307" s="8" t="s">
        <v>134</v>
      </c>
      <c r="U307" s="11" t="s">
        <v>93</v>
      </c>
      <c r="V307" s="12" t="s">
        <v>135</v>
      </c>
      <c r="W307" s="13">
        <v>43260</v>
      </c>
      <c r="X307" s="13" t="str">
        <f t="shared" ref="X307:X316" ca="1" si="6">""&amp;DATEDIF(W307,TODAY(),"y")&amp;" Th, "&amp;DATEDIF(W307,TODAY(),"ym")&amp;" Bln"</f>
        <v>8 Th, 3 Bln</v>
      </c>
      <c r="Y307" s="5" t="s">
        <v>95</v>
      </c>
      <c r="Z307" s="14"/>
      <c r="AA307" s="5" t="s">
        <v>96</v>
      </c>
      <c r="AB307" s="5" t="s">
        <v>97</v>
      </c>
      <c r="AC307" s="7" t="s">
        <v>136</v>
      </c>
      <c r="AD307" s="131" t="s">
        <v>137</v>
      </c>
      <c r="AE307" s="131" t="s">
        <v>138</v>
      </c>
      <c r="AF307" s="7" t="s">
        <v>139</v>
      </c>
      <c r="AG307" s="7" t="s">
        <v>140</v>
      </c>
      <c r="AH307" s="7" t="s">
        <v>141</v>
      </c>
      <c r="AI307" s="7"/>
      <c r="AJ307" s="7" t="s">
        <v>142</v>
      </c>
      <c r="AK307" s="7" t="s">
        <v>104</v>
      </c>
      <c r="AL307" s="7" t="s">
        <v>143</v>
      </c>
      <c r="AM307" s="15" t="s">
        <v>144</v>
      </c>
      <c r="AN307" s="15" t="s">
        <v>145</v>
      </c>
      <c r="AO307" s="8"/>
      <c r="AP307" s="8" t="s">
        <v>146</v>
      </c>
      <c r="AQ307" s="8" t="s">
        <v>147</v>
      </c>
      <c r="AR307" s="8" t="s">
        <v>108</v>
      </c>
      <c r="AS307" s="132" t="s">
        <v>148</v>
      </c>
      <c r="AT307" s="131">
        <v>108</v>
      </c>
      <c r="AU307" s="132" t="s">
        <v>149</v>
      </c>
      <c r="AV307" s="16" t="s">
        <v>112</v>
      </c>
      <c r="AW307" s="56" t="s">
        <v>150</v>
      </c>
      <c r="AX307" s="56" t="s">
        <v>114</v>
      </c>
      <c r="AY307" s="7" t="s">
        <v>151</v>
      </c>
      <c r="AZ307" s="10" t="s">
        <v>152</v>
      </c>
      <c r="BA307" s="7" t="s">
        <v>135</v>
      </c>
      <c r="BB307" s="52">
        <v>33307</v>
      </c>
      <c r="BC307" s="17" t="s">
        <v>96</v>
      </c>
      <c r="BD307" s="18" t="s">
        <v>145</v>
      </c>
      <c r="BE307" s="7" t="s">
        <v>153</v>
      </c>
      <c r="BF307" s="7" t="s">
        <v>154</v>
      </c>
      <c r="BG307" s="7" t="s">
        <v>155</v>
      </c>
      <c r="BH307" s="7" t="s">
        <v>156</v>
      </c>
      <c r="BI307" s="19" t="s">
        <v>157</v>
      </c>
      <c r="BJ307" s="20" t="s">
        <v>158</v>
      </c>
      <c r="BK307" s="21" t="s">
        <v>159</v>
      </c>
      <c r="BL307" s="7" t="s">
        <v>160</v>
      </c>
      <c r="BM307" s="22" t="s">
        <v>161</v>
      </c>
      <c r="BN307" s="8" t="s">
        <v>135</v>
      </c>
      <c r="BO307" s="49">
        <v>34180</v>
      </c>
      <c r="BP307" s="17" t="s">
        <v>96</v>
      </c>
      <c r="BQ307" s="18" t="s">
        <v>144</v>
      </c>
      <c r="BR307" s="7" t="s">
        <v>118</v>
      </c>
      <c r="BS307" s="7" t="s">
        <v>126</v>
      </c>
      <c r="BT307" s="7" t="s">
        <v>162</v>
      </c>
      <c r="BU307" s="8" t="s">
        <v>162</v>
      </c>
      <c r="BV307" s="23"/>
      <c r="BW307" s="24" t="s">
        <v>163</v>
      </c>
      <c r="BX307" s="21" t="s">
        <v>164</v>
      </c>
      <c r="BY307" s="21" t="s">
        <v>165</v>
      </c>
      <c r="BZ307" s="21" t="s">
        <v>135</v>
      </c>
      <c r="CA307" s="21">
        <v>33307</v>
      </c>
      <c r="CB307" s="21"/>
      <c r="CC307" s="21" t="s">
        <v>145</v>
      </c>
      <c r="CD307" s="21" t="s">
        <v>153</v>
      </c>
      <c r="CE307" s="21" t="s">
        <v>154</v>
      </c>
      <c r="CF307" s="21" t="s">
        <v>96</v>
      </c>
      <c r="CG307" s="21" t="s">
        <v>136</v>
      </c>
      <c r="CH307" s="21" t="s">
        <v>137</v>
      </c>
      <c r="CI307" s="21" t="s">
        <v>138</v>
      </c>
      <c r="CJ307" s="21" t="s">
        <v>139</v>
      </c>
      <c r="CK307" s="21" t="s">
        <v>140</v>
      </c>
      <c r="CL307" s="21" t="s">
        <v>94</v>
      </c>
      <c r="CM307" s="25"/>
      <c r="CN307" s="25"/>
      <c r="CO307" s="25"/>
      <c r="CP307" s="26"/>
    </row>
    <row r="308" spans="1:94" s="27" customFormat="1" ht="23.25" customHeight="1">
      <c r="A308" s="4">
        <v>150</v>
      </c>
      <c r="B308" s="6"/>
      <c r="C308" s="6"/>
      <c r="D308" s="6"/>
      <c r="E308" s="6"/>
      <c r="F308" s="6"/>
      <c r="G308" s="6"/>
      <c r="H308" s="5" t="s">
        <v>85</v>
      </c>
      <c r="I308" s="6" t="s">
        <v>86</v>
      </c>
      <c r="J308" s="7" t="s">
        <v>820</v>
      </c>
      <c r="K308" s="7" t="s">
        <v>821</v>
      </c>
      <c r="L308" s="8"/>
      <c r="M308" s="5">
        <v>1971</v>
      </c>
      <c r="N308" s="5">
        <v>3179086703</v>
      </c>
      <c r="O308" s="5" t="s">
        <v>822</v>
      </c>
      <c r="P308" s="10" t="s">
        <v>823</v>
      </c>
      <c r="Q308" s="389" t="s">
        <v>824</v>
      </c>
      <c r="R308" s="64" t="s">
        <v>6591</v>
      </c>
      <c r="S308" s="212" t="s">
        <v>12145</v>
      </c>
      <c r="T308" s="8" t="s">
        <v>825</v>
      </c>
      <c r="U308" s="11" t="s">
        <v>93</v>
      </c>
      <c r="V308" s="12" t="s">
        <v>222</v>
      </c>
      <c r="W308" s="13">
        <v>42996</v>
      </c>
      <c r="X308" s="13" t="str">
        <f t="shared" ca="1" si="6"/>
        <v>8 Th, 11 Bln</v>
      </c>
      <c r="Y308" s="5" t="s">
        <v>95</v>
      </c>
      <c r="Z308" s="14" t="s">
        <v>127</v>
      </c>
      <c r="AA308" s="5" t="s">
        <v>96</v>
      </c>
      <c r="AB308" s="5" t="s">
        <v>97</v>
      </c>
      <c r="AC308" s="7" t="s">
        <v>826</v>
      </c>
      <c r="AD308" s="131" t="s">
        <v>827</v>
      </c>
      <c r="AE308" s="131" t="s">
        <v>176</v>
      </c>
      <c r="AF308" s="7" t="s">
        <v>828</v>
      </c>
      <c r="AG308" s="7" t="s">
        <v>829</v>
      </c>
      <c r="AH308" s="7" t="s">
        <v>141</v>
      </c>
      <c r="AI308" s="7"/>
      <c r="AJ308" s="7" t="s">
        <v>222</v>
      </c>
      <c r="AK308" s="7" t="s">
        <v>104</v>
      </c>
      <c r="AL308" s="7" t="s">
        <v>830</v>
      </c>
      <c r="AM308" s="15" t="s">
        <v>831</v>
      </c>
      <c r="AN308" s="15" t="s">
        <v>832</v>
      </c>
      <c r="AO308" s="8"/>
      <c r="AP308" s="8" t="s">
        <v>146</v>
      </c>
      <c r="AQ308" s="8" t="s">
        <v>147</v>
      </c>
      <c r="AR308" s="8" t="s">
        <v>147</v>
      </c>
      <c r="AS308" s="132" t="s">
        <v>833</v>
      </c>
      <c r="AT308" s="131" t="s">
        <v>834</v>
      </c>
      <c r="AU308" s="132" t="s">
        <v>149</v>
      </c>
      <c r="AV308" s="16" t="s">
        <v>112</v>
      </c>
      <c r="AW308" s="56" t="s">
        <v>113</v>
      </c>
      <c r="AX308" s="56" t="s">
        <v>835</v>
      </c>
      <c r="AY308" s="7" t="s">
        <v>836</v>
      </c>
      <c r="AZ308" s="10" t="s">
        <v>837</v>
      </c>
      <c r="BA308" s="7" t="s">
        <v>222</v>
      </c>
      <c r="BB308" s="52">
        <v>31505</v>
      </c>
      <c r="BC308" s="17" t="s">
        <v>96</v>
      </c>
      <c r="BD308" s="18" t="s">
        <v>832</v>
      </c>
      <c r="BE308" s="7" t="s">
        <v>224</v>
      </c>
      <c r="BF308" s="7" t="s">
        <v>154</v>
      </c>
      <c r="BG308" s="7" t="s">
        <v>761</v>
      </c>
      <c r="BH308" s="7" t="s">
        <v>838</v>
      </c>
      <c r="BI308" s="19" t="s">
        <v>839</v>
      </c>
      <c r="BJ308" s="20" t="s">
        <v>840</v>
      </c>
      <c r="BK308" s="21" t="s">
        <v>841</v>
      </c>
      <c r="BL308" s="7" t="s">
        <v>842</v>
      </c>
      <c r="BM308" s="22" t="s">
        <v>843</v>
      </c>
      <c r="BN308" s="8" t="s">
        <v>222</v>
      </c>
      <c r="BO308" s="49">
        <v>33824</v>
      </c>
      <c r="BP308" s="17" t="s">
        <v>96</v>
      </c>
      <c r="BQ308" s="18" t="s">
        <v>844</v>
      </c>
      <c r="BR308" s="7" t="s">
        <v>216</v>
      </c>
      <c r="BS308" s="7" t="s">
        <v>247</v>
      </c>
      <c r="BT308" s="7" t="s">
        <v>127</v>
      </c>
      <c r="BU308" s="8" t="s">
        <v>127</v>
      </c>
      <c r="BV308" s="23" t="s">
        <v>127</v>
      </c>
      <c r="BW308" s="24" t="s">
        <v>127</v>
      </c>
      <c r="BX308" s="21" t="s">
        <v>845</v>
      </c>
      <c r="BY308" s="21" t="s">
        <v>127</v>
      </c>
      <c r="BZ308" s="21" t="s">
        <v>127</v>
      </c>
      <c r="CA308" s="21"/>
      <c r="CB308" s="21"/>
      <c r="CC308" s="21" t="s">
        <v>127</v>
      </c>
      <c r="CD308" s="21" t="s">
        <v>108</v>
      </c>
      <c r="CE308" s="21" t="s">
        <v>127</v>
      </c>
      <c r="CF308" s="21"/>
      <c r="CG308" s="21" t="s">
        <v>127</v>
      </c>
      <c r="CH308" s="21" t="s">
        <v>127</v>
      </c>
      <c r="CI308" s="21" t="s">
        <v>127</v>
      </c>
      <c r="CJ308" s="21" t="s">
        <v>127</v>
      </c>
      <c r="CK308" s="21" t="s">
        <v>127</v>
      </c>
      <c r="CL308" s="21" t="s">
        <v>127</v>
      </c>
      <c r="CM308" s="25"/>
      <c r="CN308" s="25"/>
      <c r="CO308" s="25"/>
      <c r="CP308" s="26"/>
    </row>
    <row r="309" spans="1:94" s="27" customFormat="1" ht="23.25" customHeight="1">
      <c r="A309" s="4">
        <v>176</v>
      </c>
      <c r="B309" s="6"/>
      <c r="C309" s="6"/>
      <c r="D309" s="6"/>
      <c r="E309" s="6"/>
      <c r="F309" s="6"/>
      <c r="G309" s="6"/>
      <c r="H309" s="5" t="s">
        <v>85</v>
      </c>
      <c r="I309" s="6" t="s">
        <v>86</v>
      </c>
      <c r="J309" s="7" t="s">
        <v>1388</v>
      </c>
      <c r="K309" s="7" t="s">
        <v>1389</v>
      </c>
      <c r="L309" s="8"/>
      <c r="M309" s="5">
        <v>1976</v>
      </c>
      <c r="N309" s="10">
        <v>3186188322</v>
      </c>
      <c r="O309" s="10" t="s">
        <v>1390</v>
      </c>
      <c r="P309" s="10" t="s">
        <v>1391</v>
      </c>
      <c r="Q309" s="389" t="s">
        <v>13419</v>
      </c>
      <c r="R309" s="64" t="s">
        <v>6591</v>
      </c>
      <c r="S309" s="212" t="s">
        <v>12145</v>
      </c>
      <c r="T309" s="8" t="s">
        <v>1392</v>
      </c>
      <c r="U309" s="11" t="s">
        <v>172</v>
      </c>
      <c r="V309" s="12" t="s">
        <v>1393</v>
      </c>
      <c r="W309" s="13">
        <v>43166</v>
      </c>
      <c r="X309" s="13" t="str">
        <f t="shared" ca="1" si="6"/>
        <v>8 Th, 6 Bln</v>
      </c>
      <c r="Y309" s="5" t="s">
        <v>95</v>
      </c>
      <c r="Z309" s="14"/>
      <c r="AA309" s="5" t="s">
        <v>96</v>
      </c>
      <c r="AB309" s="5" t="s">
        <v>97</v>
      </c>
      <c r="AC309" s="7" t="s">
        <v>1394</v>
      </c>
      <c r="AD309" s="131">
        <v>5</v>
      </c>
      <c r="AE309" s="131">
        <v>16</v>
      </c>
      <c r="AF309" s="7" t="s">
        <v>1395</v>
      </c>
      <c r="AG309" s="7" t="s">
        <v>732</v>
      </c>
      <c r="AH309" s="7" t="s">
        <v>141</v>
      </c>
      <c r="AI309" s="7"/>
      <c r="AJ309" s="7" t="s">
        <v>94</v>
      </c>
      <c r="AK309" s="7" t="s">
        <v>104</v>
      </c>
      <c r="AL309" s="7" t="s">
        <v>1396</v>
      </c>
      <c r="AM309" s="15" t="s">
        <v>1397</v>
      </c>
      <c r="AN309" s="15" t="s">
        <v>1398</v>
      </c>
      <c r="AO309" s="8"/>
      <c r="AP309" s="8" t="s">
        <v>107</v>
      </c>
      <c r="AQ309" s="8" t="s">
        <v>146</v>
      </c>
      <c r="AR309" s="8" t="s">
        <v>108</v>
      </c>
      <c r="AS309" s="132">
        <v>18</v>
      </c>
      <c r="AT309" s="131">
        <v>110</v>
      </c>
      <c r="AU309" s="132" t="s">
        <v>149</v>
      </c>
      <c r="AV309" s="16" t="s">
        <v>112</v>
      </c>
      <c r="AW309" s="56" t="s">
        <v>113</v>
      </c>
      <c r="AX309" s="56" t="s">
        <v>734</v>
      </c>
      <c r="AY309" s="7" t="s">
        <v>1399</v>
      </c>
      <c r="AZ309" s="10" t="s">
        <v>1400</v>
      </c>
      <c r="BA309" s="7" t="s">
        <v>1393</v>
      </c>
      <c r="BB309" s="52">
        <v>32067</v>
      </c>
      <c r="BC309" s="17" t="s">
        <v>96</v>
      </c>
      <c r="BD309" s="18" t="s">
        <v>1397</v>
      </c>
      <c r="BE309" s="7" t="s">
        <v>118</v>
      </c>
      <c r="BF309" s="7" t="s">
        <v>119</v>
      </c>
      <c r="BG309" s="7" t="s">
        <v>1401</v>
      </c>
      <c r="BH309" s="7" t="s">
        <v>1402</v>
      </c>
      <c r="BI309" s="19" t="s">
        <v>1403</v>
      </c>
      <c r="BJ309" s="20" t="s">
        <v>1404</v>
      </c>
      <c r="BK309" s="21" t="s">
        <v>1405</v>
      </c>
      <c r="BL309" s="7" t="s">
        <v>1406</v>
      </c>
      <c r="BM309" s="22" t="s">
        <v>1407</v>
      </c>
      <c r="BN309" s="8" t="s">
        <v>502</v>
      </c>
      <c r="BO309" s="49">
        <v>32064</v>
      </c>
      <c r="BP309" s="17" t="s">
        <v>96</v>
      </c>
      <c r="BQ309" s="18" t="s">
        <v>1398</v>
      </c>
      <c r="BR309" s="7" t="s">
        <v>118</v>
      </c>
      <c r="BS309" s="7" t="s">
        <v>582</v>
      </c>
      <c r="BT309" s="7" t="s">
        <v>127</v>
      </c>
      <c r="BU309" s="8" t="s">
        <v>127</v>
      </c>
      <c r="BV309" s="23" t="s">
        <v>127</v>
      </c>
      <c r="BW309" s="24" t="s">
        <v>127</v>
      </c>
      <c r="BX309" s="21" t="s">
        <v>1408</v>
      </c>
      <c r="BY309" s="21" t="s">
        <v>108</v>
      </c>
      <c r="BZ309" s="21" t="s">
        <v>108</v>
      </c>
      <c r="CA309" s="21"/>
      <c r="CB309" s="21"/>
      <c r="CC309" s="21"/>
      <c r="CD309" s="21" t="s">
        <v>108</v>
      </c>
      <c r="CE309" s="21" t="s">
        <v>108</v>
      </c>
      <c r="CF309" s="21"/>
      <c r="CG309" s="21" t="s">
        <v>108</v>
      </c>
      <c r="CH309" s="21"/>
      <c r="CI309" s="21"/>
      <c r="CJ309" s="21" t="s">
        <v>108</v>
      </c>
      <c r="CK309" s="21" t="s">
        <v>108</v>
      </c>
      <c r="CL309" s="21" t="s">
        <v>108</v>
      </c>
      <c r="CM309" s="25"/>
      <c r="CN309" s="25"/>
      <c r="CO309" s="25"/>
      <c r="CP309" s="26"/>
    </row>
    <row r="310" spans="1:94" s="27" customFormat="1" ht="23.25" customHeight="1">
      <c r="A310" s="180">
        <v>204</v>
      </c>
      <c r="B310" s="181"/>
      <c r="C310" s="181"/>
      <c r="D310" s="181"/>
      <c r="E310" s="181"/>
      <c r="F310" s="181"/>
      <c r="G310" s="181"/>
      <c r="H310" s="99" t="s">
        <v>85</v>
      </c>
      <c r="I310" s="181" t="s">
        <v>86</v>
      </c>
      <c r="J310" s="182" t="s">
        <v>166</v>
      </c>
      <c r="K310" s="182" t="s">
        <v>1993</v>
      </c>
      <c r="L310" s="183"/>
      <c r="M310" s="99">
        <v>1978</v>
      </c>
      <c r="N310" s="99">
        <v>3171620838</v>
      </c>
      <c r="O310" s="99" t="s">
        <v>1994</v>
      </c>
      <c r="P310" s="184" t="s">
        <v>1995</v>
      </c>
      <c r="Q310" s="393" t="s">
        <v>1996</v>
      </c>
      <c r="R310" s="64" t="s">
        <v>6591</v>
      </c>
      <c r="S310" s="212" t="s">
        <v>12145</v>
      </c>
      <c r="T310" s="183" t="s">
        <v>1997</v>
      </c>
      <c r="U310" s="185" t="s">
        <v>93</v>
      </c>
      <c r="V310" s="186" t="s">
        <v>94</v>
      </c>
      <c r="W310" s="187">
        <v>43054</v>
      </c>
      <c r="X310" s="187" t="str">
        <f t="shared" ca="1" si="6"/>
        <v>8 Th, 10 Bln</v>
      </c>
      <c r="Y310" s="99" t="s">
        <v>95</v>
      </c>
      <c r="Z310" s="188"/>
      <c r="AA310" s="99" t="s">
        <v>96</v>
      </c>
      <c r="AB310" s="99" t="s">
        <v>97</v>
      </c>
      <c r="AC310" s="182" t="s">
        <v>1998</v>
      </c>
      <c r="AD310" s="189" t="s">
        <v>100</v>
      </c>
      <c r="AE310" s="189">
        <v>11</v>
      </c>
      <c r="AF310" s="182" t="s">
        <v>521</v>
      </c>
      <c r="AG310" s="182" t="s">
        <v>178</v>
      </c>
      <c r="AH310" s="182" t="s">
        <v>178</v>
      </c>
      <c r="AI310" s="182"/>
      <c r="AJ310" s="182" t="s">
        <v>94</v>
      </c>
      <c r="AK310" s="182" t="s">
        <v>104</v>
      </c>
      <c r="AL310" s="182" t="s">
        <v>1999</v>
      </c>
      <c r="AM310" s="190" t="s">
        <v>2000</v>
      </c>
      <c r="AN310" s="190" t="s">
        <v>2001</v>
      </c>
      <c r="AO310" s="183"/>
      <c r="AP310" s="183" t="s">
        <v>107</v>
      </c>
      <c r="AQ310" s="183" t="s">
        <v>107</v>
      </c>
      <c r="AR310" s="183" t="s">
        <v>108</v>
      </c>
      <c r="AS310" s="191">
        <v>19</v>
      </c>
      <c r="AT310" s="189">
        <v>114</v>
      </c>
      <c r="AU310" s="191" t="s">
        <v>182</v>
      </c>
      <c r="AV310" s="192" t="s">
        <v>112</v>
      </c>
      <c r="AW310" s="193" t="s">
        <v>392</v>
      </c>
      <c r="AX310" s="193" t="s">
        <v>213</v>
      </c>
      <c r="AY310" s="182" t="s">
        <v>2002</v>
      </c>
      <c r="AZ310" s="184" t="s">
        <v>2003</v>
      </c>
      <c r="BA310" s="182" t="s">
        <v>2004</v>
      </c>
      <c r="BB310" s="194">
        <v>31750</v>
      </c>
      <c r="BC310" s="195" t="s">
        <v>96</v>
      </c>
      <c r="BD310" s="196" t="s">
        <v>2005</v>
      </c>
      <c r="BE310" s="182" t="s">
        <v>118</v>
      </c>
      <c r="BF310" s="182" t="s">
        <v>276</v>
      </c>
      <c r="BG310" s="182" t="s">
        <v>2006</v>
      </c>
      <c r="BH310" s="182" t="s">
        <v>2007</v>
      </c>
      <c r="BI310" s="197" t="s">
        <v>2008</v>
      </c>
      <c r="BJ310" s="198">
        <v>18000000</v>
      </c>
      <c r="BK310" s="199" t="s">
        <v>2009</v>
      </c>
      <c r="BL310" s="182" t="s">
        <v>2010</v>
      </c>
      <c r="BM310" s="200" t="s">
        <v>2011</v>
      </c>
      <c r="BN310" s="183" t="s">
        <v>603</v>
      </c>
      <c r="BO310" s="201">
        <v>31750</v>
      </c>
      <c r="BP310" s="195" t="s">
        <v>96</v>
      </c>
      <c r="BQ310" s="196" t="s">
        <v>2001</v>
      </c>
      <c r="BR310" s="182" t="s">
        <v>118</v>
      </c>
      <c r="BS310" s="182" t="s">
        <v>247</v>
      </c>
      <c r="BT310" s="182" t="s">
        <v>2012</v>
      </c>
      <c r="BU310" s="183" t="s">
        <v>2013</v>
      </c>
      <c r="BV310" s="202"/>
      <c r="BW310" s="203">
        <v>3000000</v>
      </c>
      <c r="BX310" s="199" t="s">
        <v>2014</v>
      </c>
      <c r="BY310" s="199" t="s">
        <v>108</v>
      </c>
      <c r="BZ310" s="199" t="s">
        <v>108</v>
      </c>
      <c r="CA310" s="199"/>
      <c r="CB310" s="199"/>
      <c r="CC310" s="199"/>
      <c r="CD310" s="199" t="s">
        <v>108</v>
      </c>
      <c r="CE310" s="199" t="s">
        <v>108</v>
      </c>
      <c r="CF310" s="199"/>
      <c r="CG310" s="199" t="s">
        <v>108</v>
      </c>
      <c r="CH310" s="199"/>
      <c r="CI310" s="199"/>
      <c r="CJ310" s="199" t="s">
        <v>108</v>
      </c>
      <c r="CK310" s="199" t="s">
        <v>108</v>
      </c>
      <c r="CL310" s="199" t="s">
        <v>108</v>
      </c>
      <c r="CM310" s="25"/>
      <c r="CN310" s="25"/>
      <c r="CO310" s="25"/>
      <c r="CP310" s="26"/>
    </row>
    <row r="311" spans="1:94" s="204" customFormat="1">
      <c r="H311" s="309">
        <v>46207</v>
      </c>
      <c r="I311" s="204" t="s">
        <v>4774</v>
      </c>
      <c r="J311" s="204" t="s">
        <v>13301</v>
      </c>
      <c r="K311" s="205" t="s">
        <v>13302</v>
      </c>
      <c r="M311" s="206">
        <v>2324</v>
      </c>
      <c r="N311" s="206">
        <v>3131031786</v>
      </c>
      <c r="O311" s="310" t="s">
        <v>13303</v>
      </c>
      <c r="P311" s="310" t="s">
        <v>13304</v>
      </c>
      <c r="Q311" s="291" t="s">
        <v>13300</v>
      </c>
      <c r="R311" s="48" t="s">
        <v>6591</v>
      </c>
      <c r="S311" s="300" t="s">
        <v>12145</v>
      </c>
      <c r="T311" s="288" t="s">
        <v>13305</v>
      </c>
      <c r="U311" s="288" t="s">
        <v>93</v>
      </c>
      <c r="V311" s="204" t="s">
        <v>2016</v>
      </c>
      <c r="W311" s="309">
        <v>43020</v>
      </c>
      <c r="X311" s="204" t="str">
        <f t="shared" ca="1" si="6"/>
        <v>8 Th, 11 Bln</v>
      </c>
      <c r="AA311" s="337" t="s">
        <v>96</v>
      </c>
      <c r="AB311" s="337" t="s">
        <v>97</v>
      </c>
      <c r="AC311" s="204" t="s">
        <v>13306</v>
      </c>
      <c r="AD311" s="206"/>
      <c r="AE311" s="206"/>
      <c r="AF311" s="204" t="s">
        <v>11754</v>
      </c>
      <c r="AG311" s="204" t="s">
        <v>11755</v>
      </c>
      <c r="AH311" s="204" t="s">
        <v>141</v>
      </c>
      <c r="AJ311" s="204" t="s">
        <v>11756</v>
      </c>
      <c r="AO311" s="206"/>
      <c r="AP311" s="206"/>
      <c r="AQ311" s="206"/>
      <c r="AR311" s="206"/>
      <c r="AS311" s="206"/>
      <c r="AT311" s="206"/>
      <c r="AU311" s="206"/>
      <c r="AW311" s="205"/>
      <c r="AX311" s="205"/>
      <c r="AY311" s="205" t="s">
        <v>13307</v>
      </c>
      <c r="AZ311" s="298" t="s">
        <v>12412</v>
      </c>
      <c r="BA311" s="204" t="s">
        <v>2016</v>
      </c>
      <c r="BB311" s="207">
        <v>31082</v>
      </c>
      <c r="BD311" s="338" t="s">
        <v>12487</v>
      </c>
      <c r="BE311" s="204" t="s">
        <v>118</v>
      </c>
      <c r="BF311" s="204" t="s">
        <v>276</v>
      </c>
      <c r="BG311" s="204" t="s">
        <v>13308</v>
      </c>
      <c r="BH311" s="204" t="s">
        <v>13309</v>
      </c>
      <c r="BJ311" s="204" t="s">
        <v>8249</v>
      </c>
      <c r="BK311" s="298" t="s">
        <v>13310</v>
      </c>
      <c r="BL311" s="208" t="s">
        <v>13311</v>
      </c>
      <c r="BM311" s="288" t="s">
        <v>12944</v>
      </c>
      <c r="BN311" s="206" t="s">
        <v>13000</v>
      </c>
      <c r="BO311" s="209">
        <v>33903</v>
      </c>
      <c r="BQ311" s="296" t="s">
        <v>12212</v>
      </c>
      <c r="BR311" s="204" t="s">
        <v>118</v>
      </c>
      <c r="BS311" s="204" t="s">
        <v>582</v>
      </c>
      <c r="BX311" s="298" t="s">
        <v>13151</v>
      </c>
    </row>
    <row r="312" spans="1:94" s="27" customFormat="1" ht="23.25" customHeight="1">
      <c r="A312" s="4">
        <v>124</v>
      </c>
      <c r="B312" s="6"/>
      <c r="C312" s="6"/>
      <c r="D312" s="6"/>
      <c r="E312" s="6"/>
      <c r="F312" s="6"/>
      <c r="G312" s="6"/>
      <c r="H312" s="5" t="s">
        <v>85</v>
      </c>
      <c r="I312" s="6" t="s">
        <v>86</v>
      </c>
      <c r="J312" s="7" t="s">
        <v>200</v>
      </c>
      <c r="K312" s="7" t="s">
        <v>201</v>
      </c>
      <c r="L312" s="8"/>
      <c r="M312" s="5">
        <v>1973</v>
      </c>
      <c r="N312" s="5">
        <v>3178038765</v>
      </c>
      <c r="O312" s="5" t="s">
        <v>202</v>
      </c>
      <c r="P312" s="10" t="s">
        <v>203</v>
      </c>
      <c r="Q312" s="389" t="s">
        <v>204</v>
      </c>
      <c r="R312" s="64" t="s">
        <v>6591</v>
      </c>
      <c r="S312" s="212" t="s">
        <v>12145</v>
      </c>
      <c r="T312" s="8" t="s">
        <v>205</v>
      </c>
      <c r="U312" s="11" t="s">
        <v>172</v>
      </c>
      <c r="V312" s="12" t="s">
        <v>94</v>
      </c>
      <c r="W312" s="13">
        <v>42939</v>
      </c>
      <c r="X312" s="13" t="str">
        <f t="shared" ca="1" si="6"/>
        <v>9 Th, 1 Bln</v>
      </c>
      <c r="Y312" s="5" t="s">
        <v>95</v>
      </c>
      <c r="Z312" s="14"/>
      <c r="AA312" s="5" t="s">
        <v>96</v>
      </c>
      <c r="AB312" s="5" t="s">
        <v>97</v>
      </c>
      <c r="AC312" s="7" t="s">
        <v>206</v>
      </c>
      <c r="AD312" s="131">
        <v>23</v>
      </c>
      <c r="AE312" s="131" t="s">
        <v>207</v>
      </c>
      <c r="AF312" s="7" t="s">
        <v>208</v>
      </c>
      <c r="AG312" s="7" t="s">
        <v>209</v>
      </c>
      <c r="AH312" s="7" t="s">
        <v>141</v>
      </c>
      <c r="AI312" s="7"/>
      <c r="AJ312" s="7" t="s">
        <v>142</v>
      </c>
      <c r="AK312" s="7" t="s">
        <v>104</v>
      </c>
      <c r="AL312" s="7" t="s">
        <v>210</v>
      </c>
      <c r="AM312" s="15" t="s">
        <v>127</v>
      </c>
      <c r="AN312" s="15" t="s">
        <v>211</v>
      </c>
      <c r="AO312" s="8"/>
      <c r="AP312" s="8" t="s">
        <v>146</v>
      </c>
      <c r="AQ312" s="8" t="s">
        <v>107</v>
      </c>
      <c r="AR312" s="8" t="s">
        <v>147</v>
      </c>
      <c r="AS312" s="132">
        <v>17</v>
      </c>
      <c r="AT312" s="131">
        <v>108</v>
      </c>
      <c r="AU312" s="132" t="s">
        <v>149</v>
      </c>
      <c r="AV312" s="16" t="s">
        <v>212</v>
      </c>
      <c r="AW312" s="56" t="s">
        <v>162</v>
      </c>
      <c r="AX312" s="56" t="s">
        <v>213</v>
      </c>
      <c r="AY312" s="7" t="s">
        <v>214</v>
      </c>
      <c r="AZ312" s="10" t="s">
        <v>215</v>
      </c>
      <c r="BA312" s="7" t="s">
        <v>94</v>
      </c>
      <c r="BB312" s="52">
        <v>31474</v>
      </c>
      <c r="BC312" s="17" t="s">
        <v>96</v>
      </c>
      <c r="BD312" s="18" t="s">
        <v>211</v>
      </c>
      <c r="BE312" s="7" t="s">
        <v>216</v>
      </c>
      <c r="BF312" s="7" t="s">
        <v>217</v>
      </c>
      <c r="BG312" s="7" t="s">
        <v>127</v>
      </c>
      <c r="BH312" s="7" t="s">
        <v>127</v>
      </c>
      <c r="BI312" s="19" t="s">
        <v>127</v>
      </c>
      <c r="BJ312" s="20" t="s">
        <v>218</v>
      </c>
      <c r="BK312" s="21" t="s">
        <v>219</v>
      </c>
      <c r="BL312" s="7" t="s">
        <v>220</v>
      </c>
      <c r="BM312" s="22" t="s">
        <v>221</v>
      </c>
      <c r="BN312" s="8" t="s">
        <v>222</v>
      </c>
      <c r="BO312" s="49">
        <v>33367</v>
      </c>
      <c r="BP312" s="17" t="s">
        <v>96</v>
      </c>
      <c r="BQ312" s="18" t="s">
        <v>223</v>
      </c>
      <c r="BR312" s="7" t="s">
        <v>224</v>
      </c>
      <c r="BS312" s="7" t="s">
        <v>225</v>
      </c>
      <c r="BT312" s="7" t="s">
        <v>226</v>
      </c>
      <c r="BU312" s="8" t="s">
        <v>227</v>
      </c>
      <c r="BV312" s="23" t="s">
        <v>228</v>
      </c>
      <c r="BW312" s="24" t="s">
        <v>229</v>
      </c>
      <c r="BX312" s="21" t="s">
        <v>230</v>
      </c>
      <c r="BY312" s="21" t="s">
        <v>108</v>
      </c>
      <c r="BZ312" s="21" t="s">
        <v>108</v>
      </c>
      <c r="CA312" s="21"/>
      <c r="CB312" s="21"/>
      <c r="CC312" s="21"/>
      <c r="CD312" s="21" t="s">
        <v>108</v>
      </c>
      <c r="CE312" s="21" t="s">
        <v>108</v>
      </c>
      <c r="CF312" s="21"/>
      <c r="CG312" s="21" t="s">
        <v>108</v>
      </c>
      <c r="CH312" s="21"/>
      <c r="CI312" s="21"/>
      <c r="CJ312" s="21" t="s">
        <v>108</v>
      </c>
      <c r="CK312" s="21" t="s">
        <v>108</v>
      </c>
      <c r="CL312" s="21" t="s">
        <v>108</v>
      </c>
      <c r="CM312" s="25"/>
      <c r="CN312" s="25"/>
      <c r="CO312" s="25"/>
      <c r="CP312" s="26"/>
    </row>
    <row r="313" spans="1:94" s="27" customFormat="1" ht="23.25" customHeight="1">
      <c r="A313" s="4">
        <v>180</v>
      </c>
      <c r="B313" s="6"/>
      <c r="C313" s="6"/>
      <c r="D313" s="6"/>
      <c r="E313" s="6"/>
      <c r="F313" s="6"/>
      <c r="G313" s="6"/>
      <c r="H313" s="5" t="s">
        <v>85</v>
      </c>
      <c r="I313" s="6" t="s">
        <v>86</v>
      </c>
      <c r="J313" s="7" t="s">
        <v>166</v>
      </c>
      <c r="K313" s="7" t="s">
        <v>1477</v>
      </c>
      <c r="L313" s="8"/>
      <c r="M313" s="5">
        <v>1992</v>
      </c>
      <c r="N313" s="5">
        <v>3170258584</v>
      </c>
      <c r="O313" s="5" t="s">
        <v>1478</v>
      </c>
      <c r="P313" s="10" t="s">
        <v>1479</v>
      </c>
      <c r="Q313" s="389" t="s">
        <v>1480</v>
      </c>
      <c r="R313" s="64" t="s">
        <v>6591</v>
      </c>
      <c r="S313" s="212" t="s">
        <v>12145</v>
      </c>
      <c r="T313" s="8" t="s">
        <v>1481</v>
      </c>
      <c r="U313" s="11" t="s">
        <v>172</v>
      </c>
      <c r="V313" s="12" t="s">
        <v>511</v>
      </c>
      <c r="W313" s="13">
        <v>42915</v>
      </c>
      <c r="X313" s="13" t="str">
        <f t="shared" ca="1" si="6"/>
        <v>9 Th, 2 Bln</v>
      </c>
      <c r="Y313" s="5" t="s">
        <v>95</v>
      </c>
      <c r="Z313" s="14" t="s">
        <v>127</v>
      </c>
      <c r="AA313" s="5" t="s">
        <v>96</v>
      </c>
      <c r="AB313" s="5" t="s">
        <v>97</v>
      </c>
      <c r="AC313" s="7" t="s">
        <v>1482</v>
      </c>
      <c r="AD313" s="131">
        <v>3</v>
      </c>
      <c r="AE313" s="131">
        <v>6</v>
      </c>
      <c r="AF313" s="7" t="s">
        <v>1483</v>
      </c>
      <c r="AG313" s="7" t="s">
        <v>1484</v>
      </c>
      <c r="AH313" s="7" t="s">
        <v>141</v>
      </c>
      <c r="AI313" s="7"/>
      <c r="AJ313" s="7" t="s">
        <v>94</v>
      </c>
      <c r="AK313" s="7" t="s">
        <v>104</v>
      </c>
      <c r="AL313" s="7" t="s">
        <v>1485</v>
      </c>
      <c r="AM313" s="15" t="s">
        <v>127</v>
      </c>
      <c r="AN313" s="15" t="s">
        <v>1486</v>
      </c>
      <c r="AO313" s="8"/>
      <c r="AP313" s="8" t="s">
        <v>146</v>
      </c>
      <c r="AQ313" s="8" t="s">
        <v>146</v>
      </c>
      <c r="AR313" s="8" t="s">
        <v>127</v>
      </c>
      <c r="AS313" s="132" t="s">
        <v>1487</v>
      </c>
      <c r="AT313" s="131">
        <v>110</v>
      </c>
      <c r="AU313" s="132" t="s">
        <v>149</v>
      </c>
      <c r="AV313" s="16" t="s">
        <v>112</v>
      </c>
      <c r="AW313" s="56" t="s">
        <v>643</v>
      </c>
      <c r="AX313" s="56" t="s">
        <v>323</v>
      </c>
      <c r="AY313" s="7" t="s">
        <v>1488</v>
      </c>
      <c r="AZ313" s="10" t="s">
        <v>1489</v>
      </c>
      <c r="BA313" s="7" t="s">
        <v>1456</v>
      </c>
      <c r="BB313" s="52">
        <v>32831</v>
      </c>
      <c r="BC313" s="17" t="s">
        <v>96</v>
      </c>
      <c r="BD313" s="18" t="s">
        <v>1490</v>
      </c>
      <c r="BE313" s="7" t="s">
        <v>118</v>
      </c>
      <c r="BF313" s="7" t="s">
        <v>1491</v>
      </c>
      <c r="BG313" s="7" t="s">
        <v>1492</v>
      </c>
      <c r="BH313" s="7" t="s">
        <v>1493</v>
      </c>
      <c r="BI313" s="19" t="s">
        <v>1494</v>
      </c>
      <c r="BJ313" s="20" t="s">
        <v>1495</v>
      </c>
      <c r="BK313" s="21" t="s">
        <v>1496</v>
      </c>
      <c r="BL313" s="7" t="s">
        <v>1497</v>
      </c>
      <c r="BM313" s="22" t="s">
        <v>1498</v>
      </c>
      <c r="BN313" s="8" t="s">
        <v>511</v>
      </c>
      <c r="BO313" s="49">
        <v>33963</v>
      </c>
      <c r="BP313" s="17" t="s">
        <v>96</v>
      </c>
      <c r="BQ313" s="18" t="s">
        <v>1486</v>
      </c>
      <c r="BR313" s="7" t="s">
        <v>118</v>
      </c>
      <c r="BS313" s="7" t="s">
        <v>195</v>
      </c>
      <c r="BT313" s="7" t="s">
        <v>1499</v>
      </c>
      <c r="BU313" s="8" t="s">
        <v>1500</v>
      </c>
      <c r="BV313" s="23" t="s">
        <v>1501</v>
      </c>
      <c r="BW313" s="24" t="s">
        <v>1502</v>
      </c>
      <c r="BX313" s="21" t="s">
        <v>1503</v>
      </c>
      <c r="BY313" s="21" t="s">
        <v>108</v>
      </c>
      <c r="BZ313" s="21" t="s">
        <v>108</v>
      </c>
      <c r="CA313" s="21"/>
      <c r="CB313" s="21"/>
      <c r="CC313" s="21"/>
      <c r="CD313" s="21" t="s">
        <v>108</v>
      </c>
      <c r="CE313" s="21" t="s">
        <v>108</v>
      </c>
      <c r="CF313" s="21"/>
      <c r="CG313" s="21" t="s">
        <v>108</v>
      </c>
      <c r="CH313" s="21"/>
      <c r="CI313" s="21"/>
      <c r="CJ313" s="21" t="s">
        <v>108</v>
      </c>
      <c r="CK313" s="21" t="s">
        <v>108</v>
      </c>
      <c r="CL313" s="21" t="s">
        <v>108</v>
      </c>
      <c r="CM313" s="25"/>
      <c r="CN313" s="25"/>
      <c r="CO313" s="25"/>
      <c r="CP313" s="26"/>
    </row>
    <row r="314" spans="1:94" s="27" customFormat="1" ht="23.25" customHeight="1">
      <c r="A314" s="4">
        <v>131</v>
      </c>
      <c r="B314" s="6"/>
      <c r="C314" s="6"/>
      <c r="D314" s="6"/>
      <c r="E314" s="6"/>
      <c r="F314" s="6"/>
      <c r="G314" s="6"/>
      <c r="H314" s="5" t="s">
        <v>85</v>
      </c>
      <c r="I314" s="6" t="s">
        <v>86</v>
      </c>
      <c r="J314" s="7" t="s">
        <v>350</v>
      </c>
      <c r="K314" s="7" t="s">
        <v>351</v>
      </c>
      <c r="L314" s="8"/>
      <c r="M314" s="5">
        <v>1993</v>
      </c>
      <c r="N314" s="5">
        <v>3177961897</v>
      </c>
      <c r="O314" s="5" t="s">
        <v>352</v>
      </c>
      <c r="P314" s="10" t="s">
        <v>353</v>
      </c>
      <c r="Q314" s="389" t="s">
        <v>354</v>
      </c>
      <c r="R314" s="64" t="s">
        <v>6591</v>
      </c>
      <c r="S314" s="212" t="s">
        <v>12145</v>
      </c>
      <c r="T314" s="8" t="s">
        <v>355</v>
      </c>
      <c r="U314" s="11" t="s">
        <v>172</v>
      </c>
      <c r="V314" s="12" t="s">
        <v>356</v>
      </c>
      <c r="W314" s="13">
        <v>42919</v>
      </c>
      <c r="X314" s="13" t="str">
        <f t="shared" ca="1" si="6"/>
        <v>9 Th, 2 Bln</v>
      </c>
      <c r="Y314" s="5" t="s">
        <v>95</v>
      </c>
      <c r="Z314" s="14"/>
      <c r="AA314" s="5" t="s">
        <v>96</v>
      </c>
      <c r="AB314" s="5" t="s">
        <v>97</v>
      </c>
      <c r="AC314" s="7" t="s">
        <v>357</v>
      </c>
      <c r="AD314" s="131" t="s">
        <v>358</v>
      </c>
      <c r="AE314" s="131" t="s">
        <v>358</v>
      </c>
      <c r="AF314" s="7" t="s">
        <v>359</v>
      </c>
      <c r="AG314" s="7" t="s">
        <v>241</v>
      </c>
      <c r="AH314" s="7" t="s">
        <v>241</v>
      </c>
      <c r="AI314" s="7"/>
      <c r="AJ314" s="7" t="s">
        <v>94</v>
      </c>
      <c r="AK314" s="7" t="s">
        <v>179</v>
      </c>
      <c r="AL314" s="7" t="s">
        <v>360</v>
      </c>
      <c r="AM314" s="15" t="s">
        <v>361</v>
      </c>
      <c r="AN314" s="15" t="s">
        <v>362</v>
      </c>
      <c r="AO314" s="8"/>
      <c r="AP314" s="8" t="s">
        <v>107</v>
      </c>
      <c r="AQ314" s="8" t="s">
        <v>298</v>
      </c>
      <c r="AR314" s="8" t="s">
        <v>127</v>
      </c>
      <c r="AS314" s="132">
        <v>15</v>
      </c>
      <c r="AT314" s="131">
        <v>112</v>
      </c>
      <c r="AU314" s="132" t="s">
        <v>182</v>
      </c>
      <c r="AV314" s="16" t="s">
        <v>112</v>
      </c>
      <c r="AW314" s="56" t="s">
        <v>363</v>
      </c>
      <c r="AX314" s="56" t="s">
        <v>213</v>
      </c>
      <c r="AY314" s="7" t="s">
        <v>364</v>
      </c>
      <c r="AZ314" s="10" t="s">
        <v>365</v>
      </c>
      <c r="BA314" s="7" t="s">
        <v>94</v>
      </c>
      <c r="BB314" s="52">
        <v>30739</v>
      </c>
      <c r="BC314" s="17" t="s">
        <v>96</v>
      </c>
      <c r="BD314" s="18" t="s">
        <v>362</v>
      </c>
      <c r="BE314" s="7" t="s">
        <v>118</v>
      </c>
      <c r="BF314" s="7" t="s">
        <v>366</v>
      </c>
      <c r="BG314" s="7" t="s">
        <v>367</v>
      </c>
      <c r="BH314" s="7" t="s">
        <v>368</v>
      </c>
      <c r="BI314" s="19" t="s">
        <v>127</v>
      </c>
      <c r="BJ314" s="20" t="s">
        <v>250</v>
      </c>
      <c r="BK314" s="21" t="s">
        <v>369</v>
      </c>
      <c r="BL314" s="7" t="s">
        <v>370</v>
      </c>
      <c r="BM314" s="22" t="s">
        <v>371</v>
      </c>
      <c r="BN314" s="8" t="s">
        <v>356</v>
      </c>
      <c r="BO314" s="49">
        <v>31543</v>
      </c>
      <c r="BP314" s="17" t="s">
        <v>96</v>
      </c>
      <c r="BQ314" s="18" t="s">
        <v>361</v>
      </c>
      <c r="BR314" s="7" t="s">
        <v>118</v>
      </c>
      <c r="BS314" s="7" t="s">
        <v>372</v>
      </c>
      <c r="BT314" s="7" t="s">
        <v>373</v>
      </c>
      <c r="BU314" s="8" t="s">
        <v>374</v>
      </c>
      <c r="BV314" s="23" t="s">
        <v>375</v>
      </c>
      <c r="BW314" s="24" t="s">
        <v>376</v>
      </c>
      <c r="BX314" s="21"/>
      <c r="BY314" s="21" t="s">
        <v>108</v>
      </c>
      <c r="BZ314" s="21" t="s">
        <v>108</v>
      </c>
      <c r="CA314" s="21"/>
      <c r="CB314" s="21"/>
      <c r="CC314" s="21"/>
      <c r="CD314" s="21" t="s">
        <v>108</v>
      </c>
      <c r="CE314" s="21" t="s">
        <v>108</v>
      </c>
      <c r="CF314" s="21"/>
      <c r="CG314" s="21" t="s">
        <v>108</v>
      </c>
      <c r="CH314" s="21"/>
      <c r="CI314" s="21"/>
      <c r="CJ314" s="21" t="s">
        <v>108</v>
      </c>
      <c r="CK314" s="21" t="s">
        <v>108</v>
      </c>
      <c r="CL314" s="21" t="s">
        <v>108</v>
      </c>
      <c r="CM314" s="25"/>
      <c r="CN314" s="25"/>
      <c r="CO314" s="25"/>
      <c r="CP314" s="26"/>
    </row>
    <row r="315" spans="1:94" s="27" customFormat="1" ht="23.25" customHeight="1">
      <c r="A315" s="4">
        <v>132</v>
      </c>
      <c r="B315" s="6"/>
      <c r="C315" s="6"/>
      <c r="D315" s="6"/>
      <c r="E315" s="6"/>
      <c r="F315" s="6"/>
      <c r="G315" s="6"/>
      <c r="H315" s="5" t="s">
        <v>85</v>
      </c>
      <c r="I315" s="6" t="s">
        <v>86</v>
      </c>
      <c r="J315" s="7" t="s">
        <v>377</v>
      </c>
      <c r="K315" s="7" t="s">
        <v>378</v>
      </c>
      <c r="L315" s="8"/>
      <c r="M315" s="5">
        <v>1997</v>
      </c>
      <c r="N315" s="10">
        <v>3166281570</v>
      </c>
      <c r="O315" s="10" t="s">
        <v>379</v>
      </c>
      <c r="P315" s="10" t="s">
        <v>380</v>
      </c>
      <c r="Q315" s="389" t="s">
        <v>381</v>
      </c>
      <c r="R315" s="64" t="s">
        <v>6591</v>
      </c>
      <c r="S315" s="212" t="s">
        <v>12145</v>
      </c>
      <c r="T315" s="8" t="s">
        <v>382</v>
      </c>
      <c r="U315" s="11" t="s">
        <v>172</v>
      </c>
      <c r="V315" s="12" t="s">
        <v>94</v>
      </c>
      <c r="W315" s="13">
        <v>42678</v>
      </c>
      <c r="X315" s="13" t="str">
        <f t="shared" ca="1" si="6"/>
        <v>9 Th, 10 Bln</v>
      </c>
      <c r="Y315" s="5" t="s">
        <v>95</v>
      </c>
      <c r="Z315" s="14"/>
      <c r="AA315" s="5" t="s">
        <v>96</v>
      </c>
      <c r="AB315" s="5" t="s">
        <v>97</v>
      </c>
      <c r="AC315" s="7" t="s">
        <v>383</v>
      </c>
      <c r="AD315" s="131" t="s">
        <v>384</v>
      </c>
      <c r="AE315" s="131" t="s">
        <v>100</v>
      </c>
      <c r="AF315" s="7" t="s">
        <v>385</v>
      </c>
      <c r="AG315" s="7" t="s">
        <v>178</v>
      </c>
      <c r="AH315" s="7" t="s">
        <v>178</v>
      </c>
      <c r="AI315" s="7"/>
      <c r="AJ315" s="7" t="s">
        <v>103</v>
      </c>
      <c r="AK315" s="7" t="s">
        <v>386</v>
      </c>
      <c r="AL315" s="7" t="s">
        <v>387</v>
      </c>
      <c r="AM315" s="15" t="s">
        <v>127</v>
      </c>
      <c r="AN315" s="15" t="s">
        <v>388</v>
      </c>
      <c r="AO315" s="8"/>
      <c r="AP315" s="8" t="s">
        <v>107</v>
      </c>
      <c r="AQ315" s="8" t="s">
        <v>389</v>
      </c>
      <c r="AR315" s="8" t="s">
        <v>108</v>
      </c>
      <c r="AS315" s="132" t="s">
        <v>390</v>
      </c>
      <c r="AT315" s="131" t="s">
        <v>391</v>
      </c>
      <c r="AU315" s="132" t="s">
        <v>111</v>
      </c>
      <c r="AV315" s="16" t="s">
        <v>112</v>
      </c>
      <c r="AW315" s="56" t="s">
        <v>392</v>
      </c>
      <c r="AX315" s="56" t="s">
        <v>183</v>
      </c>
      <c r="AY315" s="7" t="s">
        <v>393</v>
      </c>
      <c r="AZ315" s="10" t="s">
        <v>394</v>
      </c>
      <c r="BA315" s="7" t="s">
        <v>395</v>
      </c>
      <c r="BB315" s="52">
        <v>29879</v>
      </c>
      <c r="BC315" s="17" t="s">
        <v>96</v>
      </c>
      <c r="BD315" s="18" t="s">
        <v>396</v>
      </c>
      <c r="BE315" s="7" t="s">
        <v>216</v>
      </c>
      <c r="BF315" s="7" t="s">
        <v>247</v>
      </c>
      <c r="BG315" s="7" t="s">
        <v>127</v>
      </c>
      <c r="BH315" s="7" t="s">
        <v>127</v>
      </c>
      <c r="BI315" s="19"/>
      <c r="BJ315" s="20" t="s">
        <v>397</v>
      </c>
      <c r="BK315" s="21" t="s">
        <v>398</v>
      </c>
      <c r="BL315" s="7" t="s">
        <v>399</v>
      </c>
      <c r="BM315" s="22" t="s">
        <v>400</v>
      </c>
      <c r="BN315" s="8" t="s">
        <v>401</v>
      </c>
      <c r="BO315" s="49">
        <v>33879</v>
      </c>
      <c r="BP315" s="17" t="s">
        <v>96</v>
      </c>
      <c r="BQ315" s="18" t="s">
        <v>388</v>
      </c>
      <c r="BR315" s="7" t="s">
        <v>216</v>
      </c>
      <c r="BS315" s="7" t="s">
        <v>126</v>
      </c>
      <c r="BT315" s="7" t="s">
        <v>127</v>
      </c>
      <c r="BU315" s="8" t="s">
        <v>127</v>
      </c>
      <c r="BV315" s="23"/>
      <c r="BW315" s="24" t="s">
        <v>127</v>
      </c>
      <c r="BX315" s="21" t="s">
        <v>398</v>
      </c>
      <c r="BY315" s="21" t="s">
        <v>108</v>
      </c>
      <c r="BZ315" s="21" t="s">
        <v>108</v>
      </c>
      <c r="CA315" s="21"/>
      <c r="CB315" s="21"/>
      <c r="CC315" s="21"/>
      <c r="CD315" s="21" t="s">
        <v>108</v>
      </c>
      <c r="CE315" s="21" t="s">
        <v>108</v>
      </c>
      <c r="CF315" s="21"/>
      <c r="CG315" s="21" t="s">
        <v>108</v>
      </c>
      <c r="CH315" s="21"/>
      <c r="CI315" s="21"/>
      <c r="CJ315" s="21" t="s">
        <v>108</v>
      </c>
      <c r="CK315" s="21" t="s">
        <v>108</v>
      </c>
      <c r="CL315" s="21" t="s">
        <v>108</v>
      </c>
      <c r="CM315" s="25"/>
      <c r="CN315" s="25"/>
      <c r="CO315" s="25"/>
      <c r="CP315" s="26"/>
    </row>
    <row r="316" spans="1:94" s="27" customFormat="1" ht="23.25" customHeight="1">
      <c r="A316" s="4">
        <v>185</v>
      </c>
      <c r="B316" s="6"/>
      <c r="C316" s="6"/>
      <c r="D316" s="6"/>
      <c r="E316" s="6"/>
      <c r="F316" s="6"/>
      <c r="G316" s="6"/>
      <c r="H316" s="5" t="s">
        <v>85</v>
      </c>
      <c r="I316" s="6" t="s">
        <v>86</v>
      </c>
      <c r="J316" s="7" t="s">
        <v>1602</v>
      </c>
      <c r="K316" s="7" t="s">
        <v>1603</v>
      </c>
      <c r="L316" s="8"/>
      <c r="M316" s="5">
        <v>2012</v>
      </c>
      <c r="N316" s="5">
        <v>3174187805</v>
      </c>
      <c r="O316" s="5" t="s">
        <v>1604</v>
      </c>
      <c r="P316" s="10" t="s">
        <v>1605</v>
      </c>
      <c r="Q316" s="389" t="s">
        <v>1606</v>
      </c>
      <c r="R316" s="64" t="s">
        <v>6591</v>
      </c>
      <c r="S316" s="212" t="s">
        <v>12145</v>
      </c>
      <c r="T316" s="8" t="s">
        <v>1126</v>
      </c>
      <c r="U316" s="11" t="s">
        <v>172</v>
      </c>
      <c r="V316" s="12" t="s">
        <v>94</v>
      </c>
      <c r="W316" s="13">
        <v>42971</v>
      </c>
      <c r="X316" s="13" t="str">
        <f t="shared" ca="1" si="6"/>
        <v>9 Th, 0 Bln</v>
      </c>
      <c r="Y316" s="5" t="s">
        <v>95</v>
      </c>
      <c r="Z316" s="14"/>
      <c r="AA316" s="5" t="s">
        <v>96</v>
      </c>
      <c r="AB316" s="5" t="s">
        <v>97</v>
      </c>
      <c r="AC316" s="7" t="s">
        <v>1607</v>
      </c>
      <c r="AD316" s="131" t="s">
        <v>100</v>
      </c>
      <c r="AE316" s="131" t="s">
        <v>293</v>
      </c>
      <c r="AF316" s="7" t="s">
        <v>1608</v>
      </c>
      <c r="AG316" s="7" t="s">
        <v>1609</v>
      </c>
      <c r="AH316" s="7" t="s">
        <v>141</v>
      </c>
      <c r="AI316" s="7"/>
      <c r="AJ316" s="7" t="s">
        <v>94</v>
      </c>
      <c r="AK316" s="7" t="s">
        <v>179</v>
      </c>
      <c r="AL316" s="7" t="s">
        <v>1610</v>
      </c>
      <c r="AM316" s="15" t="s">
        <v>1611</v>
      </c>
      <c r="AN316" s="15" t="s">
        <v>1611</v>
      </c>
      <c r="AO316" s="8"/>
      <c r="AP316" s="8" t="s">
        <v>146</v>
      </c>
      <c r="AQ316" s="8" t="s">
        <v>107</v>
      </c>
      <c r="AR316" s="8" t="s">
        <v>108</v>
      </c>
      <c r="AS316" s="132">
        <v>20</v>
      </c>
      <c r="AT316" s="131">
        <v>115</v>
      </c>
      <c r="AU316" s="132" t="s">
        <v>182</v>
      </c>
      <c r="AV316" s="16" t="s">
        <v>112</v>
      </c>
      <c r="AW316" s="56" t="s">
        <v>150</v>
      </c>
      <c r="AX316" s="56" t="s">
        <v>114</v>
      </c>
      <c r="AY316" s="7" t="s">
        <v>1612</v>
      </c>
      <c r="AZ316" s="10" t="s">
        <v>1613</v>
      </c>
      <c r="BA316" s="7" t="s">
        <v>94</v>
      </c>
      <c r="BB316" s="52">
        <v>33361</v>
      </c>
      <c r="BC316" s="17" t="s">
        <v>96</v>
      </c>
      <c r="BD316" s="18" t="s">
        <v>1614</v>
      </c>
      <c r="BE316" s="7" t="s">
        <v>118</v>
      </c>
      <c r="BF316" s="7" t="s">
        <v>119</v>
      </c>
      <c r="BG316" s="7" t="s">
        <v>1615</v>
      </c>
      <c r="BH316" s="7" t="s">
        <v>1616</v>
      </c>
      <c r="BI316" s="19" t="s">
        <v>1617</v>
      </c>
      <c r="BJ316" s="20" t="s">
        <v>1618</v>
      </c>
      <c r="BK316" s="21" t="s">
        <v>1619</v>
      </c>
      <c r="BL316" s="7" t="s">
        <v>1620</v>
      </c>
      <c r="BM316" s="22" t="s">
        <v>1621</v>
      </c>
      <c r="BN316" s="8" t="s">
        <v>94</v>
      </c>
      <c r="BO316" s="49">
        <v>33151</v>
      </c>
      <c r="BP316" s="17" t="s">
        <v>96</v>
      </c>
      <c r="BQ316" s="18" t="s">
        <v>1611</v>
      </c>
      <c r="BR316" s="7" t="s">
        <v>118</v>
      </c>
      <c r="BS316" s="7" t="s">
        <v>247</v>
      </c>
      <c r="BT316" s="7" t="s">
        <v>1622</v>
      </c>
      <c r="BU316" s="8" t="s">
        <v>1623</v>
      </c>
      <c r="BV316" s="23" t="s">
        <v>1611</v>
      </c>
      <c r="BW316" s="24" t="s">
        <v>1624</v>
      </c>
      <c r="BX316" s="21" t="s">
        <v>1625</v>
      </c>
      <c r="BY316" s="21" t="s">
        <v>108</v>
      </c>
      <c r="BZ316" s="21" t="s">
        <v>108</v>
      </c>
      <c r="CA316" s="21"/>
      <c r="CB316" s="21"/>
      <c r="CC316" s="21"/>
      <c r="CD316" s="21" t="s">
        <v>108</v>
      </c>
      <c r="CE316" s="21" t="s">
        <v>108</v>
      </c>
      <c r="CF316" s="21"/>
      <c r="CG316" s="21" t="s">
        <v>108</v>
      </c>
      <c r="CH316" s="21"/>
      <c r="CI316" s="21"/>
      <c r="CJ316" s="21" t="s">
        <v>108</v>
      </c>
      <c r="CK316" s="21" t="s">
        <v>108</v>
      </c>
      <c r="CL316" s="21" t="s">
        <v>108</v>
      </c>
      <c r="CM316" s="25"/>
      <c r="CN316" s="25"/>
      <c r="CO316" s="25"/>
      <c r="CP316" s="26"/>
    </row>
    <row r="317" spans="1:94" s="27" customFormat="1" ht="23.25" customHeight="1">
      <c r="A317" s="4">
        <v>135</v>
      </c>
      <c r="B317" s="6"/>
      <c r="C317" s="6"/>
      <c r="D317" s="6"/>
      <c r="E317" s="6"/>
      <c r="F317" s="6"/>
      <c r="G317" s="6"/>
      <c r="H317" s="5" t="s">
        <v>85</v>
      </c>
      <c r="I317" s="6" t="s">
        <v>86</v>
      </c>
      <c r="J317" s="7" t="s">
        <v>287</v>
      </c>
      <c r="K317" s="7" t="s">
        <v>455</v>
      </c>
      <c r="L317" s="8"/>
      <c r="M317" s="5">
        <v>2014</v>
      </c>
      <c r="N317" s="10">
        <v>3175229711</v>
      </c>
      <c r="O317" s="10" t="s">
        <v>456</v>
      </c>
      <c r="P317" s="10" t="s">
        <v>457</v>
      </c>
      <c r="Q317" s="389" t="s">
        <v>458</v>
      </c>
      <c r="R317" s="64" t="s">
        <v>6591</v>
      </c>
      <c r="S317" s="212" t="s">
        <v>12145</v>
      </c>
      <c r="T317" s="8" t="s">
        <v>459</v>
      </c>
      <c r="U317" s="11" t="s">
        <v>93</v>
      </c>
      <c r="V317" s="12" t="s">
        <v>94</v>
      </c>
      <c r="W317" s="13">
        <v>42959</v>
      </c>
      <c r="X317" s="13" t="str">
        <f t="shared" ref="X317:X330" ca="1" si="7">""&amp;DATEDIF(W317,TODAY(),"y")&amp;" Th, "&amp;DATEDIF(W317,TODAY(),"ym")&amp;" Bln"</f>
        <v>9 Th, 1 Bln</v>
      </c>
      <c r="Y317" s="5" t="s">
        <v>95</v>
      </c>
      <c r="Z317" s="14"/>
      <c r="AA317" s="5" t="s">
        <v>96</v>
      </c>
      <c r="AB317" s="5" t="s">
        <v>97</v>
      </c>
      <c r="AC317" s="7" t="s">
        <v>460</v>
      </c>
      <c r="AD317" s="131">
        <v>3</v>
      </c>
      <c r="AE317" s="131">
        <v>9</v>
      </c>
      <c r="AF317" s="7" t="s">
        <v>295</v>
      </c>
      <c r="AG317" s="7" t="s">
        <v>178</v>
      </c>
      <c r="AH317" s="7" t="s">
        <v>178</v>
      </c>
      <c r="AI317" s="7"/>
      <c r="AJ317" s="7" t="s">
        <v>94</v>
      </c>
      <c r="AK317" s="7" t="s">
        <v>179</v>
      </c>
      <c r="AL317" s="7" t="s">
        <v>461</v>
      </c>
      <c r="AM317" s="15" t="s">
        <v>162</v>
      </c>
      <c r="AN317" s="15" t="s">
        <v>462</v>
      </c>
      <c r="AO317" s="8"/>
      <c r="AP317" s="8" t="s">
        <v>107</v>
      </c>
      <c r="AQ317" s="8" t="s">
        <v>298</v>
      </c>
      <c r="AR317" s="8" t="s">
        <v>108</v>
      </c>
      <c r="AS317" s="132" t="s">
        <v>463</v>
      </c>
      <c r="AT317" s="131" t="s">
        <v>464</v>
      </c>
      <c r="AU317" s="132" t="s">
        <v>149</v>
      </c>
      <c r="AV317" s="16" t="s">
        <v>112</v>
      </c>
      <c r="AW317" s="56" t="s">
        <v>465</v>
      </c>
      <c r="AX317" s="56" t="s">
        <v>466</v>
      </c>
      <c r="AY317" s="7" t="s">
        <v>467</v>
      </c>
      <c r="AZ317" s="10" t="s">
        <v>468</v>
      </c>
      <c r="BA317" s="7" t="s">
        <v>469</v>
      </c>
      <c r="BB317" s="52">
        <v>30336</v>
      </c>
      <c r="BC317" s="17" t="s">
        <v>96</v>
      </c>
      <c r="BD317" s="18" t="s">
        <v>470</v>
      </c>
      <c r="BE317" s="7" t="s">
        <v>118</v>
      </c>
      <c r="BF317" s="7" t="s">
        <v>471</v>
      </c>
      <c r="BG317" s="7" t="s">
        <v>472</v>
      </c>
      <c r="BH317" s="7" t="s">
        <v>473</v>
      </c>
      <c r="BI317" s="19" t="s">
        <v>474</v>
      </c>
      <c r="BJ317" s="20" t="s">
        <v>475</v>
      </c>
      <c r="BK317" s="21" t="s">
        <v>476</v>
      </c>
      <c r="BL317" s="7" t="s">
        <v>477</v>
      </c>
      <c r="BM317" s="22" t="s">
        <v>478</v>
      </c>
      <c r="BN317" s="8" t="s">
        <v>94</v>
      </c>
      <c r="BO317" s="49">
        <v>31314</v>
      </c>
      <c r="BP317" s="17" t="s">
        <v>96</v>
      </c>
      <c r="BQ317" s="18" t="s">
        <v>462</v>
      </c>
      <c r="BR317" s="7" t="s">
        <v>118</v>
      </c>
      <c r="BS317" s="7" t="s">
        <v>126</v>
      </c>
      <c r="BT317" s="7" t="s">
        <v>479</v>
      </c>
      <c r="BU317" s="8" t="s">
        <v>480</v>
      </c>
      <c r="BV317" s="23" t="s">
        <v>462</v>
      </c>
      <c r="BW317" s="24" t="s">
        <v>481</v>
      </c>
      <c r="BX317" s="21" t="s">
        <v>482</v>
      </c>
      <c r="BY317" s="21" t="s">
        <v>127</v>
      </c>
      <c r="BZ317" s="21" t="s">
        <v>127</v>
      </c>
      <c r="CA317" s="21">
        <v>44927</v>
      </c>
      <c r="CB317" s="21"/>
      <c r="CC317" s="21">
        <v>0</v>
      </c>
      <c r="CD317" s="21" t="s">
        <v>118</v>
      </c>
      <c r="CE317" s="21" t="s">
        <v>127</v>
      </c>
      <c r="CF317" s="21" t="s">
        <v>96</v>
      </c>
      <c r="CG317" s="21" t="s">
        <v>127</v>
      </c>
      <c r="CH317" s="21" t="s">
        <v>127</v>
      </c>
      <c r="CI317" s="21" t="s">
        <v>127</v>
      </c>
      <c r="CJ317" s="21" t="s">
        <v>127</v>
      </c>
      <c r="CK317" s="21" t="s">
        <v>127</v>
      </c>
      <c r="CL317" s="21" t="s">
        <v>127</v>
      </c>
      <c r="CM317" s="25"/>
      <c r="CN317" s="25"/>
      <c r="CO317" s="25"/>
      <c r="CP317" s="26"/>
    </row>
    <row r="318" spans="1:94" s="27" customFormat="1" ht="27.75" customHeight="1">
      <c r="A318" s="4">
        <v>158</v>
      </c>
      <c r="B318" s="28"/>
      <c r="C318" s="28"/>
      <c r="D318" s="28"/>
      <c r="E318" s="28"/>
      <c r="F318" s="28"/>
      <c r="G318" s="28"/>
      <c r="H318" s="29" t="s">
        <v>85</v>
      </c>
      <c r="I318" s="28" t="s">
        <v>86</v>
      </c>
      <c r="J318" s="30" t="s">
        <v>1017</v>
      </c>
      <c r="K318" s="30" t="s">
        <v>1018</v>
      </c>
      <c r="L318" s="31"/>
      <c r="M318" s="29">
        <v>2015</v>
      </c>
      <c r="N318" s="29">
        <v>3176855662</v>
      </c>
      <c r="O318" s="29" t="s">
        <v>1019</v>
      </c>
      <c r="P318" s="32" t="s">
        <v>1020</v>
      </c>
      <c r="Q318" s="390" t="s">
        <v>1021</v>
      </c>
      <c r="R318" s="64" t="s">
        <v>6591</v>
      </c>
      <c r="S318" s="212" t="s">
        <v>12145</v>
      </c>
      <c r="T318" s="31" t="s">
        <v>1022</v>
      </c>
      <c r="U318" s="33" t="s">
        <v>172</v>
      </c>
      <c r="V318" s="34" t="s">
        <v>395</v>
      </c>
      <c r="W318" s="35">
        <v>42814</v>
      </c>
      <c r="X318" s="35" t="str">
        <f t="shared" ca="1" si="7"/>
        <v>9 Th, 5 Bln</v>
      </c>
      <c r="Y318" s="31" t="s">
        <v>95</v>
      </c>
      <c r="Z318" s="36"/>
      <c r="AA318" s="31" t="s">
        <v>96</v>
      </c>
      <c r="AB318" s="31" t="s">
        <v>97</v>
      </c>
      <c r="AC318" s="30" t="s">
        <v>1023</v>
      </c>
      <c r="AD318" s="129" t="s">
        <v>207</v>
      </c>
      <c r="AE318" s="129" t="s">
        <v>99</v>
      </c>
      <c r="AF318" s="30" t="s">
        <v>1024</v>
      </c>
      <c r="AG318" s="30" t="s">
        <v>178</v>
      </c>
      <c r="AH318" s="30" t="s">
        <v>178</v>
      </c>
      <c r="AI318" s="30"/>
      <c r="AJ318" s="30" t="s">
        <v>94</v>
      </c>
      <c r="AK318" s="30" t="s">
        <v>104</v>
      </c>
      <c r="AL318" s="30" t="s">
        <v>1025</v>
      </c>
      <c r="AM318" s="37" t="s">
        <v>1026</v>
      </c>
      <c r="AN318" s="37" t="s">
        <v>1027</v>
      </c>
      <c r="AO318" s="31"/>
      <c r="AP318" s="31" t="s">
        <v>389</v>
      </c>
      <c r="AQ318" s="31" t="s">
        <v>298</v>
      </c>
      <c r="AR318" s="31" t="s">
        <v>108</v>
      </c>
      <c r="AS318" s="130" t="s">
        <v>873</v>
      </c>
      <c r="AT318" s="129">
        <v>123</v>
      </c>
      <c r="AU318" s="130" t="s">
        <v>182</v>
      </c>
      <c r="AV318" s="38" t="s">
        <v>112</v>
      </c>
      <c r="AW318" s="123" t="s">
        <v>1028</v>
      </c>
      <c r="AX318" s="123" t="s">
        <v>183</v>
      </c>
      <c r="AY318" s="30" t="s">
        <v>1029</v>
      </c>
      <c r="AZ318" s="32" t="s">
        <v>1030</v>
      </c>
      <c r="BA318" s="30" t="s">
        <v>1031</v>
      </c>
      <c r="BB318" s="53">
        <v>28420</v>
      </c>
      <c r="BC318" s="39" t="s">
        <v>96</v>
      </c>
      <c r="BD318" s="40" t="s">
        <v>1032</v>
      </c>
      <c r="BE318" s="30" t="s">
        <v>118</v>
      </c>
      <c r="BF318" s="30" t="s">
        <v>247</v>
      </c>
      <c r="BG318" s="30" t="s">
        <v>1033</v>
      </c>
      <c r="BH318" s="30" t="s">
        <v>1034</v>
      </c>
      <c r="BI318" s="41"/>
      <c r="BJ318" s="42" t="s">
        <v>1035</v>
      </c>
      <c r="BK318" s="43" t="s">
        <v>1036</v>
      </c>
      <c r="BL318" s="30" t="s">
        <v>1037</v>
      </c>
      <c r="BM318" s="44">
        <v>737112470800005</v>
      </c>
      <c r="BN318" s="125" t="s">
        <v>94</v>
      </c>
      <c r="BO318" s="50">
        <v>29228</v>
      </c>
      <c r="BP318" s="39" t="s">
        <v>96</v>
      </c>
      <c r="BQ318" s="40" t="s">
        <v>1027</v>
      </c>
      <c r="BR318" s="30" t="s">
        <v>118</v>
      </c>
      <c r="BS318" s="30" t="s">
        <v>126</v>
      </c>
      <c r="BT318" s="30" t="s">
        <v>452</v>
      </c>
      <c r="BU318" s="30" t="s">
        <v>1038</v>
      </c>
      <c r="BV318" s="45"/>
      <c r="BW318" s="46">
        <v>0</v>
      </c>
      <c r="BX318" s="47" t="s">
        <v>1039</v>
      </c>
      <c r="BY318" s="47" t="s">
        <v>108</v>
      </c>
      <c r="BZ318" s="47" t="s">
        <v>108</v>
      </c>
      <c r="CA318" s="47"/>
      <c r="CB318" s="47"/>
      <c r="CC318" s="47"/>
      <c r="CD318" s="47" t="s">
        <v>108</v>
      </c>
      <c r="CE318" s="47" t="s">
        <v>108</v>
      </c>
      <c r="CF318" s="47"/>
      <c r="CG318" s="47" t="s">
        <v>108</v>
      </c>
      <c r="CH318" s="47"/>
      <c r="CI318" s="47"/>
      <c r="CJ318" s="47" t="s">
        <v>108</v>
      </c>
      <c r="CK318" s="47" t="s">
        <v>108</v>
      </c>
      <c r="CL318" s="47" t="s">
        <v>108</v>
      </c>
      <c r="CM318" s="25"/>
      <c r="CN318" s="25"/>
      <c r="CO318" s="25"/>
      <c r="CP318" s="26"/>
    </row>
    <row r="319" spans="1:94" s="27" customFormat="1" ht="23.25" customHeight="1">
      <c r="A319" s="4">
        <v>159</v>
      </c>
      <c r="B319" s="6"/>
      <c r="C319" s="6"/>
      <c r="D319" s="6"/>
      <c r="E319" s="6"/>
      <c r="F319" s="6"/>
      <c r="G319" s="6"/>
      <c r="H319" s="5" t="s">
        <v>85</v>
      </c>
      <c r="I319" s="6" t="s">
        <v>86</v>
      </c>
      <c r="J319" s="7" t="s">
        <v>1040</v>
      </c>
      <c r="K319" s="7" t="s">
        <v>1041</v>
      </c>
      <c r="L319" s="8"/>
      <c r="M319" s="5">
        <v>2017</v>
      </c>
      <c r="N319" s="10">
        <v>3184771874</v>
      </c>
      <c r="O319" s="10" t="s">
        <v>1042</v>
      </c>
      <c r="P319" s="10" t="s">
        <v>1043</v>
      </c>
      <c r="Q319" s="389" t="s">
        <v>1044</v>
      </c>
      <c r="R319" s="64" t="s">
        <v>6591</v>
      </c>
      <c r="S319" s="212" t="s">
        <v>12145</v>
      </c>
      <c r="T319" s="8" t="s">
        <v>1045</v>
      </c>
      <c r="U319" s="11" t="s">
        <v>172</v>
      </c>
      <c r="V319" s="12" t="s">
        <v>653</v>
      </c>
      <c r="W319" s="13">
        <v>43293</v>
      </c>
      <c r="X319" s="13" t="str">
        <f t="shared" ca="1" si="7"/>
        <v>8 Th, 2 Bln</v>
      </c>
      <c r="Y319" s="5" t="s">
        <v>95</v>
      </c>
      <c r="Z319" s="14"/>
      <c r="AA319" s="5" t="s">
        <v>96</v>
      </c>
      <c r="AB319" s="5" t="s">
        <v>97</v>
      </c>
      <c r="AC319" s="7" t="s">
        <v>1046</v>
      </c>
      <c r="AD319" s="131" t="s">
        <v>100</v>
      </c>
      <c r="AE319" s="131">
        <v>20</v>
      </c>
      <c r="AF319" s="7" t="s">
        <v>615</v>
      </c>
      <c r="AG319" s="7" t="s">
        <v>178</v>
      </c>
      <c r="AH319" s="7" t="s">
        <v>178</v>
      </c>
      <c r="AI319" s="7"/>
      <c r="AJ319" s="7" t="s">
        <v>94</v>
      </c>
      <c r="AK319" s="7" t="s">
        <v>104</v>
      </c>
      <c r="AL319" s="7" t="s">
        <v>665</v>
      </c>
      <c r="AM319" s="15" t="s">
        <v>1047</v>
      </c>
      <c r="AN319" s="15" t="s">
        <v>1047</v>
      </c>
      <c r="AO319" s="8"/>
      <c r="AP319" s="8" t="s">
        <v>107</v>
      </c>
      <c r="AQ319" s="8" t="s">
        <v>298</v>
      </c>
      <c r="AR319" s="8" t="s">
        <v>108</v>
      </c>
      <c r="AS319" s="132">
        <v>17.2</v>
      </c>
      <c r="AT319" s="131">
        <v>105</v>
      </c>
      <c r="AU319" s="132" t="s">
        <v>149</v>
      </c>
      <c r="AV319" s="16" t="s">
        <v>112</v>
      </c>
      <c r="AW319" s="56" t="s">
        <v>113</v>
      </c>
      <c r="AX319" s="56" t="s">
        <v>114</v>
      </c>
      <c r="AY319" s="7" t="s">
        <v>1048</v>
      </c>
      <c r="AZ319" s="10" t="s">
        <v>1049</v>
      </c>
      <c r="BA319" s="7" t="s">
        <v>1050</v>
      </c>
      <c r="BB319" s="52">
        <v>30926</v>
      </c>
      <c r="BC319" s="17" t="s">
        <v>96</v>
      </c>
      <c r="BD319" s="18" t="s">
        <v>1051</v>
      </c>
      <c r="BE319" s="7" t="s">
        <v>153</v>
      </c>
      <c r="BF319" s="7" t="s">
        <v>471</v>
      </c>
      <c r="BG319" s="7" t="s">
        <v>1052</v>
      </c>
      <c r="BH319" s="7" t="s">
        <v>1053</v>
      </c>
      <c r="BI319" s="19" t="s">
        <v>1054</v>
      </c>
      <c r="BJ319" s="20" t="s">
        <v>1055</v>
      </c>
      <c r="BK319" s="21" t="s">
        <v>1056</v>
      </c>
      <c r="BL319" s="7" t="s">
        <v>1057</v>
      </c>
      <c r="BM319" s="22" t="s">
        <v>1058</v>
      </c>
      <c r="BN319" s="8" t="s">
        <v>653</v>
      </c>
      <c r="BO319" s="49">
        <v>30617</v>
      </c>
      <c r="BP319" s="17" t="s">
        <v>96</v>
      </c>
      <c r="BQ319" s="18" t="s">
        <v>1047</v>
      </c>
      <c r="BR319" s="7" t="s">
        <v>118</v>
      </c>
      <c r="BS319" s="7" t="s">
        <v>119</v>
      </c>
      <c r="BT319" s="7" t="s">
        <v>1059</v>
      </c>
      <c r="BU319" s="8" t="s">
        <v>1060</v>
      </c>
      <c r="BV319" s="23" t="s">
        <v>127</v>
      </c>
      <c r="BW319" s="24" t="s">
        <v>1061</v>
      </c>
      <c r="BX319" s="21" t="s">
        <v>1062</v>
      </c>
      <c r="BY319" s="21" t="s">
        <v>108</v>
      </c>
      <c r="BZ319" s="21" t="s">
        <v>108</v>
      </c>
      <c r="CA319" s="21"/>
      <c r="CB319" s="21"/>
      <c r="CC319" s="21"/>
      <c r="CD319" s="21" t="s">
        <v>108</v>
      </c>
      <c r="CE319" s="21" t="s">
        <v>108</v>
      </c>
      <c r="CF319" s="21"/>
      <c r="CG319" s="21" t="s">
        <v>108</v>
      </c>
      <c r="CH319" s="21"/>
      <c r="CI319" s="21"/>
      <c r="CJ319" s="21" t="s">
        <v>108</v>
      </c>
      <c r="CK319" s="21" t="s">
        <v>108</v>
      </c>
      <c r="CL319" s="21" t="s">
        <v>108</v>
      </c>
      <c r="CM319" s="25"/>
      <c r="CN319" s="25"/>
      <c r="CO319" s="25"/>
      <c r="CP319" s="26"/>
    </row>
    <row r="320" spans="1:94" s="27" customFormat="1" ht="23.25" customHeight="1">
      <c r="A320" s="4">
        <v>161</v>
      </c>
      <c r="B320" s="6"/>
      <c r="C320" s="6"/>
      <c r="D320" s="6"/>
      <c r="E320" s="6"/>
      <c r="F320" s="6"/>
      <c r="G320" s="6"/>
      <c r="H320" s="5" t="s">
        <v>85</v>
      </c>
      <c r="I320" s="6" t="s">
        <v>86</v>
      </c>
      <c r="J320" s="7" t="s">
        <v>166</v>
      </c>
      <c r="K320" s="7" t="s">
        <v>312</v>
      </c>
      <c r="L320" s="8"/>
      <c r="M320" s="5">
        <v>2022</v>
      </c>
      <c r="N320" s="5">
        <v>3181013414</v>
      </c>
      <c r="O320" s="5" t="s">
        <v>1086</v>
      </c>
      <c r="P320" s="10" t="s">
        <v>1087</v>
      </c>
      <c r="Q320" s="389" t="s">
        <v>1088</v>
      </c>
      <c r="R320" s="64" t="s">
        <v>6591</v>
      </c>
      <c r="S320" s="212" t="s">
        <v>12145</v>
      </c>
      <c r="T320" s="8" t="s">
        <v>1089</v>
      </c>
      <c r="U320" s="11" t="s">
        <v>172</v>
      </c>
      <c r="V320" s="12" t="s">
        <v>94</v>
      </c>
      <c r="W320" s="13">
        <v>43232</v>
      </c>
      <c r="X320" s="13" t="str">
        <f t="shared" ca="1" si="7"/>
        <v>8 Th, 4 Bln</v>
      </c>
      <c r="Y320" s="5" t="s">
        <v>95</v>
      </c>
      <c r="Z320" s="14"/>
      <c r="AA320" s="5" t="s">
        <v>96</v>
      </c>
      <c r="AB320" s="5" t="s">
        <v>97</v>
      </c>
      <c r="AC320" s="7" t="s">
        <v>1090</v>
      </c>
      <c r="AD320" s="131" t="s">
        <v>293</v>
      </c>
      <c r="AE320" s="131">
        <v>10</v>
      </c>
      <c r="AF320" s="7" t="s">
        <v>615</v>
      </c>
      <c r="AG320" s="7" t="s">
        <v>178</v>
      </c>
      <c r="AH320" s="7" t="s">
        <v>178</v>
      </c>
      <c r="AI320" s="7"/>
      <c r="AJ320" s="7" t="s">
        <v>94</v>
      </c>
      <c r="AK320" s="7" t="s">
        <v>179</v>
      </c>
      <c r="AL320" s="7" t="s">
        <v>1091</v>
      </c>
      <c r="AM320" s="15" t="s">
        <v>1092</v>
      </c>
      <c r="AN320" s="15" t="s">
        <v>1093</v>
      </c>
      <c r="AO320" s="8"/>
      <c r="AP320" s="8" t="s">
        <v>298</v>
      </c>
      <c r="AQ320" s="8" t="s">
        <v>107</v>
      </c>
      <c r="AR320" s="8" t="s">
        <v>108</v>
      </c>
      <c r="AS320" s="132">
        <v>16</v>
      </c>
      <c r="AT320" s="131">
        <v>110</v>
      </c>
      <c r="AU320" s="132" t="s">
        <v>182</v>
      </c>
      <c r="AV320" s="16" t="s">
        <v>112</v>
      </c>
      <c r="AW320" s="56" t="s">
        <v>127</v>
      </c>
      <c r="AX320" s="56" t="s">
        <v>114</v>
      </c>
      <c r="AY320" s="7" t="s">
        <v>1094</v>
      </c>
      <c r="AZ320" s="10" t="s">
        <v>1095</v>
      </c>
      <c r="BA320" s="7" t="s">
        <v>904</v>
      </c>
      <c r="BB320" s="52">
        <v>45524</v>
      </c>
      <c r="BC320" s="17" t="s">
        <v>96</v>
      </c>
      <c r="BD320" s="18" t="s">
        <v>1096</v>
      </c>
      <c r="BE320" s="7" t="s">
        <v>118</v>
      </c>
      <c r="BF320" s="7" t="s">
        <v>195</v>
      </c>
      <c r="BG320" s="7" t="s">
        <v>127</v>
      </c>
      <c r="BH320" s="7" t="s">
        <v>127</v>
      </c>
      <c r="BI320" s="19"/>
      <c r="BJ320" s="20" t="s">
        <v>190</v>
      </c>
      <c r="BK320" s="21" t="s">
        <v>1097</v>
      </c>
      <c r="BL320" s="7" t="s">
        <v>1098</v>
      </c>
      <c r="BM320" s="22" t="s">
        <v>1099</v>
      </c>
      <c r="BN320" s="8" t="s">
        <v>94</v>
      </c>
      <c r="BO320" s="49">
        <v>29880</v>
      </c>
      <c r="BP320" s="17" t="s">
        <v>96</v>
      </c>
      <c r="BQ320" s="18" t="s">
        <v>1093</v>
      </c>
      <c r="BR320" s="7" t="s">
        <v>118</v>
      </c>
      <c r="BS320" s="7" t="s">
        <v>126</v>
      </c>
      <c r="BT320" s="7" t="s">
        <v>127</v>
      </c>
      <c r="BU320" s="8" t="s">
        <v>127</v>
      </c>
      <c r="BV320" s="23" t="s">
        <v>127</v>
      </c>
      <c r="BW320" s="24" t="s">
        <v>127</v>
      </c>
      <c r="BX320" s="21" t="s">
        <v>1100</v>
      </c>
      <c r="BY320" s="21" t="s">
        <v>108</v>
      </c>
      <c r="BZ320" s="21" t="s">
        <v>108</v>
      </c>
      <c r="CA320" s="21"/>
      <c r="CB320" s="21"/>
      <c r="CC320" s="21"/>
      <c r="CD320" s="21" t="s">
        <v>108</v>
      </c>
      <c r="CE320" s="21" t="s">
        <v>108</v>
      </c>
      <c r="CF320" s="21"/>
      <c r="CG320" s="21" t="s">
        <v>108</v>
      </c>
      <c r="CH320" s="21"/>
      <c r="CI320" s="21"/>
      <c r="CJ320" s="21" t="s">
        <v>108</v>
      </c>
      <c r="CK320" s="21" t="s">
        <v>108</v>
      </c>
      <c r="CL320" s="21" t="s">
        <v>108</v>
      </c>
      <c r="CM320" s="25"/>
      <c r="CN320" s="25"/>
      <c r="CO320" s="25"/>
      <c r="CP320" s="26"/>
    </row>
    <row r="321" spans="1:97" s="27" customFormat="1" ht="23.25" customHeight="1">
      <c r="A321" s="4">
        <v>139</v>
      </c>
      <c r="B321" s="6"/>
      <c r="C321" s="6"/>
      <c r="D321" s="6"/>
      <c r="E321" s="6"/>
      <c r="F321" s="6"/>
      <c r="G321" s="6"/>
      <c r="H321" s="5" t="s">
        <v>85</v>
      </c>
      <c r="I321" s="6" t="s">
        <v>86</v>
      </c>
      <c r="J321" s="7" t="s">
        <v>561</v>
      </c>
      <c r="K321" s="7" t="s">
        <v>562</v>
      </c>
      <c r="L321" s="8"/>
      <c r="M321" s="5">
        <v>2029</v>
      </c>
      <c r="N321" s="5">
        <v>3181703269</v>
      </c>
      <c r="O321" s="5" t="s">
        <v>563</v>
      </c>
      <c r="P321" s="10" t="s">
        <v>564</v>
      </c>
      <c r="Q321" s="389" t="s">
        <v>13415</v>
      </c>
      <c r="R321" s="64" t="s">
        <v>6591</v>
      </c>
      <c r="S321" s="212" t="s">
        <v>12145</v>
      </c>
      <c r="T321" s="8" t="s">
        <v>565</v>
      </c>
      <c r="U321" s="11" t="s">
        <v>172</v>
      </c>
      <c r="V321" s="12" t="s">
        <v>544</v>
      </c>
      <c r="W321" s="13">
        <v>43161</v>
      </c>
      <c r="X321" s="13" t="str">
        <f t="shared" ca="1" si="7"/>
        <v>8 Th, 6 Bln</v>
      </c>
      <c r="Y321" s="5" t="s">
        <v>95</v>
      </c>
      <c r="Z321" s="14"/>
      <c r="AA321" s="5" t="s">
        <v>96</v>
      </c>
      <c r="AB321" s="5" t="s">
        <v>97</v>
      </c>
      <c r="AC321" s="7" t="s">
        <v>566</v>
      </c>
      <c r="AD321" s="131">
        <v>12</v>
      </c>
      <c r="AE321" s="131" t="s">
        <v>293</v>
      </c>
      <c r="AF321" s="7" t="s">
        <v>567</v>
      </c>
      <c r="AG321" s="7" t="s">
        <v>547</v>
      </c>
      <c r="AH321" s="7" t="s">
        <v>178</v>
      </c>
      <c r="AI321" s="7"/>
      <c r="AJ321" s="7" t="s">
        <v>568</v>
      </c>
      <c r="AK321" s="7" t="s">
        <v>104</v>
      </c>
      <c r="AL321" s="7" t="s">
        <v>569</v>
      </c>
      <c r="AM321" s="15" t="s">
        <v>570</v>
      </c>
      <c r="AN321" s="15" t="s">
        <v>570</v>
      </c>
      <c r="AO321" s="8"/>
      <c r="AP321" s="8" t="s">
        <v>107</v>
      </c>
      <c r="AQ321" s="8" t="s">
        <v>107</v>
      </c>
      <c r="AR321" s="8" t="s">
        <v>108</v>
      </c>
      <c r="AS321" s="132">
        <v>21</v>
      </c>
      <c r="AT321" s="131">
        <v>115</v>
      </c>
      <c r="AU321" s="132" t="s">
        <v>149</v>
      </c>
      <c r="AV321" s="16" t="s">
        <v>112</v>
      </c>
      <c r="AW321" s="56" t="s">
        <v>150</v>
      </c>
      <c r="AX321" s="56" t="s">
        <v>427</v>
      </c>
      <c r="AY321" s="7" t="s">
        <v>571</v>
      </c>
      <c r="AZ321" s="10" t="s">
        <v>572</v>
      </c>
      <c r="BA321" s="7" t="s">
        <v>94</v>
      </c>
      <c r="BB321" s="52">
        <v>29876</v>
      </c>
      <c r="BC321" s="17" t="s">
        <v>96</v>
      </c>
      <c r="BD321" s="18" t="s">
        <v>573</v>
      </c>
      <c r="BE321" s="7" t="s">
        <v>118</v>
      </c>
      <c r="BF321" s="7" t="s">
        <v>574</v>
      </c>
      <c r="BG321" s="7" t="s">
        <v>575</v>
      </c>
      <c r="BH321" s="7" t="s">
        <v>576</v>
      </c>
      <c r="BI321" s="19"/>
      <c r="BJ321" s="20" t="s">
        <v>577</v>
      </c>
      <c r="BK321" s="21" t="s">
        <v>578</v>
      </c>
      <c r="BL321" s="7" t="s">
        <v>579</v>
      </c>
      <c r="BM321" s="22" t="s">
        <v>580</v>
      </c>
      <c r="BN321" s="8" t="s">
        <v>581</v>
      </c>
      <c r="BO321" s="49">
        <v>29492</v>
      </c>
      <c r="BP321" s="17" t="s">
        <v>96</v>
      </c>
      <c r="BQ321" s="18" t="s">
        <v>570</v>
      </c>
      <c r="BR321" s="7" t="s">
        <v>118</v>
      </c>
      <c r="BS321" s="7" t="s">
        <v>582</v>
      </c>
      <c r="BT321" s="7" t="s">
        <v>582</v>
      </c>
      <c r="BU321" s="8" t="s">
        <v>582</v>
      </c>
      <c r="BV321" s="23"/>
      <c r="BW321" s="24" t="s">
        <v>583</v>
      </c>
      <c r="BX321" s="21" t="s">
        <v>584</v>
      </c>
      <c r="BY321" s="21" t="s">
        <v>108</v>
      </c>
      <c r="BZ321" s="21" t="s">
        <v>108</v>
      </c>
      <c r="CA321" s="21"/>
      <c r="CB321" s="21"/>
      <c r="CC321" s="21"/>
      <c r="CD321" s="21" t="s">
        <v>108</v>
      </c>
      <c r="CE321" s="21" t="s">
        <v>108</v>
      </c>
      <c r="CF321" s="21"/>
      <c r="CG321" s="21" t="s">
        <v>108</v>
      </c>
      <c r="CH321" s="21"/>
      <c r="CI321" s="21"/>
      <c r="CJ321" s="21" t="s">
        <v>108</v>
      </c>
      <c r="CK321" s="21" t="s">
        <v>108</v>
      </c>
      <c r="CL321" s="21" t="s">
        <v>108</v>
      </c>
      <c r="CM321" s="25"/>
      <c r="CN321" s="25"/>
      <c r="CO321" s="25"/>
      <c r="CP321" s="26"/>
    </row>
    <row r="322" spans="1:97" s="27" customFormat="1" ht="23.25" customHeight="1">
      <c r="A322" s="4">
        <v>189</v>
      </c>
      <c r="B322" s="6"/>
      <c r="C322" s="6"/>
      <c r="D322" s="6"/>
      <c r="E322" s="6"/>
      <c r="F322" s="6"/>
      <c r="G322" s="6"/>
      <c r="H322" s="5" t="s">
        <v>85</v>
      </c>
      <c r="I322" s="6" t="s">
        <v>86</v>
      </c>
      <c r="J322" s="7" t="s">
        <v>1669</v>
      </c>
      <c r="K322" s="7" t="s">
        <v>1670</v>
      </c>
      <c r="L322" s="8"/>
      <c r="M322" s="5">
        <v>2034</v>
      </c>
      <c r="N322" s="5">
        <v>3173451586</v>
      </c>
      <c r="O322" s="5" t="s">
        <v>1671</v>
      </c>
      <c r="P322" s="10" t="s">
        <v>1672</v>
      </c>
      <c r="Q322" s="389" t="s">
        <v>1673</v>
      </c>
      <c r="R322" s="64" t="s">
        <v>6591</v>
      </c>
      <c r="S322" s="212" t="s">
        <v>12145</v>
      </c>
      <c r="T322" s="8" t="s">
        <v>1674</v>
      </c>
      <c r="U322" s="11" t="s">
        <v>172</v>
      </c>
      <c r="V322" s="12" t="s">
        <v>94</v>
      </c>
      <c r="W322" s="13">
        <v>42945</v>
      </c>
      <c r="X322" s="13" t="str">
        <f t="shared" ca="1" si="7"/>
        <v>9 Th, 1 Bln</v>
      </c>
      <c r="Y322" s="5" t="s">
        <v>95</v>
      </c>
      <c r="Z322" s="14"/>
      <c r="AA322" s="5" t="s">
        <v>96</v>
      </c>
      <c r="AB322" s="5" t="s">
        <v>97</v>
      </c>
      <c r="AC322" s="7" t="s">
        <v>1675</v>
      </c>
      <c r="AD322" s="131" t="s">
        <v>1676</v>
      </c>
      <c r="AE322" s="131" t="s">
        <v>966</v>
      </c>
      <c r="AF322" s="7" t="s">
        <v>1677</v>
      </c>
      <c r="AG322" s="7" t="s">
        <v>1678</v>
      </c>
      <c r="AH322" s="7" t="s">
        <v>141</v>
      </c>
      <c r="AI322" s="7"/>
      <c r="AJ322" s="7" t="s">
        <v>94</v>
      </c>
      <c r="AK322" s="7" t="s">
        <v>104</v>
      </c>
      <c r="AL322" s="7" t="s">
        <v>1679</v>
      </c>
      <c r="AM322" s="15" t="s">
        <v>127</v>
      </c>
      <c r="AN322" s="15" t="s">
        <v>1680</v>
      </c>
      <c r="AO322" s="8"/>
      <c r="AP322" s="8" t="s">
        <v>146</v>
      </c>
      <c r="AQ322" s="8" t="s">
        <v>107</v>
      </c>
      <c r="AR322" s="8" t="s">
        <v>108</v>
      </c>
      <c r="AS322" s="132" t="s">
        <v>1681</v>
      </c>
      <c r="AT322" s="131" t="s">
        <v>945</v>
      </c>
      <c r="AU322" s="132" t="s">
        <v>182</v>
      </c>
      <c r="AV322" s="16" t="s">
        <v>112</v>
      </c>
      <c r="AW322" s="56" t="s">
        <v>392</v>
      </c>
      <c r="AX322" s="56" t="s">
        <v>183</v>
      </c>
      <c r="AY322" s="7" t="s">
        <v>127</v>
      </c>
      <c r="AZ322" s="10" t="s">
        <v>127</v>
      </c>
      <c r="BA322" s="7" t="s">
        <v>127</v>
      </c>
      <c r="BB322" s="52" t="s">
        <v>127</v>
      </c>
      <c r="BC322" s="17" t="s">
        <v>127</v>
      </c>
      <c r="BD322" s="18" t="s">
        <v>127</v>
      </c>
      <c r="BE322" s="7" t="s">
        <v>118</v>
      </c>
      <c r="BF322" s="7" t="s">
        <v>127</v>
      </c>
      <c r="BG322" s="7" t="s">
        <v>127</v>
      </c>
      <c r="BH322" s="7" t="s">
        <v>127</v>
      </c>
      <c r="BI322" s="19" t="s">
        <v>127</v>
      </c>
      <c r="BJ322" s="20" t="s">
        <v>127</v>
      </c>
      <c r="BK322" s="21" t="s">
        <v>127</v>
      </c>
      <c r="BL322" s="7" t="s">
        <v>1682</v>
      </c>
      <c r="BM322" s="22" t="s">
        <v>1683</v>
      </c>
      <c r="BN322" s="8" t="s">
        <v>94</v>
      </c>
      <c r="BO322" s="49">
        <v>33704</v>
      </c>
      <c r="BP322" s="17" t="s">
        <v>96</v>
      </c>
      <c r="BQ322" s="18" t="s">
        <v>1680</v>
      </c>
      <c r="BR322" s="7" t="s">
        <v>118</v>
      </c>
      <c r="BS322" s="7" t="s">
        <v>126</v>
      </c>
      <c r="BT322" s="7" t="s">
        <v>127</v>
      </c>
      <c r="BU322" s="8" t="s">
        <v>127</v>
      </c>
      <c r="BV322" s="23" t="s">
        <v>127</v>
      </c>
      <c r="BW322" s="24" t="s">
        <v>1684</v>
      </c>
      <c r="BX322" s="21" t="s">
        <v>1685</v>
      </c>
      <c r="BY322" s="21" t="s">
        <v>1686</v>
      </c>
      <c r="BZ322" s="21" t="s">
        <v>603</v>
      </c>
      <c r="CA322" s="21">
        <v>21505</v>
      </c>
      <c r="CB322" s="21"/>
      <c r="CC322" s="21"/>
      <c r="CD322" s="21" t="s">
        <v>118</v>
      </c>
      <c r="CE322" s="21" t="s">
        <v>1687</v>
      </c>
      <c r="CF322" s="21" t="s">
        <v>1688</v>
      </c>
      <c r="CG322" s="21" t="s">
        <v>1689</v>
      </c>
      <c r="CH322" s="21" t="s">
        <v>175</v>
      </c>
      <c r="CI322" s="21" t="s">
        <v>827</v>
      </c>
      <c r="CJ322" s="21" t="s">
        <v>1690</v>
      </c>
      <c r="CK322" s="21" t="s">
        <v>1690</v>
      </c>
      <c r="CL322" s="21" t="s">
        <v>603</v>
      </c>
      <c r="CM322" s="25"/>
      <c r="CN322" s="25"/>
      <c r="CO322" s="25"/>
      <c r="CP322" s="26"/>
    </row>
    <row r="323" spans="1:97" s="27" customFormat="1" ht="23.25" customHeight="1">
      <c r="A323" s="4">
        <v>220</v>
      </c>
      <c r="B323" s="6"/>
      <c r="C323" s="6"/>
      <c r="D323" s="6"/>
      <c r="E323" s="6"/>
      <c r="F323" s="6"/>
      <c r="G323" s="6"/>
      <c r="H323" s="5" t="s">
        <v>85</v>
      </c>
      <c r="I323" s="6" t="s">
        <v>86</v>
      </c>
      <c r="J323" s="7" t="s">
        <v>166</v>
      </c>
      <c r="K323" s="7" t="s">
        <v>2329</v>
      </c>
      <c r="L323" s="8"/>
      <c r="M323" s="5">
        <v>2035</v>
      </c>
      <c r="N323" s="5">
        <v>3176123613</v>
      </c>
      <c r="O323" s="5" t="s">
        <v>2330</v>
      </c>
      <c r="P323" s="10" t="s">
        <v>2331</v>
      </c>
      <c r="Q323" s="389" t="s">
        <v>2332</v>
      </c>
      <c r="R323" s="64" t="s">
        <v>6591</v>
      </c>
      <c r="S323" s="212" t="s">
        <v>12145</v>
      </c>
      <c r="T323" s="8" t="s">
        <v>2333</v>
      </c>
      <c r="U323" s="11" t="s">
        <v>172</v>
      </c>
      <c r="V323" s="12" t="s">
        <v>94</v>
      </c>
      <c r="W323" s="13">
        <v>43038</v>
      </c>
      <c r="X323" s="13" t="str">
        <f t="shared" ca="1" si="7"/>
        <v>8 Th, 10 Bln</v>
      </c>
      <c r="Y323" s="5" t="s">
        <v>95</v>
      </c>
      <c r="Z323" s="14"/>
      <c r="AA323" s="5" t="s">
        <v>96</v>
      </c>
      <c r="AB323" s="5" t="s">
        <v>97</v>
      </c>
      <c r="AC323" s="7" t="s">
        <v>2334</v>
      </c>
      <c r="AD323" s="131">
        <v>6</v>
      </c>
      <c r="AE323" s="131">
        <v>12</v>
      </c>
      <c r="AF323" s="7" t="s">
        <v>139</v>
      </c>
      <c r="AG323" s="7" t="s">
        <v>140</v>
      </c>
      <c r="AH323" s="7" t="s">
        <v>141</v>
      </c>
      <c r="AI323" s="7"/>
      <c r="AJ323" s="7" t="s">
        <v>142</v>
      </c>
      <c r="AK323" s="7" t="s">
        <v>104</v>
      </c>
      <c r="AL323" s="7" t="s">
        <v>2335</v>
      </c>
      <c r="AM323" s="15" t="s">
        <v>127</v>
      </c>
      <c r="AN323" s="15" t="s">
        <v>2336</v>
      </c>
      <c r="AO323" s="8"/>
      <c r="AP323" s="8" t="s">
        <v>146</v>
      </c>
      <c r="AQ323" s="8" t="s">
        <v>147</v>
      </c>
      <c r="AR323" s="8" t="s">
        <v>108</v>
      </c>
      <c r="AS323" s="132">
        <v>20</v>
      </c>
      <c r="AT323" s="131">
        <v>110</v>
      </c>
      <c r="AU323" s="132" t="s">
        <v>149</v>
      </c>
      <c r="AV323" s="16" t="s">
        <v>112</v>
      </c>
      <c r="AW323" s="56" t="s">
        <v>150</v>
      </c>
      <c r="AX323" s="56" t="s">
        <v>114</v>
      </c>
      <c r="AY323" s="7" t="s">
        <v>2337</v>
      </c>
      <c r="AZ323" s="10" t="s">
        <v>2338</v>
      </c>
      <c r="BA323" s="7" t="s">
        <v>94</v>
      </c>
      <c r="BB323" s="52">
        <v>32886</v>
      </c>
      <c r="BC323" s="17" t="s">
        <v>96</v>
      </c>
      <c r="BD323" s="18" t="s">
        <v>2336</v>
      </c>
      <c r="BE323" s="7" t="s">
        <v>153</v>
      </c>
      <c r="BF323" s="7" t="s">
        <v>2339</v>
      </c>
      <c r="BG323" s="7" t="s">
        <v>328</v>
      </c>
      <c r="BH323" s="7" t="s">
        <v>2340</v>
      </c>
      <c r="BI323" s="19" t="s">
        <v>2341</v>
      </c>
      <c r="BJ323" s="20" t="s">
        <v>2342</v>
      </c>
      <c r="BK323" s="21" t="s">
        <v>2343</v>
      </c>
      <c r="BL323" s="7" t="s">
        <v>2344</v>
      </c>
      <c r="BM323" s="22" t="s">
        <v>2345</v>
      </c>
      <c r="BN323" s="8" t="s">
        <v>94</v>
      </c>
      <c r="BO323" s="49">
        <v>33826</v>
      </c>
      <c r="BP323" s="17" t="s">
        <v>96</v>
      </c>
      <c r="BQ323" s="18" t="s">
        <v>2346</v>
      </c>
      <c r="BR323" s="7" t="s">
        <v>153</v>
      </c>
      <c r="BS323" s="7" t="s">
        <v>154</v>
      </c>
      <c r="BT323" s="7" t="s">
        <v>2347</v>
      </c>
      <c r="BU323" s="8" t="s">
        <v>2348</v>
      </c>
      <c r="BV323" s="23" t="s">
        <v>2349</v>
      </c>
      <c r="BW323" s="24" t="s">
        <v>2350</v>
      </c>
      <c r="BX323" s="21"/>
      <c r="BY323" s="21" t="s">
        <v>108</v>
      </c>
      <c r="BZ323" s="21" t="s">
        <v>108</v>
      </c>
      <c r="CA323" s="21"/>
      <c r="CB323" s="21"/>
      <c r="CC323" s="21"/>
      <c r="CD323" s="21" t="s">
        <v>108</v>
      </c>
      <c r="CE323" s="21" t="s">
        <v>108</v>
      </c>
      <c r="CF323" s="21"/>
      <c r="CG323" s="21" t="s">
        <v>108</v>
      </c>
      <c r="CH323" s="21"/>
      <c r="CI323" s="21"/>
      <c r="CJ323" s="21" t="s">
        <v>108</v>
      </c>
      <c r="CK323" s="21" t="s">
        <v>108</v>
      </c>
      <c r="CL323" s="21" t="s">
        <v>108</v>
      </c>
      <c r="CM323" s="25"/>
      <c r="CN323" s="25"/>
      <c r="CO323" s="25"/>
      <c r="CP323" s="26"/>
    </row>
    <row r="324" spans="1:97" s="27" customFormat="1" ht="23.25" customHeight="1">
      <c r="A324" s="4">
        <v>166</v>
      </c>
      <c r="B324" s="6"/>
      <c r="C324" s="6"/>
      <c r="D324" s="6"/>
      <c r="E324" s="6"/>
      <c r="F324" s="6"/>
      <c r="G324" s="6"/>
      <c r="H324" s="5" t="s">
        <v>85</v>
      </c>
      <c r="I324" s="6" t="s">
        <v>86</v>
      </c>
      <c r="J324" s="7" t="s">
        <v>1197</v>
      </c>
      <c r="K324" s="7" t="s">
        <v>1198</v>
      </c>
      <c r="L324" s="8"/>
      <c r="M324" s="5">
        <v>2038</v>
      </c>
      <c r="N324" s="10">
        <v>3189170368</v>
      </c>
      <c r="O324" s="10" t="s">
        <v>1199</v>
      </c>
      <c r="P324" s="10" t="s">
        <v>1200</v>
      </c>
      <c r="Q324" s="389" t="s">
        <v>1201</v>
      </c>
      <c r="R324" s="64" t="s">
        <v>6591</v>
      </c>
      <c r="S324" s="212" t="s">
        <v>12145</v>
      </c>
      <c r="T324" s="8" t="s">
        <v>1202</v>
      </c>
      <c r="U324" s="11" t="s">
        <v>172</v>
      </c>
      <c r="V324" s="12" t="s">
        <v>263</v>
      </c>
      <c r="W324" s="13">
        <v>43145</v>
      </c>
      <c r="X324" s="13" t="str">
        <f t="shared" ca="1" si="7"/>
        <v>8 Th, 7 Bln</v>
      </c>
      <c r="Y324" s="5" t="s">
        <v>95</v>
      </c>
      <c r="Z324" s="14"/>
      <c r="AA324" s="5" t="s">
        <v>96</v>
      </c>
      <c r="AB324" s="5" t="s">
        <v>97</v>
      </c>
      <c r="AC324" s="7" t="s">
        <v>1203</v>
      </c>
      <c r="AD324" s="131" t="s">
        <v>100</v>
      </c>
      <c r="AE324" s="131" t="s">
        <v>318</v>
      </c>
      <c r="AF324" s="7" t="s">
        <v>993</v>
      </c>
      <c r="AG324" s="7" t="s">
        <v>994</v>
      </c>
      <c r="AH324" s="7" t="s">
        <v>141</v>
      </c>
      <c r="AI324" s="7"/>
      <c r="AJ324" s="7" t="s">
        <v>263</v>
      </c>
      <c r="AK324" s="7" t="s">
        <v>179</v>
      </c>
      <c r="AL324" s="7" t="s">
        <v>1204</v>
      </c>
      <c r="AM324" s="15" t="s">
        <v>127</v>
      </c>
      <c r="AN324" s="15" t="s">
        <v>1205</v>
      </c>
      <c r="AO324" s="8"/>
      <c r="AP324" s="8" t="s">
        <v>298</v>
      </c>
      <c r="AQ324" s="8" t="s">
        <v>107</v>
      </c>
      <c r="AR324" s="8" t="s">
        <v>108</v>
      </c>
      <c r="AS324" s="132">
        <v>20</v>
      </c>
      <c r="AT324" s="131">
        <v>118</v>
      </c>
      <c r="AU324" s="132" t="s">
        <v>182</v>
      </c>
      <c r="AV324" s="16" t="s">
        <v>112</v>
      </c>
      <c r="AW324" s="56" t="s">
        <v>392</v>
      </c>
      <c r="AX324" s="56" t="s">
        <v>114</v>
      </c>
      <c r="AY324" s="7" t="s">
        <v>1206</v>
      </c>
      <c r="AZ324" s="10" t="s">
        <v>1207</v>
      </c>
      <c r="BA324" s="7" t="s">
        <v>1208</v>
      </c>
      <c r="BB324" s="52">
        <v>27756</v>
      </c>
      <c r="BC324" s="17" t="s">
        <v>96</v>
      </c>
      <c r="BD324" s="18" t="s">
        <v>1205</v>
      </c>
      <c r="BE324" s="7" t="s">
        <v>153</v>
      </c>
      <c r="BF324" s="7" t="s">
        <v>1209</v>
      </c>
      <c r="BG324" s="7" t="s">
        <v>1210</v>
      </c>
      <c r="BH324" s="7" t="s">
        <v>1211</v>
      </c>
      <c r="BI324" s="19"/>
      <c r="BJ324" s="20" t="s">
        <v>190</v>
      </c>
      <c r="BK324" s="21" t="s">
        <v>1212</v>
      </c>
      <c r="BL324" s="7" t="s">
        <v>1213</v>
      </c>
      <c r="BM324" s="22" t="s">
        <v>1214</v>
      </c>
      <c r="BN324" s="8" t="s">
        <v>222</v>
      </c>
      <c r="BO324" s="49">
        <v>29382</v>
      </c>
      <c r="BP324" s="17" t="s">
        <v>96</v>
      </c>
      <c r="BQ324" s="18" t="s">
        <v>1215</v>
      </c>
      <c r="BR324" s="7" t="s">
        <v>216</v>
      </c>
      <c r="BS324" s="7" t="s">
        <v>790</v>
      </c>
      <c r="BT324" s="7" t="s">
        <v>1216</v>
      </c>
      <c r="BU324" s="8" t="s">
        <v>1217</v>
      </c>
      <c r="BV324" s="23"/>
      <c r="BW324" s="24">
        <v>0</v>
      </c>
      <c r="BX324" s="21"/>
      <c r="BY324" s="21" t="s">
        <v>108</v>
      </c>
      <c r="BZ324" s="21" t="s">
        <v>108</v>
      </c>
      <c r="CA324" s="21"/>
      <c r="CB324" s="21"/>
      <c r="CC324" s="21"/>
      <c r="CD324" s="21" t="s">
        <v>108</v>
      </c>
      <c r="CE324" s="21" t="s">
        <v>108</v>
      </c>
      <c r="CF324" s="21"/>
      <c r="CG324" s="21" t="s">
        <v>108</v>
      </c>
      <c r="CH324" s="21"/>
      <c r="CI324" s="21"/>
      <c r="CJ324" s="21" t="s">
        <v>108</v>
      </c>
      <c r="CK324" s="21" t="s">
        <v>108</v>
      </c>
      <c r="CL324" s="21" t="s">
        <v>108</v>
      </c>
      <c r="CM324" s="25"/>
      <c r="CN324" s="25"/>
      <c r="CO324" s="25"/>
      <c r="CP324" s="26"/>
    </row>
    <row r="325" spans="1:97" s="27" customFormat="1" ht="23.25" customHeight="1">
      <c r="A325" s="4">
        <v>140</v>
      </c>
      <c r="B325" s="6"/>
      <c r="C325" s="6"/>
      <c r="D325" s="6"/>
      <c r="E325" s="6"/>
      <c r="F325" s="6"/>
      <c r="G325" s="6"/>
      <c r="H325" s="5" t="s">
        <v>85</v>
      </c>
      <c r="I325" s="6" t="s">
        <v>86</v>
      </c>
      <c r="J325" s="7" t="s">
        <v>166</v>
      </c>
      <c r="K325" s="7" t="s">
        <v>585</v>
      </c>
      <c r="L325" s="8"/>
      <c r="M325" s="5">
        <v>2040</v>
      </c>
      <c r="N325" s="5">
        <v>3170665799</v>
      </c>
      <c r="O325" s="5" t="s">
        <v>586</v>
      </c>
      <c r="P325" s="10" t="s">
        <v>587</v>
      </c>
      <c r="Q325" s="389" t="s">
        <v>588</v>
      </c>
      <c r="R325" s="64" t="s">
        <v>6591</v>
      </c>
      <c r="S325" s="212" t="s">
        <v>12145</v>
      </c>
      <c r="T325" s="8" t="s">
        <v>589</v>
      </c>
      <c r="U325" s="11" t="s">
        <v>172</v>
      </c>
      <c r="V325" s="12" t="s">
        <v>94</v>
      </c>
      <c r="W325" s="13">
        <v>43093</v>
      </c>
      <c r="X325" s="13" t="str">
        <f t="shared" ca="1" si="7"/>
        <v>8 Th, 8 Bln</v>
      </c>
      <c r="Y325" s="5" t="s">
        <v>95</v>
      </c>
      <c r="Z325" s="14"/>
      <c r="AA325" s="5" t="s">
        <v>96</v>
      </c>
      <c r="AB325" s="5" t="s">
        <v>97</v>
      </c>
      <c r="AC325" s="7" t="s">
        <v>590</v>
      </c>
      <c r="AD325" s="131" t="s">
        <v>207</v>
      </c>
      <c r="AE325" s="131">
        <v>15</v>
      </c>
      <c r="AF325" s="7" t="s">
        <v>139</v>
      </c>
      <c r="AG325" s="7" t="s">
        <v>140</v>
      </c>
      <c r="AH325" s="7" t="s">
        <v>141</v>
      </c>
      <c r="AI325" s="7"/>
      <c r="AJ325" s="7" t="s">
        <v>94</v>
      </c>
      <c r="AK325" s="7" t="s">
        <v>104</v>
      </c>
      <c r="AL325" s="7" t="s">
        <v>591</v>
      </c>
      <c r="AM325" s="15" t="s">
        <v>127</v>
      </c>
      <c r="AN325" s="15" t="s">
        <v>592</v>
      </c>
      <c r="AO325" s="8"/>
      <c r="AP325" s="8" t="s">
        <v>146</v>
      </c>
      <c r="AQ325" s="8" t="s">
        <v>127</v>
      </c>
      <c r="AR325" s="8" t="s">
        <v>127</v>
      </c>
      <c r="AS325" s="132">
        <v>20</v>
      </c>
      <c r="AT325" s="131">
        <v>119</v>
      </c>
      <c r="AU325" s="132" t="s">
        <v>182</v>
      </c>
      <c r="AV325" s="16" t="s">
        <v>112</v>
      </c>
      <c r="AW325" s="56" t="s">
        <v>150</v>
      </c>
      <c r="AX325" s="56" t="s">
        <v>323</v>
      </c>
      <c r="AY325" s="7" t="s">
        <v>593</v>
      </c>
      <c r="AZ325" s="10" t="s">
        <v>594</v>
      </c>
      <c r="BA325" s="7" t="s">
        <v>94</v>
      </c>
      <c r="BB325" s="52">
        <v>32564</v>
      </c>
      <c r="BC325" s="17" t="s">
        <v>96</v>
      </c>
      <c r="BD325" s="18" t="s">
        <v>595</v>
      </c>
      <c r="BE325" s="7" t="s">
        <v>216</v>
      </c>
      <c r="BF325" s="7" t="s">
        <v>596</v>
      </c>
      <c r="BG325" s="7" t="s">
        <v>597</v>
      </c>
      <c r="BH325" s="7" t="s">
        <v>598</v>
      </c>
      <c r="BI325" s="19" t="s">
        <v>127</v>
      </c>
      <c r="BJ325" s="20" t="s">
        <v>599</v>
      </c>
      <c r="BK325" s="21" t="s">
        <v>600</v>
      </c>
      <c r="BL325" s="7" t="s">
        <v>601</v>
      </c>
      <c r="BM325" s="22" t="s">
        <v>602</v>
      </c>
      <c r="BN325" s="8" t="s">
        <v>603</v>
      </c>
      <c r="BO325" s="49">
        <v>32364</v>
      </c>
      <c r="BP325" s="17" t="s">
        <v>96</v>
      </c>
      <c r="BQ325" s="18" t="s">
        <v>592</v>
      </c>
      <c r="BR325" s="7" t="s">
        <v>118</v>
      </c>
      <c r="BS325" s="7" t="s">
        <v>471</v>
      </c>
      <c r="BT325" s="7" t="s">
        <v>604</v>
      </c>
      <c r="BU325" s="8" t="s">
        <v>605</v>
      </c>
      <c r="BV325" s="23" t="s">
        <v>606</v>
      </c>
      <c r="BW325" s="24" t="s">
        <v>607</v>
      </c>
      <c r="BX325" s="21" t="s">
        <v>608</v>
      </c>
      <c r="BY325" s="21" t="s">
        <v>108</v>
      </c>
      <c r="BZ325" s="21" t="s">
        <v>108</v>
      </c>
      <c r="CA325" s="21"/>
      <c r="CB325" s="21"/>
      <c r="CC325" s="21"/>
      <c r="CD325" s="21" t="s">
        <v>108</v>
      </c>
      <c r="CE325" s="21" t="s">
        <v>108</v>
      </c>
      <c r="CF325" s="21"/>
      <c r="CG325" s="21" t="s">
        <v>108</v>
      </c>
      <c r="CH325" s="21"/>
      <c r="CI325" s="21"/>
      <c r="CJ325" s="21" t="s">
        <v>108</v>
      </c>
      <c r="CK325" s="21" t="s">
        <v>108</v>
      </c>
      <c r="CL325" s="21" t="s">
        <v>108</v>
      </c>
      <c r="CM325" s="25"/>
      <c r="CN325" s="25"/>
      <c r="CO325" s="25"/>
      <c r="CP325" s="26"/>
    </row>
    <row r="326" spans="1:97" s="27" customFormat="1" ht="23.25" customHeight="1">
      <c r="A326" s="4">
        <v>168</v>
      </c>
      <c r="B326" s="6"/>
      <c r="C326" s="6"/>
      <c r="D326" s="6"/>
      <c r="E326" s="6"/>
      <c r="F326" s="6"/>
      <c r="G326" s="6"/>
      <c r="H326" s="5" t="s">
        <v>85</v>
      </c>
      <c r="I326" s="6" t="s">
        <v>86</v>
      </c>
      <c r="J326" s="7" t="s">
        <v>1237</v>
      </c>
      <c r="K326" s="7" t="s">
        <v>1238</v>
      </c>
      <c r="L326" s="8"/>
      <c r="M326" s="5">
        <v>2041</v>
      </c>
      <c r="N326" s="5">
        <v>3177407280</v>
      </c>
      <c r="O326" s="5" t="s">
        <v>1239</v>
      </c>
      <c r="P326" s="10" t="s">
        <v>1240</v>
      </c>
      <c r="Q326" s="389" t="s">
        <v>1241</v>
      </c>
      <c r="R326" s="64" t="s">
        <v>6591</v>
      </c>
      <c r="S326" s="212" t="s">
        <v>12145</v>
      </c>
      <c r="T326" s="8" t="s">
        <v>1242</v>
      </c>
      <c r="U326" s="11" t="s">
        <v>93</v>
      </c>
      <c r="V326" s="12" t="s">
        <v>94</v>
      </c>
      <c r="W326" s="13">
        <v>42922</v>
      </c>
      <c r="X326" s="13" t="str">
        <f t="shared" ca="1" si="7"/>
        <v>9 Th, 2 Bln</v>
      </c>
      <c r="Y326" s="5" t="s">
        <v>95</v>
      </c>
      <c r="Z326" s="14"/>
      <c r="AA326" s="5" t="s">
        <v>96</v>
      </c>
      <c r="AB326" s="5" t="s">
        <v>97</v>
      </c>
      <c r="AC326" s="7" t="s">
        <v>1243</v>
      </c>
      <c r="AD326" s="131" t="s">
        <v>293</v>
      </c>
      <c r="AE326" s="131">
        <v>19</v>
      </c>
      <c r="AF326" s="7" t="s">
        <v>1244</v>
      </c>
      <c r="AG326" s="7" t="s">
        <v>102</v>
      </c>
      <c r="AH326" s="7" t="s">
        <v>102</v>
      </c>
      <c r="AI326" s="7"/>
      <c r="AJ326" s="7" t="s">
        <v>94</v>
      </c>
      <c r="AK326" s="7" t="s">
        <v>179</v>
      </c>
      <c r="AL326" s="7" t="s">
        <v>1245</v>
      </c>
      <c r="AM326" s="15" t="s">
        <v>1246</v>
      </c>
      <c r="AN326" s="15" t="s">
        <v>1247</v>
      </c>
      <c r="AO326" s="8"/>
      <c r="AP326" s="8" t="s">
        <v>298</v>
      </c>
      <c r="AQ326" s="8" t="s">
        <v>107</v>
      </c>
      <c r="AR326" s="8" t="s">
        <v>108</v>
      </c>
      <c r="AS326" s="132">
        <v>24</v>
      </c>
      <c r="AT326" s="131">
        <v>117</v>
      </c>
      <c r="AU326" s="132" t="s">
        <v>149</v>
      </c>
      <c r="AV326" s="16" t="s">
        <v>112</v>
      </c>
      <c r="AW326" s="56" t="s">
        <v>392</v>
      </c>
      <c r="AX326" s="56" t="s">
        <v>114</v>
      </c>
      <c r="AY326" s="7" t="s">
        <v>1248</v>
      </c>
      <c r="AZ326" s="10">
        <v>357304080280007</v>
      </c>
      <c r="BA326" s="7" t="s">
        <v>94</v>
      </c>
      <c r="BB326" s="52">
        <v>29259</v>
      </c>
      <c r="BC326" s="17" t="s">
        <v>96</v>
      </c>
      <c r="BD326" s="18" t="s">
        <v>1249</v>
      </c>
      <c r="BE326" s="7" t="s">
        <v>224</v>
      </c>
      <c r="BF326" s="7" t="s">
        <v>154</v>
      </c>
      <c r="BG326" s="7" t="s">
        <v>226</v>
      </c>
      <c r="BH326" s="7" t="s">
        <v>1250</v>
      </c>
      <c r="BI326" s="19" t="s">
        <v>1251</v>
      </c>
      <c r="BJ326" s="20" t="s">
        <v>1252</v>
      </c>
      <c r="BK326" s="21" t="s">
        <v>1253</v>
      </c>
      <c r="BL326" s="7" t="s">
        <v>1254</v>
      </c>
      <c r="BM326" s="22" t="s">
        <v>1255</v>
      </c>
      <c r="BN326" s="8" t="s">
        <v>94</v>
      </c>
      <c r="BO326" s="49">
        <v>29962</v>
      </c>
      <c r="BP326" s="17" t="s">
        <v>96</v>
      </c>
      <c r="BQ326" s="18" t="s">
        <v>1247</v>
      </c>
      <c r="BR326" s="7" t="s">
        <v>216</v>
      </c>
      <c r="BS326" s="7" t="s">
        <v>126</v>
      </c>
      <c r="BT326" s="7" t="s">
        <v>1256</v>
      </c>
      <c r="BU326" s="8" t="s">
        <v>1256</v>
      </c>
      <c r="BV326" s="23" t="s">
        <v>127</v>
      </c>
      <c r="BW326" s="24" t="s">
        <v>1256</v>
      </c>
      <c r="BX326" s="21" t="s">
        <v>1257</v>
      </c>
      <c r="BY326" s="21" t="s">
        <v>108</v>
      </c>
      <c r="BZ326" s="21" t="s">
        <v>108</v>
      </c>
      <c r="CA326" s="21"/>
      <c r="CB326" s="21"/>
      <c r="CC326" s="21"/>
      <c r="CD326" s="21" t="s">
        <v>108</v>
      </c>
      <c r="CE326" s="21" t="s">
        <v>108</v>
      </c>
      <c r="CF326" s="21"/>
      <c r="CG326" s="21" t="s">
        <v>108</v>
      </c>
      <c r="CH326" s="21"/>
      <c r="CI326" s="21"/>
      <c r="CJ326" s="21" t="s">
        <v>108</v>
      </c>
      <c r="CK326" s="21" t="s">
        <v>108</v>
      </c>
      <c r="CL326" s="21" t="s">
        <v>108</v>
      </c>
      <c r="CM326" s="25"/>
      <c r="CN326" s="25"/>
      <c r="CO326" s="25"/>
      <c r="CP326" s="26"/>
    </row>
    <row r="327" spans="1:97" s="27" customFormat="1" ht="27.75" customHeight="1">
      <c r="A327" s="4">
        <v>221</v>
      </c>
      <c r="B327" s="28"/>
      <c r="C327" s="28"/>
      <c r="D327" s="28"/>
      <c r="E327" s="28"/>
      <c r="F327" s="28"/>
      <c r="G327" s="28"/>
      <c r="H327" s="29" t="s">
        <v>85</v>
      </c>
      <c r="I327" s="28" t="s">
        <v>86</v>
      </c>
      <c r="J327" s="30" t="s">
        <v>2351</v>
      </c>
      <c r="K327" s="30" t="s">
        <v>2352</v>
      </c>
      <c r="L327" s="31"/>
      <c r="M327" s="29">
        <v>2044</v>
      </c>
      <c r="N327" s="29">
        <v>3171418386</v>
      </c>
      <c r="O327" s="29" t="s">
        <v>2353</v>
      </c>
      <c r="P327" s="32" t="s">
        <v>2354</v>
      </c>
      <c r="Q327" s="390" t="s">
        <v>2355</v>
      </c>
      <c r="R327" s="64" t="s">
        <v>6591</v>
      </c>
      <c r="S327" s="212" t="s">
        <v>12145</v>
      </c>
      <c r="T327" s="31" t="s">
        <v>2356</v>
      </c>
      <c r="U327" s="33" t="s">
        <v>172</v>
      </c>
      <c r="V327" s="34" t="s">
        <v>94</v>
      </c>
      <c r="W327" s="35">
        <v>42954</v>
      </c>
      <c r="X327" s="35" t="str">
        <f t="shared" ca="1" si="7"/>
        <v>9 Th, 1 Bln</v>
      </c>
      <c r="Y327" s="31" t="s">
        <v>425</v>
      </c>
      <c r="Z327" s="36" t="s">
        <v>2357</v>
      </c>
      <c r="AA327" s="31" t="s">
        <v>96</v>
      </c>
      <c r="AB327" s="31" t="s">
        <v>97</v>
      </c>
      <c r="AC327" s="30" t="s">
        <v>2358</v>
      </c>
      <c r="AD327" s="129" t="s">
        <v>1281</v>
      </c>
      <c r="AE327" s="129" t="s">
        <v>239</v>
      </c>
      <c r="AF327" s="30" t="s">
        <v>2359</v>
      </c>
      <c r="AG327" s="30" t="s">
        <v>241</v>
      </c>
      <c r="AH327" s="30" t="s">
        <v>241</v>
      </c>
      <c r="AI327" s="30"/>
      <c r="AJ327" s="30" t="s">
        <v>103</v>
      </c>
      <c r="AK327" s="30" t="s">
        <v>104</v>
      </c>
      <c r="AL327" s="30" t="s">
        <v>2360</v>
      </c>
      <c r="AM327" s="37" t="s">
        <v>127</v>
      </c>
      <c r="AN327" s="37" t="s">
        <v>2361</v>
      </c>
      <c r="AO327" s="31"/>
      <c r="AP327" s="31" t="s">
        <v>146</v>
      </c>
      <c r="AQ327" s="31" t="s">
        <v>147</v>
      </c>
      <c r="AR327" s="31" t="s">
        <v>146</v>
      </c>
      <c r="AS327" s="130" t="s">
        <v>2312</v>
      </c>
      <c r="AT327" s="129">
        <v>110</v>
      </c>
      <c r="AU327" s="130" t="s">
        <v>182</v>
      </c>
      <c r="AV327" s="38" t="s">
        <v>112</v>
      </c>
      <c r="AW327" s="123" t="s">
        <v>150</v>
      </c>
      <c r="AX327" s="123" t="s">
        <v>114</v>
      </c>
      <c r="AY327" s="30" t="s">
        <v>2362</v>
      </c>
      <c r="AZ327" s="32" t="s">
        <v>2363</v>
      </c>
      <c r="BA327" s="30" t="s">
        <v>94</v>
      </c>
      <c r="BB327" s="53">
        <v>33925</v>
      </c>
      <c r="BC327" s="39" t="s">
        <v>96</v>
      </c>
      <c r="BD327" s="40" t="s">
        <v>2364</v>
      </c>
      <c r="BE327" s="30" t="s">
        <v>118</v>
      </c>
      <c r="BF327" s="30" t="s">
        <v>1571</v>
      </c>
      <c r="BG327" s="30" t="s">
        <v>2365</v>
      </c>
      <c r="BH327" s="30" t="s">
        <v>2366</v>
      </c>
      <c r="BI327" s="41" t="s">
        <v>127</v>
      </c>
      <c r="BJ327" s="42" t="s">
        <v>2367</v>
      </c>
      <c r="BK327" s="43" t="s">
        <v>2368</v>
      </c>
      <c r="BL327" s="30" t="s">
        <v>2369</v>
      </c>
      <c r="BM327" s="44" t="s">
        <v>2370</v>
      </c>
      <c r="BN327" s="125" t="s">
        <v>94</v>
      </c>
      <c r="BO327" s="50">
        <v>34310</v>
      </c>
      <c r="BP327" s="39" t="s">
        <v>96</v>
      </c>
      <c r="BQ327" s="40" t="s">
        <v>2361</v>
      </c>
      <c r="BR327" s="30" t="s">
        <v>118</v>
      </c>
      <c r="BS327" s="30" t="s">
        <v>254</v>
      </c>
      <c r="BT327" s="30" t="s">
        <v>127</v>
      </c>
      <c r="BU327" s="30" t="s">
        <v>127</v>
      </c>
      <c r="BV327" s="45" t="s">
        <v>127</v>
      </c>
      <c r="BW327" s="46" t="s">
        <v>127</v>
      </c>
      <c r="BX327" s="47" t="s">
        <v>2371</v>
      </c>
      <c r="BY327" s="47" t="s">
        <v>2372</v>
      </c>
      <c r="BZ327" s="47" t="s">
        <v>2373</v>
      </c>
      <c r="CA327" s="47">
        <v>33873</v>
      </c>
      <c r="CB327" s="47"/>
      <c r="CC327" s="47" t="s">
        <v>2374</v>
      </c>
      <c r="CD327" s="47" t="s">
        <v>118</v>
      </c>
      <c r="CE327" s="47" t="s">
        <v>1571</v>
      </c>
      <c r="CF327" s="47" t="s">
        <v>96</v>
      </c>
      <c r="CG327" s="47" t="s">
        <v>2358</v>
      </c>
      <c r="CH327" s="47">
        <v>5</v>
      </c>
      <c r="CI327" s="47">
        <v>7</v>
      </c>
      <c r="CJ327" s="47" t="s">
        <v>2359</v>
      </c>
      <c r="CK327" s="47" t="s">
        <v>241</v>
      </c>
      <c r="CL327" s="47" t="s">
        <v>103</v>
      </c>
      <c r="CM327" s="25"/>
      <c r="CN327" s="25"/>
      <c r="CO327" s="25"/>
      <c r="CP327" s="26"/>
    </row>
    <row r="328" spans="1:97" s="27" customFormat="1" ht="23.25" customHeight="1">
      <c r="A328" s="4">
        <v>194</v>
      </c>
      <c r="B328" s="6"/>
      <c r="C328" s="6"/>
      <c r="D328" s="6"/>
      <c r="E328" s="6"/>
      <c r="F328" s="6"/>
      <c r="G328" s="6"/>
      <c r="H328" s="5" t="s">
        <v>85</v>
      </c>
      <c r="I328" s="6" t="s">
        <v>86</v>
      </c>
      <c r="J328" s="7" t="s">
        <v>311</v>
      </c>
      <c r="K328" s="7" t="s">
        <v>609</v>
      </c>
      <c r="L328" s="8"/>
      <c r="M328" s="5">
        <v>2053</v>
      </c>
      <c r="N328" s="5">
        <v>3176793639</v>
      </c>
      <c r="O328" s="5" t="s">
        <v>1783</v>
      </c>
      <c r="P328" s="10" t="s">
        <v>1784</v>
      </c>
      <c r="Q328" s="389" t="s">
        <v>1785</v>
      </c>
      <c r="R328" s="64" t="s">
        <v>6591</v>
      </c>
      <c r="S328" s="212" t="s">
        <v>12145</v>
      </c>
      <c r="T328" s="8" t="s">
        <v>1786</v>
      </c>
      <c r="U328" s="11" t="s">
        <v>93</v>
      </c>
      <c r="V328" s="12" t="s">
        <v>1787</v>
      </c>
      <c r="W328" s="13">
        <v>43015</v>
      </c>
      <c r="X328" s="13" t="str">
        <f t="shared" ca="1" si="7"/>
        <v>8 Th, 11 Bln</v>
      </c>
      <c r="Y328" s="5" t="s">
        <v>95</v>
      </c>
      <c r="Z328" s="14"/>
      <c r="AA328" s="5" t="s">
        <v>96</v>
      </c>
      <c r="AB328" s="5" t="s">
        <v>97</v>
      </c>
      <c r="AC328" s="7" t="s">
        <v>1788</v>
      </c>
      <c r="AD328" s="131" t="s">
        <v>176</v>
      </c>
      <c r="AE328" s="131" t="s">
        <v>1789</v>
      </c>
      <c r="AF328" s="7" t="s">
        <v>615</v>
      </c>
      <c r="AG328" s="7" t="s">
        <v>178</v>
      </c>
      <c r="AH328" s="7" t="s">
        <v>178</v>
      </c>
      <c r="AI328" s="7"/>
      <c r="AJ328" s="7" t="s">
        <v>94</v>
      </c>
      <c r="AK328" s="7" t="s">
        <v>104</v>
      </c>
      <c r="AL328" s="7" t="s">
        <v>461</v>
      </c>
      <c r="AM328" s="15" t="s">
        <v>1790</v>
      </c>
      <c r="AN328" s="15" t="s">
        <v>1790</v>
      </c>
      <c r="AO328" s="8"/>
      <c r="AP328" s="8" t="s">
        <v>1791</v>
      </c>
      <c r="AQ328" s="8" t="s">
        <v>146</v>
      </c>
      <c r="AR328" s="8" t="s">
        <v>108</v>
      </c>
      <c r="AS328" s="132">
        <v>19</v>
      </c>
      <c r="AT328" s="131">
        <v>110</v>
      </c>
      <c r="AU328" s="132" t="s">
        <v>182</v>
      </c>
      <c r="AV328" s="16" t="s">
        <v>112</v>
      </c>
      <c r="AW328" s="56" t="s">
        <v>392</v>
      </c>
      <c r="AX328" s="56" t="s">
        <v>1792</v>
      </c>
      <c r="AY328" s="7" t="s">
        <v>1793</v>
      </c>
      <c r="AZ328" s="10" t="s">
        <v>1794</v>
      </c>
      <c r="BA328" s="7" t="s">
        <v>713</v>
      </c>
      <c r="BB328" s="52">
        <v>31513</v>
      </c>
      <c r="BC328" s="17" t="s">
        <v>96</v>
      </c>
      <c r="BD328" s="18" t="s">
        <v>1795</v>
      </c>
      <c r="BE328" s="7" t="s">
        <v>153</v>
      </c>
      <c r="BF328" s="7" t="s">
        <v>1796</v>
      </c>
      <c r="BG328" s="7" t="s">
        <v>1797</v>
      </c>
      <c r="BH328" s="7" t="s">
        <v>1798</v>
      </c>
      <c r="BI328" s="19" t="s">
        <v>1799</v>
      </c>
      <c r="BJ328" s="20" t="s">
        <v>1800</v>
      </c>
      <c r="BK328" s="21" t="s">
        <v>1801</v>
      </c>
      <c r="BL328" s="7" t="s">
        <v>1802</v>
      </c>
      <c r="BM328" s="22" t="s">
        <v>1803</v>
      </c>
      <c r="BN328" s="8" t="s">
        <v>1787</v>
      </c>
      <c r="BO328" s="49">
        <v>32777</v>
      </c>
      <c r="BP328" s="17" t="s">
        <v>96</v>
      </c>
      <c r="BQ328" s="18" t="s">
        <v>1790</v>
      </c>
      <c r="BR328" s="7" t="s">
        <v>153</v>
      </c>
      <c r="BS328" s="7" t="s">
        <v>471</v>
      </c>
      <c r="BT328" s="7" t="s">
        <v>1804</v>
      </c>
      <c r="BU328" s="8" t="s">
        <v>1805</v>
      </c>
      <c r="BV328" s="23" t="s">
        <v>1806</v>
      </c>
      <c r="BW328" s="24" t="s">
        <v>1807</v>
      </c>
      <c r="BX328" s="21" t="s">
        <v>1808</v>
      </c>
      <c r="BY328" s="21" t="s">
        <v>108</v>
      </c>
      <c r="BZ328" s="21" t="s">
        <v>108</v>
      </c>
      <c r="CA328" s="21"/>
      <c r="CB328" s="21"/>
      <c r="CC328" s="21"/>
      <c r="CD328" s="21" t="s">
        <v>108</v>
      </c>
      <c r="CE328" s="21" t="s">
        <v>108</v>
      </c>
      <c r="CF328" s="21"/>
      <c r="CG328" s="21" t="s">
        <v>108</v>
      </c>
      <c r="CH328" s="21"/>
      <c r="CI328" s="21"/>
      <c r="CJ328" s="21" t="s">
        <v>108</v>
      </c>
      <c r="CK328" s="21" t="s">
        <v>108</v>
      </c>
      <c r="CL328" s="21" t="s">
        <v>108</v>
      </c>
      <c r="CM328" s="25"/>
      <c r="CN328" s="25"/>
      <c r="CO328" s="25"/>
      <c r="CP328" s="26"/>
    </row>
    <row r="329" spans="1:97" s="27" customFormat="1" ht="23.25" customHeight="1">
      <c r="A329" s="4">
        <v>224</v>
      </c>
      <c r="B329" s="6"/>
      <c r="C329" s="6"/>
      <c r="D329" s="6"/>
      <c r="E329" s="6"/>
      <c r="F329" s="6"/>
      <c r="G329" s="6"/>
      <c r="H329" s="5" t="s">
        <v>85</v>
      </c>
      <c r="I329" s="6" t="s">
        <v>86</v>
      </c>
      <c r="J329" s="7" t="s">
        <v>2420</v>
      </c>
      <c r="K329" s="7" t="s">
        <v>2421</v>
      </c>
      <c r="L329" s="8"/>
      <c r="M329" s="5">
        <v>2055</v>
      </c>
      <c r="N329" s="5">
        <v>3186859394</v>
      </c>
      <c r="O329" s="5" t="s">
        <v>2422</v>
      </c>
      <c r="P329" s="10" t="s">
        <v>2423</v>
      </c>
      <c r="Q329" s="389" t="s">
        <v>2424</v>
      </c>
      <c r="R329" s="64" t="s">
        <v>6591</v>
      </c>
      <c r="S329" s="212" t="s">
        <v>12145</v>
      </c>
      <c r="T329" s="8" t="s">
        <v>2425</v>
      </c>
      <c r="U329" s="11" t="s">
        <v>93</v>
      </c>
      <c r="V329" s="12" t="s">
        <v>94</v>
      </c>
      <c r="W329" s="13">
        <v>43133</v>
      </c>
      <c r="X329" s="13" t="str">
        <f t="shared" ca="1" si="7"/>
        <v>8 Th, 7 Bln</v>
      </c>
      <c r="Y329" s="5" t="s">
        <v>95</v>
      </c>
      <c r="Z329" s="14"/>
      <c r="AA329" s="5" t="s">
        <v>96</v>
      </c>
      <c r="AB329" s="5" t="s">
        <v>97</v>
      </c>
      <c r="AC329" s="7" t="s">
        <v>2426</v>
      </c>
      <c r="AD329" s="131" t="s">
        <v>293</v>
      </c>
      <c r="AE329" s="131" t="s">
        <v>384</v>
      </c>
      <c r="AF329" s="7" t="s">
        <v>1304</v>
      </c>
      <c r="AG329" s="7" t="s">
        <v>241</v>
      </c>
      <c r="AH329" s="7" t="s">
        <v>241</v>
      </c>
      <c r="AI329" s="7"/>
      <c r="AJ329" s="7" t="s">
        <v>103</v>
      </c>
      <c r="AK329" s="7" t="s">
        <v>104</v>
      </c>
      <c r="AL329" s="7" t="s">
        <v>2427</v>
      </c>
      <c r="AM329" s="15" t="s">
        <v>2428</v>
      </c>
      <c r="AN329" s="15" t="s">
        <v>2429</v>
      </c>
      <c r="AO329" s="8"/>
      <c r="AP329" s="8" t="s">
        <v>146</v>
      </c>
      <c r="AQ329" s="8" t="s">
        <v>146</v>
      </c>
      <c r="AR329" s="8" t="s">
        <v>162</v>
      </c>
      <c r="AS329" s="132" t="s">
        <v>2430</v>
      </c>
      <c r="AT329" s="131" t="s">
        <v>618</v>
      </c>
      <c r="AU329" s="132" t="s">
        <v>182</v>
      </c>
      <c r="AV329" s="16" t="s">
        <v>112</v>
      </c>
      <c r="AW329" s="56" t="s">
        <v>392</v>
      </c>
      <c r="AX329" s="56" t="s">
        <v>2431</v>
      </c>
      <c r="AY329" s="7" t="s">
        <v>2432</v>
      </c>
      <c r="AZ329" s="10" t="s">
        <v>2433</v>
      </c>
      <c r="BA329" s="7" t="s">
        <v>94</v>
      </c>
      <c r="BB329" s="52">
        <v>34528</v>
      </c>
      <c r="BC329" s="17" t="s">
        <v>96</v>
      </c>
      <c r="BD329" s="18" t="s">
        <v>2434</v>
      </c>
      <c r="BE329" s="7" t="s">
        <v>216</v>
      </c>
      <c r="BF329" s="7" t="s">
        <v>247</v>
      </c>
      <c r="BG329" s="7" t="s">
        <v>2435</v>
      </c>
      <c r="BH329" s="7" t="s">
        <v>2426</v>
      </c>
      <c r="BI329" s="19" t="s">
        <v>2434</v>
      </c>
      <c r="BJ329" s="20" t="s">
        <v>2436</v>
      </c>
      <c r="BK329" s="21" t="s">
        <v>2437</v>
      </c>
      <c r="BL329" s="7" t="s">
        <v>2438</v>
      </c>
      <c r="BM329" s="22" t="s">
        <v>2439</v>
      </c>
      <c r="BN329" s="8" t="s">
        <v>94</v>
      </c>
      <c r="BO329" s="49">
        <v>33967</v>
      </c>
      <c r="BP329" s="17" t="s">
        <v>96</v>
      </c>
      <c r="BQ329" s="18" t="s">
        <v>2428</v>
      </c>
      <c r="BR329" s="7" t="s">
        <v>216</v>
      </c>
      <c r="BS329" s="7" t="s">
        <v>126</v>
      </c>
      <c r="BT329" s="7" t="s">
        <v>162</v>
      </c>
      <c r="BU329" s="8" t="s">
        <v>162</v>
      </c>
      <c r="BV329" s="23" t="s">
        <v>163</v>
      </c>
      <c r="BW329" s="24" t="s">
        <v>163</v>
      </c>
      <c r="BX329" s="21" t="s">
        <v>2440</v>
      </c>
      <c r="BY329" s="21" t="s">
        <v>2441</v>
      </c>
      <c r="BZ329" s="21" t="s">
        <v>94</v>
      </c>
      <c r="CA329" s="21">
        <v>37115</v>
      </c>
      <c r="CB329" s="21"/>
      <c r="CC329" s="21" t="s">
        <v>2442</v>
      </c>
      <c r="CD329" s="21" t="s">
        <v>216</v>
      </c>
      <c r="CE329" s="21" t="s">
        <v>2443</v>
      </c>
      <c r="CF329" s="21" t="s">
        <v>96</v>
      </c>
      <c r="CG329" s="21" t="s">
        <v>2444</v>
      </c>
      <c r="CH329" s="21">
        <v>10</v>
      </c>
      <c r="CI329" s="21" t="s">
        <v>384</v>
      </c>
      <c r="CJ329" s="21" t="s">
        <v>240</v>
      </c>
      <c r="CK329" s="21" t="s">
        <v>241</v>
      </c>
      <c r="CL329" s="21" t="s">
        <v>103</v>
      </c>
      <c r="CM329" s="25"/>
      <c r="CN329" s="25"/>
      <c r="CO329" s="25"/>
      <c r="CP329" s="26"/>
    </row>
    <row r="330" spans="1:97" s="27" customFormat="1" ht="23.25" customHeight="1">
      <c r="A330" s="4">
        <v>196</v>
      </c>
      <c r="B330" s="6"/>
      <c r="C330" s="6"/>
      <c r="D330" s="6"/>
      <c r="E330" s="6"/>
      <c r="F330" s="6"/>
      <c r="G330" s="6"/>
      <c r="H330" s="5" t="s">
        <v>85</v>
      </c>
      <c r="I330" s="6" t="s">
        <v>86</v>
      </c>
      <c r="J330" s="7" t="s">
        <v>402</v>
      </c>
      <c r="K330" s="7" t="s">
        <v>1834</v>
      </c>
      <c r="L330" s="8"/>
      <c r="M330" s="5">
        <v>2056</v>
      </c>
      <c r="N330" s="5">
        <v>3185377283</v>
      </c>
      <c r="O330" s="5" t="s">
        <v>1835</v>
      </c>
      <c r="P330" s="10" t="s">
        <v>1836</v>
      </c>
      <c r="Q330" s="389" t="s">
        <v>1837</v>
      </c>
      <c r="R330" s="64" t="s">
        <v>6591</v>
      </c>
      <c r="S330" s="212" t="s">
        <v>12145</v>
      </c>
      <c r="T330" s="8" t="s">
        <v>1838</v>
      </c>
      <c r="U330" s="11" t="s">
        <v>93</v>
      </c>
      <c r="V330" s="12" t="s">
        <v>94</v>
      </c>
      <c r="W330" s="13">
        <v>43112</v>
      </c>
      <c r="X330" s="13" t="str">
        <f t="shared" ca="1" si="7"/>
        <v>8 Th, 8 Bln</v>
      </c>
      <c r="Y330" s="5" t="s">
        <v>95</v>
      </c>
      <c r="Z330" s="14"/>
      <c r="AA330" s="5" t="s">
        <v>96</v>
      </c>
      <c r="AB330" s="5" t="s">
        <v>97</v>
      </c>
      <c r="AC330" s="7" t="s">
        <v>1839</v>
      </c>
      <c r="AD330" s="131" t="s">
        <v>99</v>
      </c>
      <c r="AE330" s="131" t="s">
        <v>137</v>
      </c>
      <c r="AF330" s="7" t="s">
        <v>1840</v>
      </c>
      <c r="AG330" s="7" t="s">
        <v>178</v>
      </c>
      <c r="AH330" s="7" t="s">
        <v>178</v>
      </c>
      <c r="AI330" s="7"/>
      <c r="AJ330" s="7" t="s">
        <v>103</v>
      </c>
      <c r="AK330" s="7" t="s">
        <v>104</v>
      </c>
      <c r="AL330" s="7" t="s">
        <v>1841</v>
      </c>
      <c r="AM330" s="15" t="s">
        <v>162</v>
      </c>
      <c r="AN330" s="15" t="s">
        <v>1842</v>
      </c>
      <c r="AO330" s="8"/>
      <c r="AP330" s="8" t="s">
        <v>107</v>
      </c>
      <c r="AQ330" s="8" t="s">
        <v>107</v>
      </c>
      <c r="AR330" s="8" t="s">
        <v>108</v>
      </c>
      <c r="AS330" s="132" t="s">
        <v>1843</v>
      </c>
      <c r="AT330" s="131" t="s">
        <v>272</v>
      </c>
      <c r="AU330" s="132" t="s">
        <v>182</v>
      </c>
      <c r="AV330" s="16" t="s">
        <v>112</v>
      </c>
      <c r="AW330" s="56" t="s">
        <v>150</v>
      </c>
      <c r="AX330" s="56" t="s">
        <v>1844</v>
      </c>
      <c r="AY330" s="7" t="s">
        <v>1845</v>
      </c>
      <c r="AZ330" s="10" t="s">
        <v>1846</v>
      </c>
      <c r="BA330" s="7" t="s">
        <v>94</v>
      </c>
      <c r="BB330" s="52">
        <v>31759</v>
      </c>
      <c r="BC330" s="17" t="s">
        <v>96</v>
      </c>
      <c r="BD330" s="18" t="s">
        <v>1847</v>
      </c>
      <c r="BE330" s="7" t="s">
        <v>118</v>
      </c>
      <c r="BF330" s="7" t="s">
        <v>1848</v>
      </c>
      <c r="BG330" s="7" t="s">
        <v>452</v>
      </c>
      <c r="BH330" s="7" t="s">
        <v>1849</v>
      </c>
      <c r="BI330" s="19" t="s">
        <v>163</v>
      </c>
      <c r="BJ330" s="20" t="s">
        <v>1850</v>
      </c>
      <c r="BK330" s="21"/>
      <c r="BL330" s="7" t="s">
        <v>1851</v>
      </c>
      <c r="BM330" s="22" t="s">
        <v>1852</v>
      </c>
      <c r="BN330" s="8" t="s">
        <v>1031</v>
      </c>
      <c r="BO330" s="49">
        <v>31890</v>
      </c>
      <c r="BP330" s="17" t="s">
        <v>96</v>
      </c>
      <c r="BQ330" s="18" t="s">
        <v>1842</v>
      </c>
      <c r="BR330" s="7" t="s">
        <v>118</v>
      </c>
      <c r="BS330" s="7" t="s">
        <v>247</v>
      </c>
      <c r="BT330" s="7" t="s">
        <v>452</v>
      </c>
      <c r="BU330" s="8" t="s">
        <v>1849</v>
      </c>
      <c r="BV330" s="23" t="s">
        <v>163</v>
      </c>
      <c r="BW330" s="24" t="s">
        <v>1853</v>
      </c>
      <c r="BX330" s="21" t="s">
        <v>1854</v>
      </c>
      <c r="BY330" s="21" t="s">
        <v>108</v>
      </c>
      <c r="BZ330" s="21" t="s">
        <v>108</v>
      </c>
      <c r="CA330" s="21"/>
      <c r="CB330" s="21"/>
      <c r="CC330" s="21"/>
      <c r="CD330" s="21" t="s">
        <v>108</v>
      </c>
      <c r="CE330" s="21" t="s">
        <v>108</v>
      </c>
      <c r="CF330" s="21"/>
      <c r="CG330" s="21" t="s">
        <v>108</v>
      </c>
      <c r="CH330" s="21"/>
      <c r="CI330" s="21"/>
      <c r="CJ330" s="21" t="s">
        <v>108</v>
      </c>
      <c r="CK330" s="21" t="s">
        <v>108</v>
      </c>
      <c r="CL330" s="21" t="s">
        <v>108</v>
      </c>
      <c r="CM330" s="25"/>
      <c r="CN330" s="25"/>
      <c r="CO330" s="25"/>
      <c r="CP330" s="26"/>
    </row>
    <row r="331" spans="1:97" s="27" customFormat="1" ht="23.25" customHeight="1">
      <c r="A331" s="4">
        <v>171</v>
      </c>
      <c r="B331" s="6"/>
      <c r="C331" s="6"/>
      <c r="D331" s="6"/>
      <c r="E331" s="6"/>
      <c r="F331" s="6"/>
      <c r="G331" s="6"/>
      <c r="H331" s="5" t="s">
        <v>85</v>
      </c>
      <c r="I331" s="6" t="s">
        <v>86</v>
      </c>
      <c r="J331" s="7" t="s">
        <v>166</v>
      </c>
      <c r="K331" s="7" t="s">
        <v>1298</v>
      </c>
      <c r="L331" s="8"/>
      <c r="M331" s="5">
        <v>2060</v>
      </c>
      <c r="N331" s="5">
        <v>3189952111</v>
      </c>
      <c r="O331" s="5" t="s">
        <v>1299</v>
      </c>
      <c r="P331" s="10" t="s">
        <v>1300</v>
      </c>
      <c r="Q331" s="389" t="s">
        <v>1301</v>
      </c>
      <c r="R331" s="64" t="s">
        <v>6591</v>
      </c>
      <c r="S331" s="212" t="s">
        <v>12145</v>
      </c>
      <c r="T331" s="8" t="s">
        <v>1302</v>
      </c>
      <c r="U331" s="11" t="s">
        <v>93</v>
      </c>
      <c r="V331" s="12" t="s">
        <v>94</v>
      </c>
      <c r="W331" s="13">
        <v>43164</v>
      </c>
      <c r="X331" s="13" t="str">
        <f ca="1">""&amp;DATEDIF(W331,TODAY(),"y")&amp;" Th, "&amp;DATEDIF(W331,TODAY(),"ym")&amp;" Bln"</f>
        <v>8 Th, 6 Bln</v>
      </c>
      <c r="Y331" s="5" t="s">
        <v>95</v>
      </c>
      <c r="Z331" s="14"/>
      <c r="AA331" s="5" t="s">
        <v>96</v>
      </c>
      <c r="AB331" s="5" t="s">
        <v>97</v>
      </c>
      <c r="AC331" s="7" t="s">
        <v>1303</v>
      </c>
      <c r="AD331" s="131">
        <v>5</v>
      </c>
      <c r="AE331" s="131">
        <v>2</v>
      </c>
      <c r="AF331" s="7" t="s">
        <v>1304</v>
      </c>
      <c r="AG331" s="7" t="s">
        <v>241</v>
      </c>
      <c r="AH331" s="7" t="s">
        <v>241</v>
      </c>
      <c r="AI331" s="7"/>
      <c r="AJ331" s="7" t="s">
        <v>103</v>
      </c>
      <c r="AK331" s="7" t="s">
        <v>104</v>
      </c>
      <c r="AL331" s="7" t="s">
        <v>1305</v>
      </c>
      <c r="AM331" s="15" t="s">
        <v>1306</v>
      </c>
      <c r="AN331" s="15" t="s">
        <v>1306</v>
      </c>
      <c r="AO331" s="8"/>
      <c r="AP331" s="8" t="s">
        <v>298</v>
      </c>
      <c r="AQ331" s="8" t="s">
        <v>107</v>
      </c>
      <c r="AR331" s="8" t="s">
        <v>108</v>
      </c>
      <c r="AS331" s="132">
        <v>24</v>
      </c>
      <c r="AT331" s="131">
        <v>130</v>
      </c>
      <c r="AU331" s="132" t="s">
        <v>498</v>
      </c>
      <c r="AV331" s="16" t="s">
        <v>112</v>
      </c>
      <c r="AW331" s="56" t="s">
        <v>619</v>
      </c>
      <c r="AX331" s="56" t="s">
        <v>114</v>
      </c>
      <c r="AY331" s="7" t="s">
        <v>1307</v>
      </c>
      <c r="AZ331" s="10" t="s">
        <v>1308</v>
      </c>
      <c r="BA331" s="7" t="s">
        <v>603</v>
      </c>
      <c r="BB331" s="52">
        <v>30076</v>
      </c>
      <c r="BC331" s="17" t="s">
        <v>96</v>
      </c>
      <c r="BD331" s="18" t="s">
        <v>1309</v>
      </c>
      <c r="BE331" s="7" t="s">
        <v>118</v>
      </c>
      <c r="BF331" s="7" t="s">
        <v>327</v>
      </c>
      <c r="BG331" s="7" t="s">
        <v>1310</v>
      </c>
      <c r="BH331" s="7" t="s">
        <v>1311</v>
      </c>
      <c r="BI331" s="19"/>
      <c r="BJ331" s="20" t="s">
        <v>1312</v>
      </c>
      <c r="BK331" s="21" t="s">
        <v>1313</v>
      </c>
      <c r="BL331" s="7" t="s">
        <v>1314</v>
      </c>
      <c r="BM331" s="22" t="s">
        <v>1315</v>
      </c>
      <c r="BN331" s="8" t="s">
        <v>222</v>
      </c>
      <c r="BO331" s="49">
        <v>30016</v>
      </c>
      <c r="BP331" s="17" t="s">
        <v>96</v>
      </c>
      <c r="BQ331" s="18" t="s">
        <v>1306</v>
      </c>
      <c r="BR331" s="7" t="s">
        <v>118</v>
      </c>
      <c r="BS331" s="7" t="s">
        <v>503</v>
      </c>
      <c r="BT331" s="7" t="s">
        <v>328</v>
      </c>
      <c r="BU331" s="8" t="s">
        <v>1316</v>
      </c>
      <c r="BV331" s="23"/>
      <c r="BW331" s="24" t="s">
        <v>983</v>
      </c>
      <c r="BX331" s="21" t="s">
        <v>1317</v>
      </c>
      <c r="BY331" s="21" t="s">
        <v>1307</v>
      </c>
      <c r="BZ331" s="21" t="s">
        <v>603</v>
      </c>
      <c r="CA331" s="21">
        <v>30076</v>
      </c>
      <c r="CB331" s="21"/>
      <c r="CC331" s="21" t="s">
        <v>1309</v>
      </c>
      <c r="CD331" s="21" t="s">
        <v>118</v>
      </c>
      <c r="CE331" s="21" t="s">
        <v>327</v>
      </c>
      <c r="CF331" s="21" t="s">
        <v>96</v>
      </c>
      <c r="CG331" s="21" t="s">
        <v>1318</v>
      </c>
      <c r="CH331" s="21">
        <v>5</v>
      </c>
      <c r="CI331" s="21">
        <v>2</v>
      </c>
      <c r="CJ331" s="21" t="s">
        <v>1304</v>
      </c>
      <c r="CK331" s="21" t="s">
        <v>241</v>
      </c>
      <c r="CL331" s="21" t="s">
        <v>103</v>
      </c>
      <c r="CM331" s="25"/>
      <c r="CN331" s="25"/>
      <c r="CO331" s="25"/>
      <c r="CP331" s="26"/>
    </row>
    <row r="332" spans="1:97" s="27" customFormat="1" ht="23.25" customHeight="1">
      <c r="A332" s="4">
        <v>199</v>
      </c>
      <c r="B332" s="6"/>
      <c r="C332" s="6"/>
      <c r="D332" s="6"/>
      <c r="E332" s="6"/>
      <c r="F332" s="6"/>
      <c r="G332" s="6"/>
      <c r="H332" s="5" t="s">
        <v>85</v>
      </c>
      <c r="I332" s="6" t="s">
        <v>86</v>
      </c>
      <c r="J332" s="7" t="s">
        <v>1897</v>
      </c>
      <c r="K332" s="7" t="s">
        <v>1898</v>
      </c>
      <c r="L332" s="8"/>
      <c r="M332" s="5">
        <v>2063</v>
      </c>
      <c r="N332" s="5">
        <v>3188690434</v>
      </c>
      <c r="O332" s="5" t="s">
        <v>1899</v>
      </c>
      <c r="P332" s="10" t="s">
        <v>1900</v>
      </c>
      <c r="Q332" s="389" t="s">
        <v>1901</v>
      </c>
      <c r="R332" s="64" t="s">
        <v>6591</v>
      </c>
      <c r="S332" s="212" t="s">
        <v>12145</v>
      </c>
      <c r="T332" s="8" t="s">
        <v>1902</v>
      </c>
      <c r="U332" s="11" t="s">
        <v>93</v>
      </c>
      <c r="V332" s="12" t="s">
        <v>94</v>
      </c>
      <c r="W332" s="13">
        <v>43358</v>
      </c>
      <c r="X332" s="13" t="str">
        <f t="shared" ref="X332:X342" ca="1" si="8">""&amp;DATEDIF(W332,TODAY(),"y")&amp;" Th, "&amp;DATEDIF(W332,TODAY(),"ym")&amp;" Bln"</f>
        <v>8 Th, 0 Bln</v>
      </c>
      <c r="Y332" s="5" t="s">
        <v>95</v>
      </c>
      <c r="Z332" s="14"/>
      <c r="AA332" s="5" t="s">
        <v>96</v>
      </c>
      <c r="AB332" s="5" t="s">
        <v>97</v>
      </c>
      <c r="AC332" s="7" t="s">
        <v>1903</v>
      </c>
      <c r="AD332" s="131">
        <v>29</v>
      </c>
      <c r="AE332" s="131" t="s">
        <v>318</v>
      </c>
      <c r="AF332" s="7" t="s">
        <v>1070</v>
      </c>
      <c r="AG332" s="7" t="s">
        <v>994</v>
      </c>
      <c r="AH332" s="7" t="s">
        <v>141</v>
      </c>
      <c r="AI332" s="7"/>
      <c r="AJ332" s="7" t="s">
        <v>263</v>
      </c>
      <c r="AK332" s="7" t="s">
        <v>104</v>
      </c>
      <c r="AL332" s="7" t="s">
        <v>1904</v>
      </c>
      <c r="AM332" s="15" t="s">
        <v>127</v>
      </c>
      <c r="AN332" s="15" t="s">
        <v>1905</v>
      </c>
      <c r="AO332" s="8"/>
      <c r="AP332" s="8" t="s">
        <v>146</v>
      </c>
      <c r="AQ332" s="8" t="s">
        <v>107</v>
      </c>
      <c r="AR332" s="8" t="s">
        <v>108</v>
      </c>
      <c r="AS332" s="132" t="s">
        <v>1906</v>
      </c>
      <c r="AT332" s="131">
        <v>109</v>
      </c>
      <c r="AU332" s="132" t="s">
        <v>111</v>
      </c>
      <c r="AV332" s="16" t="s">
        <v>112</v>
      </c>
      <c r="AW332" s="56" t="s">
        <v>150</v>
      </c>
      <c r="AX332" s="56" t="s">
        <v>114</v>
      </c>
      <c r="AY332" s="7" t="s">
        <v>1907</v>
      </c>
      <c r="AZ332" s="10" t="s">
        <v>1908</v>
      </c>
      <c r="BA332" s="7" t="s">
        <v>603</v>
      </c>
      <c r="BB332" s="52">
        <v>34502</v>
      </c>
      <c r="BC332" s="17" t="s">
        <v>96</v>
      </c>
      <c r="BD332" s="18" t="s">
        <v>1909</v>
      </c>
      <c r="BE332" s="7" t="s">
        <v>216</v>
      </c>
      <c r="BF332" s="7" t="s">
        <v>327</v>
      </c>
      <c r="BG332" s="7" t="s">
        <v>1910</v>
      </c>
      <c r="BH332" s="7" t="s">
        <v>1911</v>
      </c>
      <c r="BI332" s="19"/>
      <c r="BJ332" s="20" t="s">
        <v>1912</v>
      </c>
      <c r="BK332" s="21" t="s">
        <v>1913</v>
      </c>
      <c r="BL332" s="7" t="s">
        <v>1914</v>
      </c>
      <c r="BM332" s="22" t="s">
        <v>1915</v>
      </c>
      <c r="BN332" s="8" t="s">
        <v>94</v>
      </c>
      <c r="BO332" s="49">
        <v>34829</v>
      </c>
      <c r="BP332" s="17" t="s">
        <v>96</v>
      </c>
      <c r="BQ332" s="18" t="s">
        <v>1905</v>
      </c>
      <c r="BR332" s="7" t="s">
        <v>118</v>
      </c>
      <c r="BS332" s="7" t="s">
        <v>126</v>
      </c>
      <c r="BT332" s="7" t="s">
        <v>127</v>
      </c>
      <c r="BU332" s="8" t="s">
        <v>127</v>
      </c>
      <c r="BV332" s="23"/>
      <c r="BW332" s="24" t="s">
        <v>127</v>
      </c>
      <c r="BX332" s="21" t="s">
        <v>1916</v>
      </c>
      <c r="BY332" s="21" t="s">
        <v>108</v>
      </c>
      <c r="BZ332" s="21" t="s">
        <v>108</v>
      </c>
      <c r="CA332" s="21"/>
      <c r="CB332" s="21"/>
      <c r="CC332" s="21"/>
      <c r="CD332" s="21" t="s">
        <v>108</v>
      </c>
      <c r="CE332" s="21" t="s">
        <v>108</v>
      </c>
      <c r="CF332" s="21"/>
      <c r="CG332" s="21" t="s">
        <v>108</v>
      </c>
      <c r="CH332" s="21"/>
      <c r="CI332" s="21"/>
      <c r="CJ332" s="21" t="s">
        <v>108</v>
      </c>
      <c r="CK332" s="21" t="s">
        <v>108</v>
      </c>
      <c r="CL332" s="21" t="s">
        <v>108</v>
      </c>
      <c r="CM332" s="25"/>
      <c r="CN332" s="25"/>
      <c r="CO332" s="25"/>
      <c r="CP332" s="26"/>
    </row>
    <row r="333" spans="1:97" s="27" customFormat="1" ht="23.25" customHeight="1">
      <c r="A333" s="4">
        <v>226</v>
      </c>
      <c r="B333" s="6" t="s">
        <v>4837</v>
      </c>
      <c r="C333" s="6" t="s">
        <v>4837</v>
      </c>
      <c r="D333" s="6" t="s">
        <v>4837</v>
      </c>
      <c r="E333" s="6"/>
      <c r="F333" s="6"/>
      <c r="G333" s="6" t="s">
        <v>4854</v>
      </c>
      <c r="H333" s="5" t="s">
        <v>4839</v>
      </c>
      <c r="I333" s="6" t="s">
        <v>86</v>
      </c>
      <c r="J333" s="7" t="s">
        <v>1969</v>
      </c>
      <c r="K333" s="7" t="s">
        <v>4855</v>
      </c>
      <c r="L333" s="8"/>
      <c r="M333" s="5">
        <v>1831</v>
      </c>
      <c r="N333" s="5">
        <v>3169845503</v>
      </c>
      <c r="O333" s="9" t="s">
        <v>4856</v>
      </c>
      <c r="P333" s="10" t="s">
        <v>4857</v>
      </c>
      <c r="Q333" s="389" t="s">
        <v>4858</v>
      </c>
      <c r="R333" s="8" t="s">
        <v>7102</v>
      </c>
      <c r="S333" s="212" t="s">
        <v>12146</v>
      </c>
      <c r="T333" s="8" t="s">
        <v>4859</v>
      </c>
      <c r="U333" s="11" t="s">
        <v>172</v>
      </c>
      <c r="V333" s="12" t="s">
        <v>2417</v>
      </c>
      <c r="W333" s="13">
        <v>42523</v>
      </c>
      <c r="X333" s="5" t="str">
        <f t="shared" ca="1" si="8"/>
        <v>10 Th, 3 Bln</v>
      </c>
      <c r="Y333" s="5"/>
      <c r="Z333" s="14"/>
      <c r="AA333" s="5" t="s">
        <v>96</v>
      </c>
      <c r="AB333" s="5" t="s">
        <v>97</v>
      </c>
      <c r="AC333" s="7" t="s">
        <v>4860</v>
      </c>
      <c r="AD333" s="131" t="s">
        <v>137</v>
      </c>
      <c r="AE333" s="131" t="s">
        <v>207</v>
      </c>
      <c r="AF333" s="7" t="s">
        <v>295</v>
      </c>
      <c r="AG333" s="7" t="s">
        <v>178</v>
      </c>
      <c r="AH333" s="7" t="s">
        <v>178</v>
      </c>
      <c r="AI333" s="7"/>
      <c r="AJ333" s="7" t="s">
        <v>103</v>
      </c>
      <c r="AK333" s="7" t="s">
        <v>179</v>
      </c>
      <c r="AL333" s="7" t="s">
        <v>4861</v>
      </c>
      <c r="AM333" s="15" t="s">
        <v>4862</v>
      </c>
      <c r="AN333" s="15" t="s">
        <v>4863</v>
      </c>
      <c r="AO333" s="8">
        <v>1</v>
      </c>
      <c r="AP333" s="8">
        <v>1</v>
      </c>
      <c r="AQ333" s="8"/>
      <c r="AR333" s="8"/>
      <c r="AS333" s="132" t="s">
        <v>4864</v>
      </c>
      <c r="AT333" s="131" t="s">
        <v>4865</v>
      </c>
      <c r="AU333" s="132" t="s">
        <v>182</v>
      </c>
      <c r="AV333" s="16" t="s">
        <v>112</v>
      </c>
      <c r="AW333" s="56" t="s">
        <v>549</v>
      </c>
      <c r="AX333" s="56" t="s">
        <v>441</v>
      </c>
      <c r="AY333" s="7" t="s">
        <v>4866</v>
      </c>
      <c r="AZ333" s="10" t="s">
        <v>4867</v>
      </c>
      <c r="BA333" s="7" t="s">
        <v>94</v>
      </c>
      <c r="BB333" s="17">
        <v>33594</v>
      </c>
      <c r="BC333" s="17" t="s">
        <v>96</v>
      </c>
      <c r="BD333" s="18" t="s">
        <v>4868</v>
      </c>
      <c r="BE333" s="7" t="s">
        <v>118</v>
      </c>
      <c r="BF333" s="7" t="s">
        <v>247</v>
      </c>
      <c r="BG333" s="7" t="s">
        <v>4869</v>
      </c>
      <c r="BH333" s="7" t="s">
        <v>4870</v>
      </c>
      <c r="BI333" s="19" t="s">
        <v>4871</v>
      </c>
      <c r="BJ333" s="20" t="s">
        <v>250</v>
      </c>
      <c r="BK333" s="21" t="s">
        <v>4872</v>
      </c>
      <c r="BL333" s="7" t="s">
        <v>4873</v>
      </c>
      <c r="BM333" s="22" t="s">
        <v>4874</v>
      </c>
      <c r="BN333" s="8" t="s">
        <v>2417</v>
      </c>
      <c r="BO333" s="17">
        <v>33376</v>
      </c>
      <c r="BP333" s="17" t="s">
        <v>96</v>
      </c>
      <c r="BQ333" s="18" t="s">
        <v>4863</v>
      </c>
      <c r="BR333" s="7" t="s">
        <v>118</v>
      </c>
      <c r="BS333" s="7" t="s">
        <v>503</v>
      </c>
      <c r="BT333" s="7" t="s">
        <v>4875</v>
      </c>
      <c r="BU333" s="8" t="s">
        <v>4876</v>
      </c>
      <c r="BV333" s="23" t="s">
        <v>4877</v>
      </c>
      <c r="BW333" s="24" t="s">
        <v>1639</v>
      </c>
      <c r="BX333" s="21" t="s">
        <v>4878</v>
      </c>
      <c r="BY333" s="21" t="s">
        <v>4866</v>
      </c>
      <c r="BZ333" s="21" t="s">
        <v>94</v>
      </c>
      <c r="CA333" s="21">
        <v>33594</v>
      </c>
      <c r="CB333" s="21"/>
      <c r="CC333" s="21" t="s">
        <v>4868</v>
      </c>
      <c r="CD333" s="21" t="s">
        <v>118</v>
      </c>
      <c r="CE333" s="21" t="s">
        <v>247</v>
      </c>
      <c r="CF333" s="21" t="s">
        <v>96</v>
      </c>
      <c r="CG333" s="21" t="s">
        <v>4860</v>
      </c>
      <c r="CH333" s="21" t="s">
        <v>137</v>
      </c>
      <c r="CI333" s="21" t="s">
        <v>207</v>
      </c>
      <c r="CJ333" s="21" t="s">
        <v>295</v>
      </c>
      <c r="CK333" s="21" t="s">
        <v>178</v>
      </c>
      <c r="CL333" s="21" t="s">
        <v>103</v>
      </c>
      <c r="CN333" s="25"/>
      <c r="CO333" s="25"/>
      <c r="CP333" s="25"/>
      <c r="CQ333" s="25"/>
      <c r="CR333" s="25"/>
      <c r="CS333" s="26"/>
    </row>
    <row r="334" spans="1:97" s="27" customFormat="1" ht="23.25" customHeight="1">
      <c r="A334" s="4">
        <v>258</v>
      </c>
      <c r="B334" s="6" t="s">
        <v>4837</v>
      </c>
      <c r="C334" s="6" t="s">
        <v>4837</v>
      </c>
      <c r="D334" s="6" t="s">
        <v>4837</v>
      </c>
      <c r="E334" s="6"/>
      <c r="F334" s="6"/>
      <c r="G334" s="6" t="s">
        <v>5507</v>
      </c>
      <c r="H334" s="5" t="s">
        <v>4839</v>
      </c>
      <c r="I334" s="6" t="s">
        <v>86</v>
      </c>
      <c r="J334" s="7" t="s">
        <v>4907</v>
      </c>
      <c r="K334" s="7" t="s">
        <v>884</v>
      </c>
      <c r="L334" s="8"/>
      <c r="M334" s="5">
        <v>1837</v>
      </c>
      <c r="N334" s="5" t="s">
        <v>5508</v>
      </c>
      <c r="O334" s="9" t="s">
        <v>5509</v>
      </c>
      <c r="P334" s="10" t="s">
        <v>5510</v>
      </c>
      <c r="Q334" s="389" t="s">
        <v>5511</v>
      </c>
      <c r="R334" s="8" t="s">
        <v>7102</v>
      </c>
      <c r="S334" s="212" t="s">
        <v>12146</v>
      </c>
      <c r="T334" s="8" t="s">
        <v>5512</v>
      </c>
      <c r="U334" s="11" t="s">
        <v>93</v>
      </c>
      <c r="V334" s="12" t="s">
        <v>603</v>
      </c>
      <c r="W334" s="13">
        <v>42716</v>
      </c>
      <c r="X334" s="5" t="str">
        <f t="shared" ca="1" si="8"/>
        <v>9 Th, 9 Bln</v>
      </c>
      <c r="Y334" s="5"/>
      <c r="Z334" s="14"/>
      <c r="AA334" s="5" t="s">
        <v>96</v>
      </c>
      <c r="AB334" s="5" t="s">
        <v>97</v>
      </c>
      <c r="AC334" s="7" t="s">
        <v>5513</v>
      </c>
      <c r="AD334" s="131">
        <v>34</v>
      </c>
      <c r="AE334" s="131" t="s">
        <v>137</v>
      </c>
      <c r="AF334" s="7" t="s">
        <v>5514</v>
      </c>
      <c r="AG334" s="7" t="s">
        <v>687</v>
      </c>
      <c r="AH334" s="7" t="s">
        <v>141</v>
      </c>
      <c r="AI334" s="7"/>
      <c r="AJ334" s="7" t="s">
        <v>1374</v>
      </c>
      <c r="AK334" s="7" t="s">
        <v>5515</v>
      </c>
      <c r="AL334" s="7" t="s">
        <v>5516</v>
      </c>
      <c r="AM334" s="15" t="s">
        <v>5517</v>
      </c>
      <c r="AN334" s="15" t="s">
        <v>5518</v>
      </c>
      <c r="AO334" s="8">
        <v>2</v>
      </c>
      <c r="AP334" s="8">
        <v>1</v>
      </c>
      <c r="AQ334" s="8"/>
      <c r="AR334" s="8">
        <v>3</v>
      </c>
      <c r="AS334" s="132" t="s">
        <v>5519</v>
      </c>
      <c r="AT334" s="131" t="s">
        <v>4938</v>
      </c>
      <c r="AU334" s="132" t="s">
        <v>149</v>
      </c>
      <c r="AV334" s="16" t="s">
        <v>112</v>
      </c>
      <c r="AW334" s="56" t="s">
        <v>392</v>
      </c>
      <c r="AX334" s="56" t="s">
        <v>5520</v>
      </c>
      <c r="AY334" s="7" t="s">
        <v>5521</v>
      </c>
      <c r="AZ334" s="10" t="s">
        <v>5522</v>
      </c>
      <c r="BA334" s="7" t="s">
        <v>603</v>
      </c>
      <c r="BB334" s="17">
        <v>30161</v>
      </c>
      <c r="BC334" s="17" t="s">
        <v>96</v>
      </c>
      <c r="BD334" s="18" t="s">
        <v>5523</v>
      </c>
      <c r="BE334" s="7" t="s">
        <v>216</v>
      </c>
      <c r="BF334" s="7" t="s">
        <v>2049</v>
      </c>
      <c r="BG334" s="7" t="s">
        <v>127</v>
      </c>
      <c r="BH334" s="7" t="s">
        <v>127</v>
      </c>
      <c r="BI334" s="19"/>
      <c r="BJ334" s="20" t="s">
        <v>5524</v>
      </c>
      <c r="BK334" s="21"/>
      <c r="BL334" s="7" t="s">
        <v>5525</v>
      </c>
      <c r="BM334" s="22">
        <v>3524075808840000</v>
      </c>
      <c r="BN334" s="8" t="s">
        <v>2806</v>
      </c>
      <c r="BO334" s="17">
        <v>30912</v>
      </c>
      <c r="BP334" s="17" t="s">
        <v>96</v>
      </c>
      <c r="BQ334" s="18" t="s">
        <v>5526</v>
      </c>
      <c r="BR334" s="7" t="s">
        <v>118</v>
      </c>
      <c r="BS334" s="7" t="s">
        <v>574</v>
      </c>
      <c r="BT334" s="7" t="s">
        <v>5527</v>
      </c>
      <c r="BU334" s="8" t="s">
        <v>127</v>
      </c>
      <c r="BV334" s="23" t="s">
        <v>127</v>
      </c>
      <c r="BW334" s="24" t="s">
        <v>5524</v>
      </c>
      <c r="BX334" s="21"/>
      <c r="BY334" s="21" t="s">
        <v>5528</v>
      </c>
      <c r="BZ334" s="21" t="s">
        <v>5529</v>
      </c>
      <c r="CA334" s="21">
        <v>27735</v>
      </c>
      <c r="CB334" s="21"/>
      <c r="CC334" s="21" t="s">
        <v>5518</v>
      </c>
      <c r="CD334" s="21" t="s">
        <v>153</v>
      </c>
      <c r="CE334" s="21" t="s">
        <v>5530</v>
      </c>
      <c r="CF334" s="21" t="s">
        <v>96</v>
      </c>
      <c r="CG334" s="21" t="s">
        <v>5531</v>
      </c>
      <c r="CH334" s="21" t="s">
        <v>5532</v>
      </c>
      <c r="CI334" s="21" t="s">
        <v>176</v>
      </c>
      <c r="CJ334" s="21" t="s">
        <v>5533</v>
      </c>
      <c r="CK334" s="21" t="s">
        <v>5534</v>
      </c>
      <c r="CL334" s="21" t="s">
        <v>5535</v>
      </c>
      <c r="CN334" s="25"/>
      <c r="CO334" s="25"/>
      <c r="CP334" s="25"/>
      <c r="CQ334" s="25"/>
      <c r="CR334" s="25"/>
      <c r="CS334" s="26"/>
    </row>
    <row r="335" spans="1:97" s="27" customFormat="1" ht="23.25" customHeight="1">
      <c r="A335" s="4">
        <v>316</v>
      </c>
      <c r="B335" s="6" t="s">
        <v>4837</v>
      </c>
      <c r="C335" s="6" t="s">
        <v>4837</v>
      </c>
      <c r="D335" s="6" t="s">
        <v>4837</v>
      </c>
      <c r="E335" s="6"/>
      <c r="F335" s="6"/>
      <c r="G335" s="6" t="s">
        <v>6585</v>
      </c>
      <c r="H335" s="5" t="s">
        <v>4839</v>
      </c>
      <c r="I335" s="6" t="s">
        <v>86</v>
      </c>
      <c r="J335" s="7" t="s">
        <v>6586</v>
      </c>
      <c r="K335" s="7" t="s">
        <v>6587</v>
      </c>
      <c r="L335" s="8"/>
      <c r="M335" s="5">
        <v>1839</v>
      </c>
      <c r="N335" s="5">
        <v>3170176109</v>
      </c>
      <c r="O335" s="9" t="s">
        <v>6588</v>
      </c>
      <c r="P335" s="10" t="s">
        <v>6589</v>
      </c>
      <c r="Q335" s="389" t="s">
        <v>6590</v>
      </c>
      <c r="R335" s="8" t="s">
        <v>7102</v>
      </c>
      <c r="S335" s="212" t="s">
        <v>12146</v>
      </c>
      <c r="T335" s="8" t="s">
        <v>6592</v>
      </c>
      <c r="U335" s="11" t="s">
        <v>172</v>
      </c>
      <c r="V335" s="12" t="s">
        <v>713</v>
      </c>
      <c r="W335" s="13">
        <v>42883</v>
      </c>
      <c r="X335" s="5" t="str">
        <f t="shared" ca="1" si="8"/>
        <v>9 Th, 3 Bln</v>
      </c>
      <c r="Y335" s="5"/>
      <c r="Z335" s="14"/>
      <c r="AA335" s="5" t="s">
        <v>96</v>
      </c>
      <c r="AB335" s="5" t="s">
        <v>97</v>
      </c>
      <c r="AC335" s="7" t="s">
        <v>6593</v>
      </c>
      <c r="AD335" s="131">
        <v>29</v>
      </c>
      <c r="AE335" s="131">
        <v>7</v>
      </c>
      <c r="AF335" s="7" t="s">
        <v>1070</v>
      </c>
      <c r="AG335" s="7" t="s">
        <v>994</v>
      </c>
      <c r="AH335" s="7" t="s">
        <v>141</v>
      </c>
      <c r="AI335" s="7"/>
      <c r="AJ335" s="7" t="s">
        <v>2024</v>
      </c>
      <c r="AK335" s="7" t="s">
        <v>104</v>
      </c>
      <c r="AL335" s="7" t="s">
        <v>4915</v>
      </c>
      <c r="AM335" s="15" t="s">
        <v>6594</v>
      </c>
      <c r="AN335" s="15" t="s">
        <v>6594</v>
      </c>
      <c r="AO335" s="8">
        <v>1</v>
      </c>
      <c r="AP335" s="8">
        <v>1</v>
      </c>
      <c r="AQ335" s="8">
        <v>0</v>
      </c>
      <c r="AR335" s="8">
        <v>0</v>
      </c>
      <c r="AS335" s="132" t="s">
        <v>873</v>
      </c>
      <c r="AT335" s="131" t="s">
        <v>5190</v>
      </c>
      <c r="AU335" s="132" t="s">
        <v>111</v>
      </c>
      <c r="AV335" s="16" t="s">
        <v>112</v>
      </c>
      <c r="AW335" s="56" t="s">
        <v>150</v>
      </c>
      <c r="AX335" s="56" t="s">
        <v>441</v>
      </c>
      <c r="AY335" s="7" t="s">
        <v>6595</v>
      </c>
      <c r="AZ335" s="10" t="s">
        <v>6596</v>
      </c>
      <c r="BA335" s="7" t="s">
        <v>6597</v>
      </c>
      <c r="BB335" s="17">
        <v>31602</v>
      </c>
      <c r="BC335" s="17" t="s">
        <v>96</v>
      </c>
      <c r="BD335" s="18" t="s">
        <v>6598</v>
      </c>
      <c r="BE335" s="7" t="s">
        <v>118</v>
      </c>
      <c r="BF335" s="7" t="s">
        <v>3965</v>
      </c>
      <c r="BG335" s="7" t="s">
        <v>6599</v>
      </c>
      <c r="BH335" s="7" t="s">
        <v>6600</v>
      </c>
      <c r="BI335" s="19" t="s">
        <v>6601</v>
      </c>
      <c r="BJ335" s="20" t="s">
        <v>5933</v>
      </c>
      <c r="BK335" s="21" t="s">
        <v>6602</v>
      </c>
      <c r="BL335" s="7" t="s">
        <v>6603</v>
      </c>
      <c r="BM335" s="22" t="s">
        <v>6604</v>
      </c>
      <c r="BN335" s="8" t="s">
        <v>3340</v>
      </c>
      <c r="BO335" s="17">
        <v>33635</v>
      </c>
      <c r="BP335" s="17" t="s">
        <v>96</v>
      </c>
      <c r="BQ335" s="18" t="s">
        <v>6594</v>
      </c>
      <c r="BR335" s="7" t="s">
        <v>118</v>
      </c>
      <c r="BS335" s="7" t="s">
        <v>6605</v>
      </c>
      <c r="BT335" s="7" t="s">
        <v>6606</v>
      </c>
      <c r="BU335" s="8" t="s">
        <v>6607</v>
      </c>
      <c r="BV335" s="23" t="s">
        <v>6608</v>
      </c>
      <c r="BW335" s="24" t="s">
        <v>6609</v>
      </c>
      <c r="BX335" s="21" t="s">
        <v>6610</v>
      </c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N335" s="25"/>
      <c r="CO335" s="25"/>
      <c r="CP335" s="25"/>
      <c r="CQ335" s="25"/>
      <c r="CR335" s="25"/>
      <c r="CS335" s="26"/>
    </row>
    <row r="336" spans="1:97" s="27" customFormat="1" ht="23.25" customHeight="1">
      <c r="A336" s="4">
        <v>317</v>
      </c>
      <c r="B336" s="6" t="s">
        <v>4837</v>
      </c>
      <c r="C336" s="6" t="s">
        <v>4837</v>
      </c>
      <c r="D336" s="6" t="s">
        <v>4837</v>
      </c>
      <c r="E336" s="6"/>
      <c r="F336" s="6"/>
      <c r="G336" s="6" t="s">
        <v>6611</v>
      </c>
      <c r="H336" s="5" t="s">
        <v>4839</v>
      </c>
      <c r="I336" s="6" t="s">
        <v>86</v>
      </c>
      <c r="J336" s="7" t="s">
        <v>2301</v>
      </c>
      <c r="K336" s="7" t="s">
        <v>6612</v>
      </c>
      <c r="L336" s="8"/>
      <c r="M336" s="5">
        <v>1840</v>
      </c>
      <c r="N336" s="5">
        <v>3163489953</v>
      </c>
      <c r="O336" s="9" t="s">
        <v>6613</v>
      </c>
      <c r="P336" s="10" t="s">
        <v>6614</v>
      </c>
      <c r="Q336" s="389" t="s">
        <v>6615</v>
      </c>
      <c r="R336" s="8" t="s">
        <v>7102</v>
      </c>
      <c r="S336" s="212" t="s">
        <v>12146</v>
      </c>
      <c r="T336" s="8" t="s">
        <v>6616</v>
      </c>
      <c r="U336" s="11" t="s">
        <v>172</v>
      </c>
      <c r="V336" s="12" t="s">
        <v>94</v>
      </c>
      <c r="W336" s="13">
        <v>42444</v>
      </c>
      <c r="X336" s="5" t="str">
        <f t="shared" ca="1" si="8"/>
        <v>10 Th, 6 Bln</v>
      </c>
      <c r="Y336" s="5"/>
      <c r="Z336" s="14"/>
      <c r="AA336" s="5" t="s">
        <v>96</v>
      </c>
      <c r="AB336" s="5" t="s">
        <v>97</v>
      </c>
      <c r="AC336" s="7" t="s">
        <v>6617</v>
      </c>
      <c r="AD336" s="131">
        <v>33</v>
      </c>
      <c r="AE336" s="131" t="s">
        <v>239</v>
      </c>
      <c r="AF336" s="7" t="s">
        <v>319</v>
      </c>
      <c r="AG336" s="7" t="s">
        <v>140</v>
      </c>
      <c r="AH336" s="7" t="s">
        <v>141</v>
      </c>
      <c r="AI336" s="7"/>
      <c r="AJ336" s="7" t="s">
        <v>1374</v>
      </c>
      <c r="AK336" s="7" t="s">
        <v>104</v>
      </c>
      <c r="AL336" s="7" t="s">
        <v>6618</v>
      </c>
      <c r="AM336" s="15" t="s">
        <v>6619</v>
      </c>
      <c r="AN336" s="15" t="s">
        <v>6619</v>
      </c>
      <c r="AO336" s="8">
        <v>2</v>
      </c>
      <c r="AP336" s="8">
        <v>1</v>
      </c>
      <c r="AQ336" s="8"/>
      <c r="AR336" s="8"/>
      <c r="AS336" s="132" t="s">
        <v>873</v>
      </c>
      <c r="AT336" s="131" t="s">
        <v>4958</v>
      </c>
      <c r="AU336" s="132" t="s">
        <v>182</v>
      </c>
      <c r="AV336" s="16" t="s">
        <v>112</v>
      </c>
      <c r="AW336" s="56" t="s">
        <v>150</v>
      </c>
      <c r="AX336" s="56" t="s">
        <v>183</v>
      </c>
      <c r="AY336" s="7" t="s">
        <v>6620</v>
      </c>
      <c r="AZ336" s="10" t="s">
        <v>6621</v>
      </c>
      <c r="BA336" s="7" t="s">
        <v>1765</v>
      </c>
      <c r="BB336" s="17">
        <v>29031</v>
      </c>
      <c r="BC336" s="17" t="s">
        <v>96</v>
      </c>
      <c r="BD336" s="18" t="s">
        <v>6622</v>
      </c>
      <c r="BE336" s="7" t="s">
        <v>118</v>
      </c>
      <c r="BF336" s="7" t="s">
        <v>327</v>
      </c>
      <c r="BG336" s="7" t="s">
        <v>6623</v>
      </c>
      <c r="BH336" s="7" t="s">
        <v>6624</v>
      </c>
      <c r="BI336" s="19"/>
      <c r="BJ336" s="20">
        <v>25000000</v>
      </c>
      <c r="BK336" s="21" t="s">
        <v>6625</v>
      </c>
      <c r="BL336" s="7" t="s">
        <v>6626</v>
      </c>
      <c r="BM336" s="22" t="s">
        <v>6627</v>
      </c>
      <c r="BN336" s="8" t="s">
        <v>395</v>
      </c>
      <c r="BO336" s="17">
        <v>28950</v>
      </c>
      <c r="BP336" s="17" t="s">
        <v>96</v>
      </c>
      <c r="BQ336" s="18" t="s">
        <v>6619</v>
      </c>
      <c r="BR336" s="7" t="s">
        <v>118</v>
      </c>
      <c r="BS336" s="7" t="s">
        <v>126</v>
      </c>
      <c r="BT336" s="7" t="s">
        <v>6628</v>
      </c>
      <c r="BU336" s="8" t="s">
        <v>108</v>
      </c>
      <c r="BV336" s="23"/>
      <c r="BW336" s="24"/>
      <c r="BX336" s="21" t="s">
        <v>6629</v>
      </c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N336" s="25"/>
      <c r="CO336" s="25"/>
      <c r="CP336" s="25"/>
      <c r="CQ336" s="25"/>
      <c r="CR336" s="25"/>
      <c r="CS336" s="26"/>
    </row>
    <row r="337" spans="1:97" s="27" customFormat="1" ht="23.25" customHeight="1">
      <c r="A337" s="4">
        <v>319</v>
      </c>
      <c r="B337" s="6" t="s">
        <v>4837</v>
      </c>
      <c r="C337" s="6" t="s">
        <v>4837</v>
      </c>
      <c r="D337" s="6" t="s">
        <v>4837</v>
      </c>
      <c r="E337" s="6"/>
      <c r="F337" s="6"/>
      <c r="G337" s="6" t="s">
        <v>6642</v>
      </c>
      <c r="H337" s="5" t="s">
        <v>4839</v>
      </c>
      <c r="I337" s="6" t="s">
        <v>86</v>
      </c>
      <c r="J337" s="7" t="s">
        <v>166</v>
      </c>
      <c r="K337" s="7" t="s">
        <v>1993</v>
      </c>
      <c r="L337" s="8"/>
      <c r="M337" s="5">
        <v>1849</v>
      </c>
      <c r="N337" s="5">
        <v>3161913893</v>
      </c>
      <c r="O337" s="9" t="s">
        <v>6643</v>
      </c>
      <c r="P337" s="10" t="s">
        <v>6644</v>
      </c>
      <c r="Q337" s="389" t="s">
        <v>6645</v>
      </c>
      <c r="R337" s="8" t="s">
        <v>7102</v>
      </c>
      <c r="S337" s="212" t="s">
        <v>12146</v>
      </c>
      <c r="T337" s="8" t="s">
        <v>6646</v>
      </c>
      <c r="U337" s="11" t="s">
        <v>93</v>
      </c>
      <c r="V337" s="12" t="s">
        <v>94</v>
      </c>
      <c r="W337" s="13">
        <v>42597</v>
      </c>
      <c r="X337" s="5" t="str">
        <f t="shared" ca="1" si="8"/>
        <v>10 Th, 1 Bln</v>
      </c>
      <c r="Y337" s="5"/>
      <c r="Z337" s="14"/>
      <c r="AA337" s="5" t="s">
        <v>96</v>
      </c>
      <c r="AB337" s="5" t="s">
        <v>97</v>
      </c>
      <c r="AC337" s="7" t="s">
        <v>6647</v>
      </c>
      <c r="AD337" s="131" t="s">
        <v>546</v>
      </c>
      <c r="AE337" s="131" t="s">
        <v>384</v>
      </c>
      <c r="AF337" s="7" t="s">
        <v>942</v>
      </c>
      <c r="AG337" s="7" t="s">
        <v>178</v>
      </c>
      <c r="AH337" s="7" t="s">
        <v>178</v>
      </c>
      <c r="AI337" s="7"/>
      <c r="AJ337" s="7" t="s">
        <v>103</v>
      </c>
      <c r="AK337" s="7" t="s">
        <v>104</v>
      </c>
      <c r="AL337" s="7" t="s">
        <v>5030</v>
      </c>
      <c r="AM337" s="15" t="s">
        <v>6648</v>
      </c>
      <c r="AN337" s="15" t="s">
        <v>6648</v>
      </c>
      <c r="AO337" s="8">
        <v>1</v>
      </c>
      <c r="AP337" s="8">
        <v>1</v>
      </c>
      <c r="AQ337" s="8">
        <v>0</v>
      </c>
      <c r="AR337" s="8">
        <v>0</v>
      </c>
      <c r="AS337" s="132" t="s">
        <v>5786</v>
      </c>
      <c r="AT337" s="131" t="s">
        <v>5307</v>
      </c>
      <c r="AU337" s="132" t="s">
        <v>149</v>
      </c>
      <c r="AV337" s="16" t="s">
        <v>112</v>
      </c>
      <c r="AW337" s="56" t="s">
        <v>549</v>
      </c>
      <c r="AX337" s="56" t="s">
        <v>114</v>
      </c>
      <c r="AY337" s="7" t="s">
        <v>6649</v>
      </c>
      <c r="AZ337" s="10" t="s">
        <v>6650</v>
      </c>
      <c r="BA337" s="7" t="s">
        <v>94</v>
      </c>
      <c r="BB337" s="17">
        <v>31365</v>
      </c>
      <c r="BC337" s="17" t="s">
        <v>96</v>
      </c>
      <c r="BD337" s="18" t="s">
        <v>6651</v>
      </c>
      <c r="BE337" s="7" t="s">
        <v>118</v>
      </c>
      <c r="BF337" s="7" t="s">
        <v>5063</v>
      </c>
      <c r="BG337" s="7" t="s">
        <v>6652</v>
      </c>
      <c r="BH337" s="7" t="s">
        <v>971</v>
      </c>
      <c r="BI337" s="19"/>
      <c r="BJ337" s="20">
        <v>11000000</v>
      </c>
      <c r="BK337" s="21"/>
      <c r="BL337" s="7" t="s">
        <v>6653</v>
      </c>
      <c r="BM337" s="22" t="s">
        <v>6654</v>
      </c>
      <c r="BN337" s="8" t="s">
        <v>94</v>
      </c>
      <c r="BO337" s="17">
        <v>32221</v>
      </c>
      <c r="BP337" s="17" t="s">
        <v>96</v>
      </c>
      <c r="BQ337" s="18" t="s">
        <v>6648</v>
      </c>
      <c r="BR337" s="7" t="s">
        <v>118</v>
      </c>
      <c r="BS337" s="7" t="s">
        <v>126</v>
      </c>
      <c r="BT337" s="7" t="s">
        <v>108</v>
      </c>
      <c r="BU337" s="8" t="s">
        <v>108</v>
      </c>
      <c r="BV337" s="23"/>
      <c r="BW337" s="24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N337" s="25"/>
      <c r="CO337" s="25"/>
      <c r="CP337" s="25"/>
      <c r="CQ337" s="25"/>
      <c r="CR337" s="25"/>
      <c r="CS337" s="26"/>
    </row>
    <row r="338" spans="1:97" s="27" customFormat="1" ht="23.25" customHeight="1">
      <c r="A338" s="4">
        <v>320</v>
      </c>
      <c r="B338" s="6" t="s">
        <v>4837</v>
      </c>
      <c r="C338" s="6" t="s">
        <v>4837</v>
      </c>
      <c r="D338" s="6" t="s">
        <v>4837</v>
      </c>
      <c r="E338" s="6"/>
      <c r="F338" s="6"/>
      <c r="G338" s="6" t="s">
        <v>6655</v>
      </c>
      <c r="H338" s="5" t="s">
        <v>4839</v>
      </c>
      <c r="I338" s="6" t="s">
        <v>86</v>
      </c>
      <c r="J338" s="7" t="s">
        <v>166</v>
      </c>
      <c r="K338" s="7" t="s">
        <v>1993</v>
      </c>
      <c r="L338" s="8"/>
      <c r="M338" s="5">
        <v>1850</v>
      </c>
      <c r="N338" s="5" t="s">
        <v>6656</v>
      </c>
      <c r="O338" s="9">
        <v>3573052012160010</v>
      </c>
      <c r="P338" s="10" t="s">
        <v>6657</v>
      </c>
      <c r="Q338" s="389" t="s">
        <v>6658</v>
      </c>
      <c r="R338" s="8" t="s">
        <v>7102</v>
      </c>
      <c r="S338" s="212" t="s">
        <v>12146</v>
      </c>
      <c r="T338" s="8" t="s">
        <v>6659</v>
      </c>
      <c r="U338" s="11" t="s">
        <v>172</v>
      </c>
      <c r="V338" s="12" t="s">
        <v>94</v>
      </c>
      <c r="W338" s="13">
        <v>42554</v>
      </c>
      <c r="X338" s="5" t="str">
        <f t="shared" ca="1" si="8"/>
        <v>10 Th, 2 Bln</v>
      </c>
      <c r="Y338" s="5"/>
      <c r="Z338" s="14"/>
      <c r="AA338" s="5" t="s">
        <v>96</v>
      </c>
      <c r="AB338" s="5" t="s">
        <v>97</v>
      </c>
      <c r="AC338" s="7" t="s">
        <v>6660</v>
      </c>
      <c r="AD338" s="131" t="s">
        <v>137</v>
      </c>
      <c r="AE338" s="131" t="s">
        <v>293</v>
      </c>
      <c r="AF338" s="7" t="s">
        <v>177</v>
      </c>
      <c r="AG338" s="7" t="s">
        <v>178</v>
      </c>
      <c r="AH338" s="7" t="s">
        <v>178</v>
      </c>
      <c r="AI338" s="7"/>
      <c r="AJ338" s="7" t="s">
        <v>103</v>
      </c>
      <c r="AK338" s="7" t="s">
        <v>179</v>
      </c>
      <c r="AL338" s="7" t="s">
        <v>5030</v>
      </c>
      <c r="AM338" s="15"/>
      <c r="AN338" s="15" t="s">
        <v>4363</v>
      </c>
      <c r="AO338" s="8">
        <v>1</v>
      </c>
      <c r="AP338" s="8">
        <v>1</v>
      </c>
      <c r="AQ338" s="8" t="s">
        <v>127</v>
      </c>
      <c r="AR338" s="8" t="s">
        <v>127</v>
      </c>
      <c r="AS338" s="132" t="s">
        <v>6661</v>
      </c>
      <c r="AT338" s="131" t="s">
        <v>5405</v>
      </c>
      <c r="AU338" s="132" t="s">
        <v>149</v>
      </c>
      <c r="AV338" s="16" t="s">
        <v>112</v>
      </c>
      <c r="AW338" s="56" t="s">
        <v>392</v>
      </c>
      <c r="AX338" s="56" t="s">
        <v>114</v>
      </c>
      <c r="AY338" s="7" t="s">
        <v>4365</v>
      </c>
      <c r="AZ338" s="10" t="s">
        <v>4366</v>
      </c>
      <c r="BA338" s="7" t="s">
        <v>222</v>
      </c>
      <c r="BB338" s="17">
        <v>32368</v>
      </c>
      <c r="BC338" s="17" t="s">
        <v>96</v>
      </c>
      <c r="BD338" s="18" t="s">
        <v>4367</v>
      </c>
      <c r="BE338" s="7" t="s">
        <v>118</v>
      </c>
      <c r="BF338" s="7" t="s">
        <v>247</v>
      </c>
      <c r="BG338" s="7" t="s">
        <v>6662</v>
      </c>
      <c r="BH338" s="7" t="s">
        <v>6663</v>
      </c>
      <c r="BI338" s="19" t="s">
        <v>6664</v>
      </c>
      <c r="BJ338" s="20">
        <v>5000000</v>
      </c>
      <c r="BK338" s="21" t="s">
        <v>6665</v>
      </c>
      <c r="BL338" s="7" t="s">
        <v>4370</v>
      </c>
      <c r="BM338" s="22" t="s">
        <v>4371</v>
      </c>
      <c r="BN338" s="8" t="s">
        <v>519</v>
      </c>
      <c r="BO338" s="17">
        <v>32900</v>
      </c>
      <c r="BP338" s="17" t="s">
        <v>96</v>
      </c>
      <c r="BQ338" s="18" t="s">
        <v>4363</v>
      </c>
      <c r="BR338" s="7" t="s">
        <v>118</v>
      </c>
      <c r="BS338" s="7" t="s">
        <v>127</v>
      </c>
      <c r="BT338" s="7" t="s">
        <v>127</v>
      </c>
      <c r="BU338" s="8" t="s">
        <v>127</v>
      </c>
      <c r="BV338" s="23"/>
      <c r="BW338" s="24" t="s">
        <v>127</v>
      </c>
      <c r="BX338" s="21" t="s">
        <v>4372</v>
      </c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N338" s="25"/>
      <c r="CO338" s="25"/>
      <c r="CP338" s="25"/>
      <c r="CQ338" s="25"/>
      <c r="CR338" s="25"/>
      <c r="CS338" s="26"/>
    </row>
    <row r="339" spans="1:97" s="27" customFormat="1" ht="22.5" customHeight="1">
      <c r="A339" s="4">
        <v>289</v>
      </c>
      <c r="B339" s="6" t="s">
        <v>4837</v>
      </c>
      <c r="C339" s="6" t="s">
        <v>4837</v>
      </c>
      <c r="D339" s="6" t="s">
        <v>4837</v>
      </c>
      <c r="E339" s="6"/>
      <c r="F339" s="6"/>
      <c r="G339" s="6" t="s">
        <v>6081</v>
      </c>
      <c r="H339" s="5" t="s">
        <v>4839</v>
      </c>
      <c r="I339" s="6" t="s">
        <v>86</v>
      </c>
      <c r="J339" s="7" t="s">
        <v>6082</v>
      </c>
      <c r="K339" s="7" t="s">
        <v>6083</v>
      </c>
      <c r="L339" s="8"/>
      <c r="M339" s="5">
        <v>1854</v>
      </c>
      <c r="N339" s="5">
        <v>3162376619</v>
      </c>
      <c r="O339" s="9" t="s">
        <v>6084</v>
      </c>
      <c r="P339" s="10" t="s">
        <v>6085</v>
      </c>
      <c r="Q339" s="389" t="s">
        <v>6086</v>
      </c>
      <c r="R339" s="8" t="s">
        <v>7102</v>
      </c>
      <c r="S339" s="212" t="s">
        <v>12146</v>
      </c>
      <c r="T339" s="8" t="s">
        <v>6087</v>
      </c>
      <c r="U339" s="11" t="s">
        <v>172</v>
      </c>
      <c r="V339" s="12" t="s">
        <v>94</v>
      </c>
      <c r="W339" s="13">
        <v>42668</v>
      </c>
      <c r="X339" s="5" t="str">
        <f t="shared" ca="1" si="8"/>
        <v>9 Th, 10 Bln</v>
      </c>
      <c r="Y339" s="5"/>
      <c r="Z339" s="14"/>
      <c r="AA339" s="5" t="s">
        <v>96</v>
      </c>
      <c r="AB339" s="5" t="s">
        <v>97</v>
      </c>
      <c r="AC339" s="7" t="s">
        <v>6088</v>
      </c>
      <c r="AD339" s="131" t="s">
        <v>137</v>
      </c>
      <c r="AE339" s="131" t="s">
        <v>99</v>
      </c>
      <c r="AF339" s="7" t="s">
        <v>521</v>
      </c>
      <c r="AG339" s="7" t="s">
        <v>178</v>
      </c>
      <c r="AH339" s="7" t="s">
        <v>178</v>
      </c>
      <c r="AI339" s="7"/>
      <c r="AJ339" s="7" t="s">
        <v>103</v>
      </c>
      <c r="AK339" s="7" t="s">
        <v>179</v>
      </c>
      <c r="AL339" s="7" t="s">
        <v>5030</v>
      </c>
      <c r="AM339" s="15" t="s">
        <v>6089</v>
      </c>
      <c r="AN339" s="15" t="s">
        <v>6089</v>
      </c>
      <c r="AO339" s="8">
        <v>1</v>
      </c>
      <c r="AP339" s="8">
        <v>0</v>
      </c>
      <c r="AQ339" s="8"/>
      <c r="AR339" s="8"/>
      <c r="AS339" s="132" t="s">
        <v>2312</v>
      </c>
      <c r="AT339" s="131" t="s">
        <v>1266</v>
      </c>
      <c r="AU339" s="132" t="s">
        <v>182</v>
      </c>
      <c r="AV339" s="16" t="s">
        <v>112</v>
      </c>
      <c r="AW339" s="56" t="s">
        <v>150</v>
      </c>
      <c r="AX339" s="56" t="s">
        <v>114</v>
      </c>
      <c r="AY339" s="7" t="s">
        <v>6090</v>
      </c>
      <c r="AZ339" s="10" t="s">
        <v>6091</v>
      </c>
      <c r="BA339" s="7" t="s">
        <v>94</v>
      </c>
      <c r="BB339" s="17">
        <v>35182</v>
      </c>
      <c r="BC339" s="17" t="s">
        <v>96</v>
      </c>
      <c r="BD339" s="18" t="s">
        <v>6092</v>
      </c>
      <c r="BE339" s="7" t="s">
        <v>216</v>
      </c>
      <c r="BF339" s="7" t="s">
        <v>327</v>
      </c>
      <c r="BG339" s="7" t="s">
        <v>6093</v>
      </c>
      <c r="BH339" s="7" t="s">
        <v>6094</v>
      </c>
      <c r="BI339" s="19"/>
      <c r="BJ339" s="20" t="s">
        <v>983</v>
      </c>
      <c r="BK339" s="21" t="s">
        <v>6095</v>
      </c>
      <c r="BL339" s="7" t="s">
        <v>6096</v>
      </c>
      <c r="BM339" s="22" t="s">
        <v>6097</v>
      </c>
      <c r="BN339" s="8" t="s">
        <v>94</v>
      </c>
      <c r="BO339" s="17">
        <v>34858</v>
      </c>
      <c r="BP339" s="17" t="s">
        <v>96</v>
      </c>
      <c r="BQ339" s="18" t="s">
        <v>6089</v>
      </c>
      <c r="BR339" s="7" t="s">
        <v>216</v>
      </c>
      <c r="BS339" s="7" t="s">
        <v>254</v>
      </c>
      <c r="BT339" s="7" t="s">
        <v>127</v>
      </c>
      <c r="BU339" s="8" t="s">
        <v>127</v>
      </c>
      <c r="BV339" s="23"/>
      <c r="BW339" s="24" t="s">
        <v>127</v>
      </c>
      <c r="BX339" s="21" t="s">
        <v>6098</v>
      </c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N339" s="25"/>
      <c r="CO339" s="25"/>
      <c r="CP339" s="25"/>
      <c r="CQ339" s="25"/>
      <c r="CR339" s="25"/>
      <c r="CS339" s="26"/>
    </row>
    <row r="340" spans="1:97" s="60" customFormat="1" ht="24" customHeight="1">
      <c r="A340" s="4">
        <v>233</v>
      </c>
      <c r="B340" s="6" t="s">
        <v>4837</v>
      </c>
      <c r="C340" s="6" t="s">
        <v>4837</v>
      </c>
      <c r="D340" s="6" t="s">
        <v>4837</v>
      </c>
      <c r="E340" s="6"/>
      <c r="F340" s="6"/>
      <c r="G340" s="6" t="s">
        <v>4838</v>
      </c>
      <c r="H340" s="5" t="s">
        <v>4839</v>
      </c>
      <c r="I340" s="6" t="s">
        <v>86</v>
      </c>
      <c r="J340" s="7" t="s">
        <v>513</v>
      </c>
      <c r="K340" s="7" t="s">
        <v>4840</v>
      </c>
      <c r="L340" s="8"/>
      <c r="M340" s="5">
        <v>1855</v>
      </c>
      <c r="N340" s="5">
        <v>3168576374</v>
      </c>
      <c r="O340" s="9" t="s">
        <v>4841</v>
      </c>
      <c r="P340" s="10" t="s">
        <v>4842</v>
      </c>
      <c r="Q340" s="389" t="s">
        <v>4843</v>
      </c>
      <c r="R340" s="8" t="s">
        <v>7102</v>
      </c>
      <c r="S340" s="212" t="s">
        <v>12146</v>
      </c>
      <c r="T340" s="8" t="s">
        <v>4645</v>
      </c>
      <c r="U340" s="11" t="s">
        <v>172</v>
      </c>
      <c r="V340" s="12" t="s">
        <v>1031</v>
      </c>
      <c r="W340" s="13">
        <v>42575</v>
      </c>
      <c r="X340" s="5" t="str">
        <f t="shared" ca="1" si="8"/>
        <v>10 Th, 1 Bln</v>
      </c>
      <c r="Y340" s="5"/>
      <c r="Z340" s="14"/>
      <c r="AA340" s="5" t="s">
        <v>96</v>
      </c>
      <c r="AB340" s="5" t="s">
        <v>97</v>
      </c>
      <c r="AC340" s="7" t="s">
        <v>4845</v>
      </c>
      <c r="AD340" s="131">
        <v>43</v>
      </c>
      <c r="AE340" s="131">
        <v>10</v>
      </c>
      <c r="AF340" s="7" t="s">
        <v>319</v>
      </c>
      <c r="AG340" s="7" t="s">
        <v>140</v>
      </c>
      <c r="AH340" s="7" t="s">
        <v>141</v>
      </c>
      <c r="AI340" s="7"/>
      <c r="AJ340" s="7" t="s">
        <v>4846</v>
      </c>
      <c r="AK340" s="7" t="s">
        <v>104</v>
      </c>
      <c r="AL340" s="7" t="s">
        <v>4847</v>
      </c>
      <c r="AM340" s="128" t="s">
        <v>4848</v>
      </c>
      <c r="AN340" s="15" t="s">
        <v>4848</v>
      </c>
      <c r="AO340" s="8">
        <v>1</v>
      </c>
      <c r="AP340" s="8">
        <v>0</v>
      </c>
      <c r="AQ340" s="8"/>
      <c r="AR340" s="8"/>
      <c r="AS340" s="132" t="s">
        <v>2137</v>
      </c>
      <c r="AT340" s="131" t="s">
        <v>2138</v>
      </c>
      <c r="AU340" s="132" t="s">
        <v>182</v>
      </c>
      <c r="AV340" s="16" t="s">
        <v>112</v>
      </c>
      <c r="AW340" s="56"/>
      <c r="AX340" s="56" t="s">
        <v>114</v>
      </c>
      <c r="AY340" s="7" t="s">
        <v>4849</v>
      </c>
      <c r="AZ340" s="10" t="s">
        <v>4850</v>
      </c>
      <c r="BA340" s="7" t="s">
        <v>519</v>
      </c>
      <c r="BB340" s="17">
        <v>32358</v>
      </c>
      <c r="BC340" s="17" t="s">
        <v>96</v>
      </c>
      <c r="BD340" s="18" t="s">
        <v>4851</v>
      </c>
      <c r="BE340" s="7" t="s">
        <v>118</v>
      </c>
      <c r="BF340" s="7" t="s">
        <v>1526</v>
      </c>
      <c r="BG340" s="7" t="s">
        <v>4158</v>
      </c>
      <c r="BH340" s="7" t="s">
        <v>2024</v>
      </c>
      <c r="BI340" s="19"/>
      <c r="BJ340" s="20">
        <v>5000000</v>
      </c>
      <c r="BK340" s="21"/>
      <c r="BL340" s="7" t="s">
        <v>4852</v>
      </c>
      <c r="BM340" s="22" t="s">
        <v>4853</v>
      </c>
      <c r="BN340" s="8" t="s">
        <v>1031</v>
      </c>
      <c r="BO340" s="17">
        <v>33022</v>
      </c>
      <c r="BP340" s="17" t="s">
        <v>96</v>
      </c>
      <c r="BQ340" s="18" t="s">
        <v>4848</v>
      </c>
      <c r="BR340" s="7" t="s">
        <v>118</v>
      </c>
      <c r="BS340" s="7" t="s">
        <v>126</v>
      </c>
      <c r="BT340" s="7" t="s">
        <v>108</v>
      </c>
      <c r="BU340" s="8" t="s">
        <v>108</v>
      </c>
      <c r="BV340" s="23"/>
      <c r="BW340" s="24" t="s">
        <v>127</v>
      </c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</row>
    <row r="341" spans="1:97" s="27" customFormat="1" ht="23.25" customHeight="1">
      <c r="A341" s="4">
        <v>291</v>
      </c>
      <c r="B341" s="6" t="s">
        <v>4837</v>
      </c>
      <c r="C341" s="6" t="s">
        <v>4837</v>
      </c>
      <c r="D341" s="6" t="s">
        <v>4837</v>
      </c>
      <c r="E341" s="6"/>
      <c r="F341" s="6"/>
      <c r="G341" s="6" t="s">
        <v>6124</v>
      </c>
      <c r="H341" s="5" t="s">
        <v>4839</v>
      </c>
      <c r="I341" s="6" t="s">
        <v>86</v>
      </c>
      <c r="J341" s="7" t="s">
        <v>166</v>
      </c>
      <c r="K341" s="7" t="s">
        <v>1993</v>
      </c>
      <c r="L341" s="8"/>
      <c r="M341" s="5">
        <v>1858</v>
      </c>
      <c r="N341" s="5">
        <v>3175023830</v>
      </c>
      <c r="O341" s="9" t="s">
        <v>6125</v>
      </c>
      <c r="P341" s="10" t="s">
        <v>6126</v>
      </c>
      <c r="Q341" s="389" t="s">
        <v>13431</v>
      </c>
      <c r="R341" s="8" t="s">
        <v>7102</v>
      </c>
      <c r="S341" s="212" t="s">
        <v>12146</v>
      </c>
      <c r="T341" s="8" t="s">
        <v>6127</v>
      </c>
      <c r="U341" s="11" t="s">
        <v>172</v>
      </c>
      <c r="V341" s="12" t="s">
        <v>94</v>
      </c>
      <c r="W341" s="13">
        <v>42837</v>
      </c>
      <c r="X341" s="5" t="str">
        <f t="shared" ca="1" si="8"/>
        <v>9 Th, 5 Bln</v>
      </c>
      <c r="Y341" s="5"/>
      <c r="Z341" s="14"/>
      <c r="AA341" s="5" t="s">
        <v>96</v>
      </c>
      <c r="AB341" s="5" t="s">
        <v>97</v>
      </c>
      <c r="AC341" s="7" t="s">
        <v>6128</v>
      </c>
      <c r="AD341" s="131" t="s">
        <v>4392</v>
      </c>
      <c r="AE341" s="131" t="s">
        <v>176</v>
      </c>
      <c r="AF341" s="7" t="s">
        <v>1840</v>
      </c>
      <c r="AG341" s="7" t="s">
        <v>178</v>
      </c>
      <c r="AH341" s="7" t="s">
        <v>178</v>
      </c>
      <c r="AI341" s="7"/>
      <c r="AJ341" s="7" t="s">
        <v>103</v>
      </c>
      <c r="AK341" s="7" t="s">
        <v>104</v>
      </c>
      <c r="AL341" s="7" t="s">
        <v>5278</v>
      </c>
      <c r="AM341" s="15" t="s">
        <v>127</v>
      </c>
      <c r="AN341" s="15" t="s">
        <v>6129</v>
      </c>
      <c r="AO341" s="8">
        <v>2</v>
      </c>
      <c r="AP341" s="8">
        <v>2</v>
      </c>
      <c r="AQ341" s="8" t="s">
        <v>127</v>
      </c>
      <c r="AR341" s="8" t="s">
        <v>127</v>
      </c>
      <c r="AS341" s="132" t="s">
        <v>463</v>
      </c>
      <c r="AT341" s="131" t="s">
        <v>1762</v>
      </c>
      <c r="AU341" s="132" t="s">
        <v>149</v>
      </c>
      <c r="AV341" s="16" t="s">
        <v>112</v>
      </c>
      <c r="AW341" s="56" t="s">
        <v>113</v>
      </c>
      <c r="AX341" s="56" t="s">
        <v>114</v>
      </c>
      <c r="AY341" s="7" t="s">
        <v>6130</v>
      </c>
      <c r="AZ341" s="10" t="s">
        <v>6131</v>
      </c>
      <c r="BA341" s="7" t="s">
        <v>469</v>
      </c>
      <c r="BB341" s="17">
        <v>28543</v>
      </c>
      <c r="BC341" s="17" t="s">
        <v>96</v>
      </c>
      <c r="BD341" s="18" t="s">
        <v>6132</v>
      </c>
      <c r="BE341" s="7" t="s">
        <v>118</v>
      </c>
      <c r="BF341" s="7" t="s">
        <v>276</v>
      </c>
      <c r="BG341" s="7" t="s">
        <v>6133</v>
      </c>
      <c r="BH341" s="7" t="s">
        <v>6134</v>
      </c>
      <c r="BI341" s="19" t="s">
        <v>6135</v>
      </c>
      <c r="BJ341" s="20" t="s">
        <v>4465</v>
      </c>
      <c r="BK341" s="21" t="s">
        <v>6136</v>
      </c>
      <c r="BL341" s="7" t="s">
        <v>6137</v>
      </c>
      <c r="BM341" s="22" t="s">
        <v>6138</v>
      </c>
      <c r="BN341" s="8" t="s">
        <v>603</v>
      </c>
      <c r="BO341" s="17">
        <v>30163</v>
      </c>
      <c r="BP341" s="17" t="s">
        <v>1688</v>
      </c>
      <c r="BQ341" s="18" t="s">
        <v>6129</v>
      </c>
      <c r="BR341" s="7" t="s">
        <v>153</v>
      </c>
      <c r="BS341" s="7" t="s">
        <v>503</v>
      </c>
      <c r="BT341" s="7" t="s">
        <v>6139</v>
      </c>
      <c r="BU341" s="8" t="s">
        <v>6140</v>
      </c>
      <c r="BV341" s="23" t="s">
        <v>6141</v>
      </c>
      <c r="BW341" s="24" t="s">
        <v>4324</v>
      </c>
      <c r="BX341" s="21" t="s">
        <v>6142</v>
      </c>
      <c r="BY341" s="21" t="s">
        <v>127</v>
      </c>
      <c r="BZ341" s="21" t="s">
        <v>127</v>
      </c>
      <c r="CA341" s="21"/>
      <c r="CB341" s="21"/>
      <c r="CC341" s="21"/>
      <c r="CD341" s="21"/>
      <c r="CE341" s="21"/>
      <c r="CF341" s="21"/>
      <c r="CG341" s="21" t="s">
        <v>127</v>
      </c>
      <c r="CH341" s="21" t="s">
        <v>127</v>
      </c>
      <c r="CI341" s="21" t="s">
        <v>127</v>
      </c>
      <c r="CJ341" s="21" t="s">
        <v>127</v>
      </c>
      <c r="CK341" s="21" t="s">
        <v>127</v>
      </c>
      <c r="CL341" s="21" t="s">
        <v>127</v>
      </c>
      <c r="CN341" s="25"/>
      <c r="CO341" s="25"/>
      <c r="CP341" s="25"/>
      <c r="CQ341" s="25"/>
      <c r="CR341" s="25"/>
      <c r="CS341" s="26"/>
    </row>
    <row r="342" spans="1:97" s="27" customFormat="1" ht="23.25" customHeight="1">
      <c r="A342" s="4">
        <v>261</v>
      </c>
      <c r="B342" s="6" t="s">
        <v>4837</v>
      </c>
      <c r="C342" s="6" t="s">
        <v>4837</v>
      </c>
      <c r="D342" s="6" t="s">
        <v>4837</v>
      </c>
      <c r="E342" s="6"/>
      <c r="F342" s="6"/>
      <c r="G342" s="6" t="s">
        <v>5578</v>
      </c>
      <c r="H342" s="5" t="s">
        <v>4839</v>
      </c>
      <c r="I342" s="6" t="s">
        <v>86</v>
      </c>
      <c r="J342" s="7" t="s">
        <v>166</v>
      </c>
      <c r="K342" s="7" t="s">
        <v>1993</v>
      </c>
      <c r="L342" s="8"/>
      <c r="M342" s="5">
        <v>1860</v>
      </c>
      <c r="N342" s="5" t="s">
        <v>5579</v>
      </c>
      <c r="O342" s="9" t="s">
        <v>5580</v>
      </c>
      <c r="P342" s="10" t="s">
        <v>5581</v>
      </c>
      <c r="Q342" s="389" t="s">
        <v>5582</v>
      </c>
      <c r="R342" s="8" t="s">
        <v>7102</v>
      </c>
      <c r="S342" s="212" t="s">
        <v>12146</v>
      </c>
      <c r="T342" s="8" t="s">
        <v>5583</v>
      </c>
      <c r="U342" s="11" t="s">
        <v>172</v>
      </c>
      <c r="V342" s="12" t="s">
        <v>94</v>
      </c>
      <c r="W342" s="13">
        <v>42912</v>
      </c>
      <c r="X342" s="5" t="str">
        <f t="shared" ca="1" si="8"/>
        <v>9 Th, 2 Bln</v>
      </c>
      <c r="Y342" s="5"/>
      <c r="Z342" s="14"/>
      <c r="AA342" s="5" t="s">
        <v>96</v>
      </c>
      <c r="AB342" s="5" t="s">
        <v>97</v>
      </c>
      <c r="AC342" s="7" t="s">
        <v>5584</v>
      </c>
      <c r="AD342" s="131" t="s">
        <v>384</v>
      </c>
      <c r="AE342" s="131">
        <v>11</v>
      </c>
      <c r="AF342" s="7" t="s">
        <v>139</v>
      </c>
      <c r="AG342" s="7" t="s">
        <v>140</v>
      </c>
      <c r="AH342" s="7" t="s">
        <v>141</v>
      </c>
      <c r="AI342" s="7"/>
      <c r="AJ342" s="7" t="s">
        <v>1374</v>
      </c>
      <c r="AK342" s="7" t="s">
        <v>104</v>
      </c>
      <c r="AL342" s="7" t="s">
        <v>5585</v>
      </c>
      <c r="AM342" s="15" t="s">
        <v>5586</v>
      </c>
      <c r="AN342" s="15" t="s">
        <v>5587</v>
      </c>
      <c r="AO342" s="8">
        <v>1</v>
      </c>
      <c r="AP342" s="8">
        <v>0</v>
      </c>
      <c r="AQ342" s="8">
        <v>0</v>
      </c>
      <c r="AR342" s="8">
        <v>0</v>
      </c>
      <c r="AS342" s="132" t="s">
        <v>5588</v>
      </c>
      <c r="AT342" s="131" t="s">
        <v>2384</v>
      </c>
      <c r="AU342" s="132" t="s">
        <v>149</v>
      </c>
      <c r="AV342" s="16" t="s">
        <v>112</v>
      </c>
      <c r="AW342" s="56" t="s">
        <v>549</v>
      </c>
      <c r="AX342" s="56" t="s">
        <v>114</v>
      </c>
      <c r="AY342" s="7" t="s">
        <v>5589</v>
      </c>
      <c r="AZ342" s="10" t="s">
        <v>5590</v>
      </c>
      <c r="BA342" s="7" t="s">
        <v>395</v>
      </c>
      <c r="BB342" s="17">
        <v>33633</v>
      </c>
      <c r="BC342" s="17" t="s">
        <v>96</v>
      </c>
      <c r="BD342" s="18" t="s">
        <v>5591</v>
      </c>
      <c r="BE342" s="7" t="s">
        <v>118</v>
      </c>
      <c r="BF342" s="7" t="s">
        <v>471</v>
      </c>
      <c r="BG342" s="7" t="s">
        <v>5592</v>
      </c>
      <c r="BH342" s="7" t="s">
        <v>5593</v>
      </c>
      <c r="BI342" s="19" t="s">
        <v>5594</v>
      </c>
      <c r="BJ342" s="20" t="s">
        <v>4465</v>
      </c>
      <c r="BK342" s="21" t="s">
        <v>5595</v>
      </c>
      <c r="BL342" s="7" t="s">
        <v>5596</v>
      </c>
      <c r="BM342" s="22" t="s">
        <v>5597</v>
      </c>
      <c r="BN342" s="8" t="s">
        <v>94</v>
      </c>
      <c r="BO342" s="17">
        <v>33868</v>
      </c>
      <c r="BP342" s="17" t="s">
        <v>96</v>
      </c>
      <c r="BQ342" s="18" t="s">
        <v>5587</v>
      </c>
      <c r="BR342" s="7" t="s">
        <v>118</v>
      </c>
      <c r="BS342" s="7" t="s">
        <v>471</v>
      </c>
      <c r="BT342" s="7" t="s">
        <v>5598</v>
      </c>
      <c r="BU342" s="8" t="s">
        <v>5599</v>
      </c>
      <c r="BV342" s="23" t="s">
        <v>5600</v>
      </c>
      <c r="BW342" s="24" t="s">
        <v>4214</v>
      </c>
      <c r="BX342" s="21" t="s">
        <v>5601</v>
      </c>
      <c r="BY342" s="21" t="s">
        <v>5602</v>
      </c>
      <c r="BZ342" s="21" t="s">
        <v>94</v>
      </c>
      <c r="CA342" s="21">
        <v>25433</v>
      </c>
      <c r="CB342" s="21"/>
      <c r="CC342" s="21" t="s">
        <v>5603</v>
      </c>
      <c r="CD342" s="21" t="s">
        <v>216</v>
      </c>
      <c r="CE342" s="21" t="s">
        <v>126</v>
      </c>
      <c r="CF342" s="21" t="s">
        <v>96</v>
      </c>
      <c r="CG342" s="21" t="s">
        <v>5584</v>
      </c>
      <c r="CH342" s="21" t="s">
        <v>384</v>
      </c>
      <c r="CI342" s="21">
        <v>11</v>
      </c>
      <c r="CJ342" s="21" t="s">
        <v>139</v>
      </c>
      <c r="CK342" s="21" t="s">
        <v>140</v>
      </c>
      <c r="CL342" s="21" t="s">
        <v>1374</v>
      </c>
      <c r="CN342" s="25"/>
      <c r="CO342" s="25"/>
      <c r="CP342" s="25"/>
      <c r="CQ342" s="25"/>
      <c r="CR342" s="25"/>
      <c r="CS342" s="26"/>
    </row>
    <row r="343" spans="1:97" s="87" customFormat="1" ht="23.25" customHeight="1">
      <c r="A343" s="4">
        <v>235</v>
      </c>
      <c r="B343" s="61"/>
      <c r="C343" s="61"/>
      <c r="D343" s="61"/>
      <c r="E343" s="61"/>
      <c r="F343" s="61"/>
      <c r="G343" s="61"/>
      <c r="H343" s="62" t="s">
        <v>5048</v>
      </c>
      <c r="I343" s="61" t="s">
        <v>4774</v>
      </c>
      <c r="J343" s="63" t="s">
        <v>5049</v>
      </c>
      <c r="K343" s="63" t="s">
        <v>5050</v>
      </c>
      <c r="L343" s="64"/>
      <c r="M343" s="62">
        <v>2064</v>
      </c>
      <c r="N343" s="62">
        <v>3164884399</v>
      </c>
      <c r="O343" s="65" t="s">
        <v>5051</v>
      </c>
      <c r="P343" s="66" t="s">
        <v>5052</v>
      </c>
      <c r="Q343" s="391" t="s">
        <v>13426</v>
      </c>
      <c r="R343" s="8" t="s">
        <v>7102</v>
      </c>
      <c r="S343" s="212" t="s">
        <v>12146</v>
      </c>
      <c r="T343" s="64" t="s">
        <v>5053</v>
      </c>
      <c r="U343" s="67" t="s">
        <v>93</v>
      </c>
      <c r="V343" s="68" t="s">
        <v>5054</v>
      </c>
      <c r="W343" s="69">
        <v>42678</v>
      </c>
      <c r="X343" s="62" t="str">
        <f ca="1">""&amp;DATEDIF(Z343,TODAY(),"y")&amp;" Th, "&amp;DATEDIF(Z343,TODAY(),"ym")&amp;" Bln"</f>
        <v>9 Th, 10 Bln</v>
      </c>
      <c r="Y343" s="62"/>
      <c r="Z343" s="14">
        <v>42678</v>
      </c>
      <c r="AA343" s="62" t="s">
        <v>737</v>
      </c>
      <c r="AB343" s="62"/>
      <c r="AC343" s="70" t="s">
        <v>5055</v>
      </c>
      <c r="AD343" s="133">
        <v>7</v>
      </c>
      <c r="AE343" s="64">
        <v>5</v>
      </c>
      <c r="AF343" s="63" t="s">
        <v>4265</v>
      </c>
      <c r="AG343" s="63" t="s">
        <v>547</v>
      </c>
      <c r="AH343" s="63" t="s">
        <v>178</v>
      </c>
      <c r="AI343" s="63"/>
      <c r="AJ343" s="63" t="s">
        <v>568</v>
      </c>
      <c r="AK343" s="63"/>
      <c r="AL343" s="71" t="s">
        <v>5056</v>
      </c>
      <c r="AM343" s="71"/>
      <c r="AN343" s="72"/>
      <c r="AO343" s="64">
        <v>3</v>
      </c>
      <c r="AP343" s="64">
        <v>2</v>
      </c>
      <c r="AQ343" s="64"/>
      <c r="AR343" s="134"/>
      <c r="AS343" s="133">
        <v>28.6</v>
      </c>
      <c r="AT343" s="134">
        <v>127</v>
      </c>
      <c r="AU343" s="134" t="s">
        <v>182</v>
      </c>
      <c r="AV343" s="73" t="s">
        <v>5057</v>
      </c>
      <c r="AW343" s="135"/>
      <c r="AX343" s="63"/>
      <c r="AY343" s="74" t="s">
        <v>5058</v>
      </c>
      <c r="AZ343" s="63" t="s">
        <v>5059</v>
      </c>
      <c r="BA343" s="75" t="s">
        <v>5060</v>
      </c>
      <c r="BB343" s="75">
        <v>25090</v>
      </c>
      <c r="BC343" s="76" t="s">
        <v>737</v>
      </c>
      <c r="BD343" s="77" t="s">
        <v>5061</v>
      </c>
      <c r="BE343" s="63" t="s">
        <v>5062</v>
      </c>
      <c r="BF343" s="63" t="s">
        <v>5063</v>
      </c>
      <c r="BG343" s="63"/>
      <c r="BH343" s="78"/>
      <c r="BI343" s="79"/>
      <c r="BJ343" s="80"/>
      <c r="BK343" s="81" t="s">
        <v>5064</v>
      </c>
      <c r="BL343" s="82" t="s">
        <v>5065</v>
      </c>
      <c r="BM343" s="77" t="s">
        <v>5066</v>
      </c>
      <c r="BN343" s="145" t="s">
        <v>1393</v>
      </c>
      <c r="BO343" s="75" t="s">
        <v>5067</v>
      </c>
      <c r="BP343" s="76" t="s">
        <v>737</v>
      </c>
      <c r="BQ343" s="77" t="s">
        <v>5068</v>
      </c>
      <c r="BR343" s="63" t="s">
        <v>5069</v>
      </c>
      <c r="BS343" s="63" t="s">
        <v>582</v>
      </c>
      <c r="BT343" s="64"/>
      <c r="BU343" s="64"/>
      <c r="BV343" s="79"/>
      <c r="BW343" s="83"/>
      <c r="BX343" s="83"/>
      <c r="BY343" s="83" t="s">
        <v>5070</v>
      </c>
      <c r="BZ343" s="83" t="s">
        <v>5054</v>
      </c>
      <c r="CA343" s="83" t="s">
        <v>5071</v>
      </c>
      <c r="CB343" s="83" t="s">
        <v>5072</v>
      </c>
      <c r="CC343" s="83" t="s">
        <v>5073</v>
      </c>
      <c r="CD343" s="83" t="s">
        <v>118</v>
      </c>
      <c r="CE343" s="83"/>
      <c r="CF343" s="83"/>
      <c r="CG343" s="83" t="s">
        <v>5055</v>
      </c>
      <c r="CH343" s="83">
        <v>7</v>
      </c>
      <c r="CI343" s="83">
        <v>5</v>
      </c>
      <c r="CJ343" s="83" t="s">
        <v>4265</v>
      </c>
      <c r="CK343" s="83" t="s">
        <v>547</v>
      </c>
      <c r="CL343" s="84" t="s">
        <v>568</v>
      </c>
      <c r="CN343" s="85"/>
      <c r="CO343" s="85"/>
      <c r="CP343" s="85"/>
      <c r="CQ343" s="85"/>
      <c r="CR343" s="85"/>
      <c r="CS343" s="86"/>
    </row>
    <row r="344" spans="1:97" s="27" customFormat="1" ht="23.25" customHeight="1">
      <c r="A344" s="4">
        <v>292</v>
      </c>
      <c r="B344" s="6" t="s">
        <v>4837</v>
      </c>
      <c r="C344" s="6" t="s">
        <v>4837</v>
      </c>
      <c r="D344" s="6" t="s">
        <v>4837</v>
      </c>
      <c r="E344" s="6"/>
      <c r="F344" s="6"/>
      <c r="G344" s="6" t="s">
        <v>6143</v>
      </c>
      <c r="H344" s="5" t="s">
        <v>4839</v>
      </c>
      <c r="I344" s="6" t="s">
        <v>86</v>
      </c>
      <c r="J344" s="7" t="s">
        <v>166</v>
      </c>
      <c r="K344" s="7" t="s">
        <v>1993</v>
      </c>
      <c r="L344" s="8"/>
      <c r="M344" s="5">
        <v>1861</v>
      </c>
      <c r="N344" s="5">
        <v>3162897121</v>
      </c>
      <c r="O344" s="9" t="s">
        <v>6144</v>
      </c>
      <c r="P344" s="10" t="s">
        <v>6145</v>
      </c>
      <c r="Q344" s="389" t="s">
        <v>6146</v>
      </c>
      <c r="R344" s="8" t="s">
        <v>7102</v>
      </c>
      <c r="S344" s="212" t="s">
        <v>12146</v>
      </c>
      <c r="T344" s="8" t="s">
        <v>6147</v>
      </c>
      <c r="U344" s="11" t="s">
        <v>93</v>
      </c>
      <c r="V344" s="12" t="s">
        <v>511</v>
      </c>
      <c r="W344" s="13">
        <v>42477</v>
      </c>
      <c r="X344" s="5" t="str">
        <f t="shared" ref="X344:X359" ca="1" si="9">""&amp;DATEDIF(W344,TODAY(),"y")&amp;" Th, "&amp;DATEDIF(W344,TODAY(),"ym")&amp;" Bln"</f>
        <v>10 Th, 4 Bln</v>
      </c>
      <c r="Y344" s="5"/>
      <c r="Z344" s="14"/>
      <c r="AA344" s="5" t="s">
        <v>96</v>
      </c>
      <c r="AB344" s="5" t="s">
        <v>97</v>
      </c>
      <c r="AC344" s="7" t="s">
        <v>6148</v>
      </c>
      <c r="AD344" s="131" t="s">
        <v>384</v>
      </c>
      <c r="AE344" s="131" t="s">
        <v>318</v>
      </c>
      <c r="AF344" s="7" t="s">
        <v>4569</v>
      </c>
      <c r="AG344" s="7" t="s">
        <v>140</v>
      </c>
      <c r="AH344" s="7" t="s">
        <v>141</v>
      </c>
      <c r="AI344" s="7"/>
      <c r="AJ344" s="7" t="s">
        <v>4846</v>
      </c>
      <c r="AK344" s="7" t="s">
        <v>179</v>
      </c>
      <c r="AL344" s="7" t="s">
        <v>4861</v>
      </c>
      <c r="AM344" s="15" t="s">
        <v>6149</v>
      </c>
      <c r="AN344" s="15" t="s">
        <v>6150</v>
      </c>
      <c r="AO344" s="8">
        <v>1</v>
      </c>
      <c r="AP344" s="8">
        <v>2</v>
      </c>
      <c r="AQ344" s="8">
        <v>0</v>
      </c>
      <c r="AR344" s="8">
        <v>0</v>
      </c>
      <c r="AS344" s="132" t="s">
        <v>5080</v>
      </c>
      <c r="AT344" s="131" t="s">
        <v>5612</v>
      </c>
      <c r="AU344" s="132" t="s">
        <v>111</v>
      </c>
      <c r="AV344" s="16" t="s">
        <v>112</v>
      </c>
      <c r="AW344" s="56"/>
      <c r="AX344" s="56" t="s">
        <v>114</v>
      </c>
      <c r="AY344" s="7" t="s">
        <v>6151</v>
      </c>
      <c r="AZ344" s="10" t="s">
        <v>6152</v>
      </c>
      <c r="BA344" s="7" t="s">
        <v>94</v>
      </c>
      <c r="BB344" s="17">
        <v>32261</v>
      </c>
      <c r="BC344" s="17" t="s">
        <v>96</v>
      </c>
      <c r="BD344" s="18" t="s">
        <v>6153</v>
      </c>
      <c r="BE344" s="7" t="s">
        <v>216</v>
      </c>
      <c r="BF344" s="7" t="s">
        <v>195</v>
      </c>
      <c r="BG344" s="7" t="s">
        <v>6154</v>
      </c>
      <c r="BH344" s="7" t="s">
        <v>6155</v>
      </c>
      <c r="BI344" s="19" t="s">
        <v>6156</v>
      </c>
      <c r="BJ344" s="20" t="s">
        <v>6157</v>
      </c>
      <c r="BK344" s="21"/>
      <c r="BL344" s="7" t="s">
        <v>6158</v>
      </c>
      <c r="BM344" s="22" t="s">
        <v>6159</v>
      </c>
      <c r="BN344" s="8" t="s">
        <v>511</v>
      </c>
      <c r="BO344" s="17">
        <v>34351</v>
      </c>
      <c r="BP344" s="17" t="s">
        <v>96</v>
      </c>
      <c r="BQ344" s="18" t="s">
        <v>6150</v>
      </c>
      <c r="BR344" s="7" t="s">
        <v>118</v>
      </c>
      <c r="BS344" s="7" t="s">
        <v>195</v>
      </c>
      <c r="BT344" s="7" t="s">
        <v>6160</v>
      </c>
      <c r="BU344" s="8" t="s">
        <v>6161</v>
      </c>
      <c r="BV344" s="23" t="s">
        <v>6150</v>
      </c>
      <c r="BW344" s="24" t="s">
        <v>6157</v>
      </c>
      <c r="BX344" s="21" t="s">
        <v>6162</v>
      </c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N344" s="25"/>
      <c r="CO344" s="25"/>
      <c r="CP344" s="25"/>
      <c r="CQ344" s="25"/>
      <c r="CR344" s="25"/>
      <c r="CS344" s="26"/>
    </row>
    <row r="345" spans="1:97" s="27" customFormat="1" ht="23.25" customHeight="1">
      <c r="A345" s="4">
        <v>294</v>
      </c>
      <c r="B345" s="6" t="s">
        <v>4837</v>
      </c>
      <c r="C345" s="6" t="s">
        <v>4837</v>
      </c>
      <c r="D345" s="6" t="s">
        <v>4837</v>
      </c>
      <c r="E345" s="6"/>
      <c r="F345" s="6"/>
      <c r="G345" s="6" t="s">
        <v>6181</v>
      </c>
      <c r="H345" s="5" t="s">
        <v>4839</v>
      </c>
      <c r="I345" s="6" t="s">
        <v>86</v>
      </c>
      <c r="J345" s="7" t="s">
        <v>6182</v>
      </c>
      <c r="K345" s="7" t="s">
        <v>6183</v>
      </c>
      <c r="L345" s="8"/>
      <c r="M345" s="5">
        <v>1867</v>
      </c>
      <c r="N345" s="5">
        <v>3169376997</v>
      </c>
      <c r="O345" s="9" t="s">
        <v>6184</v>
      </c>
      <c r="P345" s="10" t="s">
        <v>6185</v>
      </c>
      <c r="Q345" s="389" t="s">
        <v>6186</v>
      </c>
      <c r="R345" s="8" t="s">
        <v>7102</v>
      </c>
      <c r="S345" s="212" t="s">
        <v>12146</v>
      </c>
      <c r="T345" s="8" t="s">
        <v>6187</v>
      </c>
      <c r="U345" s="11" t="s">
        <v>93</v>
      </c>
      <c r="V345" s="12" t="s">
        <v>6188</v>
      </c>
      <c r="W345" s="13">
        <v>42701</v>
      </c>
      <c r="X345" s="5" t="str">
        <f t="shared" ca="1" si="9"/>
        <v>9 Th, 9 Bln</v>
      </c>
      <c r="Y345" s="5"/>
      <c r="Z345" s="14"/>
      <c r="AA345" s="5" t="s">
        <v>96</v>
      </c>
      <c r="AB345" s="5" t="s">
        <v>97</v>
      </c>
      <c r="AC345" s="7" t="s">
        <v>6189</v>
      </c>
      <c r="AD345" s="131" t="s">
        <v>294</v>
      </c>
      <c r="AE345" s="131">
        <v>18</v>
      </c>
      <c r="AF345" s="7" t="s">
        <v>359</v>
      </c>
      <c r="AG345" s="7" t="s">
        <v>241</v>
      </c>
      <c r="AH345" s="7" t="s">
        <v>241</v>
      </c>
      <c r="AI345" s="7"/>
      <c r="AJ345" s="7" t="s">
        <v>103</v>
      </c>
      <c r="AK345" s="7" t="s">
        <v>386</v>
      </c>
      <c r="AL345" s="7" t="s">
        <v>6190</v>
      </c>
      <c r="AM345" s="15"/>
      <c r="AN345" s="15" t="s">
        <v>6191</v>
      </c>
      <c r="AO345" s="8">
        <v>2</v>
      </c>
      <c r="AP345" s="8">
        <v>1</v>
      </c>
      <c r="AQ345" s="8"/>
      <c r="AR345" s="8"/>
      <c r="AS345" s="132" t="s">
        <v>5519</v>
      </c>
      <c r="AT345" s="131" t="s">
        <v>1266</v>
      </c>
      <c r="AU345" s="132" t="s">
        <v>182</v>
      </c>
      <c r="AV345" s="16" t="s">
        <v>112</v>
      </c>
      <c r="AW345" s="56"/>
      <c r="AX345" s="56" t="s">
        <v>114</v>
      </c>
      <c r="AY345" s="7" t="s">
        <v>6192</v>
      </c>
      <c r="AZ345" s="10" t="s">
        <v>6193</v>
      </c>
      <c r="BA345" s="7" t="s">
        <v>6194</v>
      </c>
      <c r="BB345" s="17">
        <v>32234</v>
      </c>
      <c r="BC345" s="17" t="s">
        <v>96</v>
      </c>
      <c r="BD345" s="18" t="s">
        <v>6195</v>
      </c>
      <c r="BE345" s="7" t="s">
        <v>118</v>
      </c>
      <c r="BF345" s="7" t="s">
        <v>247</v>
      </c>
      <c r="BG345" s="7" t="s">
        <v>127</v>
      </c>
      <c r="BH345" s="7" t="s">
        <v>127</v>
      </c>
      <c r="BI345" s="19" t="s">
        <v>127</v>
      </c>
      <c r="BJ345" s="20">
        <v>10000000</v>
      </c>
      <c r="BK345" s="21" t="s">
        <v>6196</v>
      </c>
      <c r="BL345" s="7" t="s">
        <v>6197</v>
      </c>
      <c r="BM345" s="22" t="s">
        <v>6198</v>
      </c>
      <c r="BN345" s="8" t="s">
        <v>6199</v>
      </c>
      <c r="BO345" s="17">
        <v>32194</v>
      </c>
      <c r="BP345" s="17" t="s">
        <v>96</v>
      </c>
      <c r="BQ345" s="18" t="s">
        <v>6200</v>
      </c>
      <c r="BR345" s="7" t="s">
        <v>118</v>
      </c>
      <c r="BS345" s="7" t="s">
        <v>925</v>
      </c>
      <c r="BT345" s="7" t="s">
        <v>127</v>
      </c>
      <c r="BU345" s="8" t="s">
        <v>127</v>
      </c>
      <c r="BV345" s="23" t="s">
        <v>127</v>
      </c>
      <c r="BW345" s="24" t="s">
        <v>127</v>
      </c>
      <c r="BX345" s="21"/>
      <c r="BY345" s="21" t="s">
        <v>6201</v>
      </c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N345" s="25"/>
      <c r="CO345" s="25"/>
      <c r="CP345" s="25"/>
      <c r="CQ345" s="25"/>
      <c r="CR345" s="25"/>
      <c r="CS345" s="26"/>
    </row>
    <row r="346" spans="1:97" s="27" customFormat="1" ht="23.25" customHeight="1">
      <c r="A346" s="4">
        <v>241</v>
      </c>
      <c r="B346" s="6" t="s">
        <v>4837</v>
      </c>
      <c r="C346" s="6" t="s">
        <v>4837</v>
      </c>
      <c r="D346" s="6" t="s">
        <v>4837</v>
      </c>
      <c r="E346" s="6"/>
      <c r="F346" s="6"/>
      <c r="G346" s="6" t="s">
        <v>5180</v>
      </c>
      <c r="H346" s="5" t="s">
        <v>4839</v>
      </c>
      <c r="I346" s="6" t="s">
        <v>86</v>
      </c>
      <c r="J346" s="7" t="s">
        <v>5181</v>
      </c>
      <c r="K346" s="7" t="s">
        <v>5182</v>
      </c>
      <c r="L346" s="8"/>
      <c r="M346" s="5">
        <v>1878</v>
      </c>
      <c r="N346" s="5">
        <v>3165976409</v>
      </c>
      <c r="O346" s="9" t="s">
        <v>5183</v>
      </c>
      <c r="P346" s="10" t="s">
        <v>5184</v>
      </c>
      <c r="Q346" s="389" t="s">
        <v>5185</v>
      </c>
      <c r="R346" s="8" t="s">
        <v>7102</v>
      </c>
      <c r="S346" s="212" t="s">
        <v>12146</v>
      </c>
      <c r="T346" s="8" t="s">
        <v>5186</v>
      </c>
      <c r="U346" s="11" t="s">
        <v>93</v>
      </c>
      <c r="V346" s="12" t="s">
        <v>94</v>
      </c>
      <c r="W346" s="13">
        <v>42656</v>
      </c>
      <c r="X346" s="5" t="str">
        <f t="shared" ca="1" si="9"/>
        <v>9 Th, 11 Bln</v>
      </c>
      <c r="Y346" s="5"/>
      <c r="Z346" s="14"/>
      <c r="AA346" s="5" t="s">
        <v>96</v>
      </c>
      <c r="AB346" s="5" t="s">
        <v>97</v>
      </c>
      <c r="AC346" s="7" t="s">
        <v>5187</v>
      </c>
      <c r="AD346" s="131" t="s">
        <v>293</v>
      </c>
      <c r="AE346" s="131" t="s">
        <v>207</v>
      </c>
      <c r="AF346" s="7" t="s">
        <v>942</v>
      </c>
      <c r="AG346" s="7" t="s">
        <v>178</v>
      </c>
      <c r="AH346" s="7" t="s">
        <v>178</v>
      </c>
      <c r="AI346" s="7"/>
      <c r="AJ346" s="7" t="s">
        <v>103</v>
      </c>
      <c r="AK346" s="7" t="s">
        <v>179</v>
      </c>
      <c r="AL346" s="7" t="s">
        <v>4986</v>
      </c>
      <c r="AM346" s="15" t="s">
        <v>5188</v>
      </c>
      <c r="AN346" s="15" t="s">
        <v>5188</v>
      </c>
      <c r="AO346" s="8">
        <v>1</v>
      </c>
      <c r="AP346" s="8">
        <v>0</v>
      </c>
      <c r="AQ346" s="8">
        <v>0</v>
      </c>
      <c r="AR346" s="8">
        <v>0</v>
      </c>
      <c r="AS346" s="132" t="s">
        <v>5189</v>
      </c>
      <c r="AT346" s="131" t="s">
        <v>5190</v>
      </c>
      <c r="AU346" s="132" t="s">
        <v>149</v>
      </c>
      <c r="AV346" s="16" t="s">
        <v>112</v>
      </c>
      <c r="AW346" s="56" t="s">
        <v>150</v>
      </c>
      <c r="AX346" s="56" t="s">
        <v>114</v>
      </c>
      <c r="AY346" s="7" t="s">
        <v>5191</v>
      </c>
      <c r="AZ346" s="10" t="s">
        <v>5192</v>
      </c>
      <c r="BA346" s="7" t="s">
        <v>94</v>
      </c>
      <c r="BB346" s="17">
        <v>33160</v>
      </c>
      <c r="BC346" s="17" t="s">
        <v>96</v>
      </c>
      <c r="BD346" s="18" t="s">
        <v>5193</v>
      </c>
      <c r="BE346" s="7" t="s">
        <v>118</v>
      </c>
      <c r="BF346" s="7" t="s">
        <v>327</v>
      </c>
      <c r="BG346" s="7" t="s">
        <v>5194</v>
      </c>
      <c r="BH346" s="7" t="s">
        <v>5195</v>
      </c>
      <c r="BI346" s="19" t="s">
        <v>5196</v>
      </c>
      <c r="BJ346" s="20" t="s">
        <v>3327</v>
      </c>
      <c r="BK346" s="21" t="s">
        <v>5197</v>
      </c>
      <c r="BL346" s="7" t="s">
        <v>5198</v>
      </c>
      <c r="BM346" s="22" t="s">
        <v>5199</v>
      </c>
      <c r="BN346" s="8" t="s">
        <v>94</v>
      </c>
      <c r="BO346" s="17">
        <v>33056</v>
      </c>
      <c r="BP346" s="17" t="s">
        <v>96</v>
      </c>
      <c r="BQ346" s="18" t="s">
        <v>5188</v>
      </c>
      <c r="BR346" s="7" t="s">
        <v>118</v>
      </c>
      <c r="BS346" s="7" t="s">
        <v>254</v>
      </c>
      <c r="BT346" s="7" t="s">
        <v>108</v>
      </c>
      <c r="BU346" s="8" t="s">
        <v>108</v>
      </c>
      <c r="BV346" s="23" t="s">
        <v>127</v>
      </c>
      <c r="BW346" s="24" t="s">
        <v>127</v>
      </c>
      <c r="BX346" s="21" t="s">
        <v>5200</v>
      </c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N346" s="25"/>
      <c r="CO346" s="25"/>
      <c r="CP346" s="25"/>
      <c r="CQ346" s="25"/>
      <c r="CR346" s="25"/>
      <c r="CS346" s="26"/>
    </row>
    <row r="347" spans="1:97" s="27" customFormat="1" ht="23.25" customHeight="1">
      <c r="A347" s="4">
        <v>296</v>
      </c>
      <c r="B347" s="6" t="s">
        <v>4837</v>
      </c>
      <c r="C347" s="6" t="s">
        <v>4837</v>
      </c>
      <c r="D347" s="6" t="s">
        <v>4837</v>
      </c>
      <c r="E347" s="6"/>
      <c r="F347" s="6"/>
      <c r="G347" s="6" t="s">
        <v>6215</v>
      </c>
      <c r="H347" s="5" t="s">
        <v>4839</v>
      </c>
      <c r="I347" s="6" t="s">
        <v>86</v>
      </c>
      <c r="J347" s="7" t="s">
        <v>513</v>
      </c>
      <c r="K347" s="7" t="s">
        <v>4840</v>
      </c>
      <c r="L347" s="8"/>
      <c r="M347" s="5">
        <v>1879</v>
      </c>
      <c r="N347" s="5">
        <v>3170548036</v>
      </c>
      <c r="O347" s="9" t="s">
        <v>6216</v>
      </c>
      <c r="P347" s="10" t="s">
        <v>6217</v>
      </c>
      <c r="Q347" s="389" t="s">
        <v>6218</v>
      </c>
      <c r="R347" s="8" t="s">
        <v>7102</v>
      </c>
      <c r="S347" s="212" t="s">
        <v>12146</v>
      </c>
      <c r="T347" s="8" t="s">
        <v>6219</v>
      </c>
      <c r="U347" s="11" t="s">
        <v>93</v>
      </c>
      <c r="V347" s="12" t="s">
        <v>94</v>
      </c>
      <c r="W347" s="13">
        <v>42741</v>
      </c>
      <c r="X347" s="5" t="str">
        <f t="shared" ca="1" si="9"/>
        <v>9 Th, 8 Bln</v>
      </c>
      <c r="Y347" s="5"/>
      <c r="Z347" s="14"/>
      <c r="AA347" s="5" t="s">
        <v>96</v>
      </c>
      <c r="AB347" s="5" t="s">
        <v>97</v>
      </c>
      <c r="AC347" s="7" t="s">
        <v>6220</v>
      </c>
      <c r="AD347" s="131" t="s">
        <v>1862</v>
      </c>
      <c r="AE347" s="131" t="s">
        <v>175</v>
      </c>
      <c r="AF347" s="7" t="s">
        <v>567</v>
      </c>
      <c r="AG347" s="7" t="s">
        <v>547</v>
      </c>
      <c r="AH347" s="7" t="s">
        <v>178</v>
      </c>
      <c r="AI347" s="7"/>
      <c r="AJ347" s="7" t="s">
        <v>568</v>
      </c>
      <c r="AK347" s="7" t="s">
        <v>104</v>
      </c>
      <c r="AL347" s="7" t="s">
        <v>5030</v>
      </c>
      <c r="AM347" s="15" t="s">
        <v>6221</v>
      </c>
      <c r="AN347" s="15" t="s">
        <v>6222</v>
      </c>
      <c r="AO347" s="8">
        <v>2</v>
      </c>
      <c r="AP347" s="8">
        <v>1</v>
      </c>
      <c r="AQ347" s="8">
        <v>2</v>
      </c>
      <c r="AR347" s="8">
        <v>0</v>
      </c>
      <c r="AS347" s="132" t="s">
        <v>4957</v>
      </c>
      <c r="AT347" s="131" t="s">
        <v>5230</v>
      </c>
      <c r="AU347" s="132" t="s">
        <v>182</v>
      </c>
      <c r="AV347" s="16" t="s">
        <v>112</v>
      </c>
      <c r="AW347" s="56" t="s">
        <v>150</v>
      </c>
      <c r="AX347" s="56" t="s">
        <v>6223</v>
      </c>
      <c r="AY347" s="7" t="s">
        <v>6224</v>
      </c>
      <c r="AZ347" s="10" t="s">
        <v>6225</v>
      </c>
      <c r="BA347" s="7" t="s">
        <v>603</v>
      </c>
      <c r="BB347" s="17">
        <v>23509</v>
      </c>
      <c r="BC347" s="17" t="s">
        <v>96</v>
      </c>
      <c r="BD347" s="18" t="s">
        <v>6221</v>
      </c>
      <c r="BE347" s="7" t="s">
        <v>224</v>
      </c>
      <c r="BF347" s="7" t="s">
        <v>471</v>
      </c>
      <c r="BG347" s="7" t="s">
        <v>6226</v>
      </c>
      <c r="BH347" s="7" t="s">
        <v>6227</v>
      </c>
      <c r="BI347" s="19" t="s">
        <v>6228</v>
      </c>
      <c r="BJ347" s="20" t="s">
        <v>2788</v>
      </c>
      <c r="BK347" s="21" t="s">
        <v>6077</v>
      </c>
      <c r="BL347" s="7" t="s">
        <v>6229</v>
      </c>
      <c r="BM347" s="22" t="s">
        <v>6230</v>
      </c>
      <c r="BN347" s="8" t="s">
        <v>670</v>
      </c>
      <c r="BO347" s="17">
        <v>30950</v>
      </c>
      <c r="BP347" s="17" t="s">
        <v>96</v>
      </c>
      <c r="BQ347" s="18" t="s">
        <v>6222</v>
      </c>
      <c r="BR347" s="7" t="s">
        <v>118</v>
      </c>
      <c r="BS347" s="7" t="s">
        <v>254</v>
      </c>
      <c r="BT347" s="7" t="s">
        <v>6077</v>
      </c>
      <c r="BU347" s="8" t="s">
        <v>6077</v>
      </c>
      <c r="BV347" s="23" t="s">
        <v>6077</v>
      </c>
      <c r="BW347" s="24" t="s">
        <v>6077</v>
      </c>
      <c r="BX347" s="21" t="s">
        <v>6231</v>
      </c>
      <c r="BY347" s="21" t="s">
        <v>6077</v>
      </c>
      <c r="BZ347" s="21" t="s">
        <v>6077</v>
      </c>
      <c r="CA347" s="21"/>
      <c r="CB347" s="21"/>
      <c r="CC347" s="21"/>
      <c r="CD347" s="21"/>
      <c r="CE347" s="21"/>
      <c r="CF347" s="21"/>
      <c r="CG347" s="21" t="s">
        <v>6077</v>
      </c>
      <c r="CH347" s="21" t="s">
        <v>6077</v>
      </c>
      <c r="CI347" s="21" t="s">
        <v>6077</v>
      </c>
      <c r="CJ347" s="21" t="s">
        <v>6077</v>
      </c>
      <c r="CK347" s="21" t="s">
        <v>6077</v>
      </c>
      <c r="CL347" s="21" t="s">
        <v>6077</v>
      </c>
      <c r="CN347" s="25"/>
      <c r="CO347" s="25"/>
      <c r="CP347" s="25"/>
      <c r="CQ347" s="25"/>
      <c r="CR347" s="25"/>
      <c r="CS347" s="26"/>
    </row>
    <row r="348" spans="1:97" s="27" customFormat="1" ht="30.75" customHeight="1">
      <c r="A348" s="4">
        <v>327</v>
      </c>
      <c r="B348" s="6" t="s">
        <v>4837</v>
      </c>
      <c r="C348" s="6" t="s">
        <v>4837</v>
      </c>
      <c r="D348" s="6" t="s">
        <v>4837</v>
      </c>
      <c r="E348" s="6"/>
      <c r="F348" s="6"/>
      <c r="G348" s="6" t="s">
        <v>6775</v>
      </c>
      <c r="H348" s="5" t="s">
        <v>4839</v>
      </c>
      <c r="I348" s="6" t="s">
        <v>86</v>
      </c>
      <c r="J348" s="7" t="s">
        <v>561</v>
      </c>
      <c r="K348" s="7" t="s">
        <v>6776</v>
      </c>
      <c r="L348" s="8"/>
      <c r="M348" s="5">
        <v>1881</v>
      </c>
      <c r="N348" s="5">
        <v>3162251723</v>
      </c>
      <c r="O348" s="9" t="s">
        <v>6777</v>
      </c>
      <c r="P348" s="10" t="s">
        <v>6778</v>
      </c>
      <c r="Q348" s="389" t="s">
        <v>6779</v>
      </c>
      <c r="R348" s="8" t="s">
        <v>7102</v>
      </c>
      <c r="S348" s="212" t="s">
        <v>12146</v>
      </c>
      <c r="T348" s="8" t="s">
        <v>6780</v>
      </c>
      <c r="U348" s="11" t="s">
        <v>93</v>
      </c>
      <c r="V348" s="12" t="s">
        <v>94</v>
      </c>
      <c r="W348" s="13">
        <v>42497</v>
      </c>
      <c r="X348" s="5" t="str">
        <f t="shared" ca="1" si="9"/>
        <v>10 Th, 4 Bln</v>
      </c>
      <c r="Y348" s="5"/>
      <c r="Z348" s="14"/>
      <c r="AA348" s="5" t="s">
        <v>96</v>
      </c>
      <c r="AB348" s="5" t="s">
        <v>97</v>
      </c>
      <c r="AC348" s="7" t="s">
        <v>6781</v>
      </c>
      <c r="AD348" s="131" t="s">
        <v>546</v>
      </c>
      <c r="AE348" s="131" t="s">
        <v>384</v>
      </c>
      <c r="AF348" s="7" t="s">
        <v>942</v>
      </c>
      <c r="AG348" s="7" t="s">
        <v>178</v>
      </c>
      <c r="AH348" s="7" t="s">
        <v>178</v>
      </c>
      <c r="AI348" s="7"/>
      <c r="AJ348" s="7" t="s">
        <v>103</v>
      </c>
      <c r="AK348" s="7" t="s">
        <v>104</v>
      </c>
      <c r="AL348" s="7" t="s">
        <v>6782</v>
      </c>
      <c r="AM348" s="15"/>
      <c r="AN348" s="15" t="s">
        <v>6783</v>
      </c>
      <c r="AO348" s="8">
        <v>1</v>
      </c>
      <c r="AP348" s="8">
        <v>1</v>
      </c>
      <c r="AQ348" s="8" t="s">
        <v>127</v>
      </c>
      <c r="AR348" s="8" t="s">
        <v>127</v>
      </c>
      <c r="AS348" s="132" t="s">
        <v>1588</v>
      </c>
      <c r="AT348" s="131" t="s">
        <v>6276</v>
      </c>
      <c r="AU348" s="132" t="s">
        <v>182</v>
      </c>
      <c r="AV348" s="16" t="s">
        <v>112</v>
      </c>
      <c r="AW348" s="56" t="s">
        <v>113</v>
      </c>
      <c r="AX348" s="56" t="s">
        <v>114</v>
      </c>
      <c r="AY348" s="7" t="s">
        <v>6784</v>
      </c>
      <c r="AZ348" s="10" t="s">
        <v>6785</v>
      </c>
      <c r="BA348" s="7" t="s">
        <v>395</v>
      </c>
      <c r="BB348" s="17">
        <v>26461</v>
      </c>
      <c r="BC348" s="17" t="s">
        <v>96</v>
      </c>
      <c r="BD348" s="18" t="s">
        <v>6786</v>
      </c>
      <c r="BE348" s="7" t="s">
        <v>118</v>
      </c>
      <c r="BF348" s="7" t="s">
        <v>6787</v>
      </c>
      <c r="BG348" s="7" t="s">
        <v>6788</v>
      </c>
      <c r="BH348" s="7" t="s">
        <v>6789</v>
      </c>
      <c r="BI348" s="19" t="s">
        <v>127</v>
      </c>
      <c r="BJ348" s="20" t="s">
        <v>5884</v>
      </c>
      <c r="BK348" s="21" t="s">
        <v>6790</v>
      </c>
      <c r="BL348" s="7" t="s">
        <v>6791</v>
      </c>
      <c r="BM348" s="22" t="s">
        <v>6792</v>
      </c>
      <c r="BN348" s="8" t="s">
        <v>395</v>
      </c>
      <c r="BO348" s="17">
        <v>30598</v>
      </c>
      <c r="BP348" s="17" t="s">
        <v>96</v>
      </c>
      <c r="BQ348" s="18" t="s">
        <v>6783</v>
      </c>
      <c r="BR348" s="7" t="s">
        <v>153</v>
      </c>
      <c r="BS348" s="7" t="s">
        <v>503</v>
      </c>
      <c r="BT348" s="7" t="s">
        <v>6793</v>
      </c>
      <c r="BU348" s="8" t="s">
        <v>6794</v>
      </c>
      <c r="BV348" s="23" t="s">
        <v>127</v>
      </c>
      <c r="BW348" s="24" t="s">
        <v>6795</v>
      </c>
      <c r="BX348" s="21" t="s">
        <v>6796</v>
      </c>
      <c r="BY348" s="21" t="s">
        <v>6797</v>
      </c>
      <c r="BZ348" s="21" t="s">
        <v>6798</v>
      </c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N348" s="25"/>
      <c r="CO348" s="25"/>
      <c r="CP348" s="25"/>
      <c r="CQ348" s="25"/>
      <c r="CR348" s="25"/>
      <c r="CS348" s="26"/>
    </row>
    <row r="349" spans="1:97" s="87" customFormat="1" ht="23.25" customHeight="1">
      <c r="A349" s="4">
        <v>328</v>
      </c>
      <c r="B349" s="6" t="s">
        <v>4837</v>
      </c>
      <c r="C349" s="6" t="s">
        <v>4837</v>
      </c>
      <c r="D349" s="6" t="s">
        <v>4837</v>
      </c>
      <c r="E349" s="6"/>
      <c r="F349" s="6"/>
      <c r="G349" s="6" t="s">
        <v>6799</v>
      </c>
      <c r="H349" s="5" t="s">
        <v>4839</v>
      </c>
      <c r="I349" s="6" t="s">
        <v>86</v>
      </c>
      <c r="J349" s="7" t="s">
        <v>6800</v>
      </c>
      <c r="K349" s="7" t="s">
        <v>6801</v>
      </c>
      <c r="L349" s="8"/>
      <c r="M349" s="5">
        <v>1882</v>
      </c>
      <c r="N349" s="5" t="s">
        <v>6802</v>
      </c>
      <c r="O349" s="9" t="s">
        <v>6803</v>
      </c>
      <c r="P349" s="10" t="s">
        <v>6804</v>
      </c>
      <c r="Q349" s="389" t="s">
        <v>6805</v>
      </c>
      <c r="R349" s="8" t="s">
        <v>7102</v>
      </c>
      <c r="S349" s="212" t="s">
        <v>12146</v>
      </c>
      <c r="T349" s="8" t="s">
        <v>6806</v>
      </c>
      <c r="U349" s="11" t="s">
        <v>172</v>
      </c>
      <c r="V349" s="12" t="s">
        <v>94</v>
      </c>
      <c r="W349" s="13">
        <v>42605</v>
      </c>
      <c r="X349" s="5" t="str">
        <f t="shared" ca="1" si="9"/>
        <v>10 Th, 0 Bln</v>
      </c>
      <c r="Y349" s="5"/>
      <c r="Z349" s="14"/>
      <c r="AA349" s="5" t="s">
        <v>96</v>
      </c>
      <c r="AB349" s="5" t="s">
        <v>97</v>
      </c>
      <c r="AC349" s="7" t="s">
        <v>6807</v>
      </c>
      <c r="AD349" s="131" t="s">
        <v>318</v>
      </c>
      <c r="AE349" s="131">
        <v>12</v>
      </c>
      <c r="AF349" s="7" t="s">
        <v>3957</v>
      </c>
      <c r="AG349" s="7" t="s">
        <v>3503</v>
      </c>
      <c r="AH349" s="7" t="s">
        <v>178</v>
      </c>
      <c r="AI349" s="7"/>
      <c r="AJ349" s="7" t="s">
        <v>94</v>
      </c>
      <c r="AK349" s="7" t="s">
        <v>3958</v>
      </c>
      <c r="AL349" s="7" t="s">
        <v>5837</v>
      </c>
      <c r="AM349" s="15" t="s">
        <v>4687</v>
      </c>
      <c r="AN349" s="15" t="s">
        <v>4687</v>
      </c>
      <c r="AO349" s="8">
        <v>1</v>
      </c>
      <c r="AP349" s="8">
        <v>1</v>
      </c>
      <c r="AQ349" s="8" t="s">
        <v>127</v>
      </c>
      <c r="AR349" s="8" t="s">
        <v>127</v>
      </c>
      <c r="AS349" s="132" t="s">
        <v>5776</v>
      </c>
      <c r="AT349" s="131" t="s">
        <v>6808</v>
      </c>
      <c r="AU349" s="132" t="s">
        <v>149</v>
      </c>
      <c r="AV349" s="16" t="s">
        <v>112</v>
      </c>
      <c r="AW349" s="56" t="s">
        <v>344</v>
      </c>
      <c r="AX349" s="56" t="s">
        <v>183</v>
      </c>
      <c r="AY349" s="7" t="s">
        <v>6809</v>
      </c>
      <c r="AZ349" s="10" t="s">
        <v>4690</v>
      </c>
      <c r="BA349" s="7" t="s">
        <v>653</v>
      </c>
      <c r="BB349" s="17">
        <v>32197</v>
      </c>
      <c r="BC349" s="17" t="s">
        <v>96</v>
      </c>
      <c r="BD349" s="18" t="s">
        <v>4688</v>
      </c>
      <c r="BE349" s="7" t="s">
        <v>118</v>
      </c>
      <c r="BF349" s="7" t="s">
        <v>6810</v>
      </c>
      <c r="BG349" s="7" t="s">
        <v>6811</v>
      </c>
      <c r="BH349" s="7" t="s">
        <v>6811</v>
      </c>
      <c r="BI349" s="19" t="s">
        <v>127</v>
      </c>
      <c r="BJ349" s="20" t="s">
        <v>607</v>
      </c>
      <c r="BK349" s="21" t="s">
        <v>6812</v>
      </c>
      <c r="BL349" s="7" t="s">
        <v>6813</v>
      </c>
      <c r="BM349" s="22">
        <v>3273026112900010</v>
      </c>
      <c r="BN349" s="8" t="s">
        <v>4697</v>
      </c>
      <c r="BO349" s="17">
        <v>33228</v>
      </c>
      <c r="BP349" s="17" t="s">
        <v>96</v>
      </c>
      <c r="BQ349" s="18" t="s">
        <v>4687</v>
      </c>
      <c r="BR349" s="7" t="s">
        <v>118</v>
      </c>
      <c r="BS349" s="7" t="s">
        <v>126</v>
      </c>
      <c r="BT349" s="7" t="s">
        <v>127</v>
      </c>
      <c r="BU349" s="8" t="s">
        <v>127</v>
      </c>
      <c r="BV349" s="23" t="s">
        <v>127</v>
      </c>
      <c r="BW349" s="24" t="s">
        <v>127</v>
      </c>
      <c r="BX349" s="21" t="s">
        <v>4701</v>
      </c>
      <c r="BY349" s="21" t="s">
        <v>6814</v>
      </c>
      <c r="BZ349" s="21" t="s">
        <v>6815</v>
      </c>
      <c r="CA349" s="21">
        <v>23091</v>
      </c>
      <c r="CB349" s="21"/>
      <c r="CC349" s="21" t="s">
        <v>6816</v>
      </c>
      <c r="CD349" s="21" t="s">
        <v>216</v>
      </c>
      <c r="CE349" s="21" t="s">
        <v>5653</v>
      </c>
      <c r="CF349" s="21" t="s">
        <v>96</v>
      </c>
      <c r="CG349" s="21" t="s">
        <v>6817</v>
      </c>
      <c r="CH349" s="21" t="s">
        <v>827</v>
      </c>
      <c r="CI349" s="21" t="s">
        <v>265</v>
      </c>
      <c r="CJ349" s="21" t="s">
        <v>6818</v>
      </c>
      <c r="CK349" s="21" t="s">
        <v>6819</v>
      </c>
      <c r="CL349" s="21" t="s">
        <v>6815</v>
      </c>
      <c r="CN349" s="85"/>
      <c r="CO349" s="85"/>
      <c r="CP349" s="85"/>
      <c r="CQ349" s="85"/>
      <c r="CR349" s="85"/>
      <c r="CS349" s="86"/>
    </row>
    <row r="350" spans="1:97" s="27" customFormat="1" ht="23.25" customHeight="1">
      <c r="A350" s="4">
        <v>268</v>
      </c>
      <c r="B350" s="6" t="s">
        <v>4837</v>
      </c>
      <c r="C350" s="6" t="s">
        <v>4837</v>
      </c>
      <c r="D350" s="6" t="s">
        <v>4837</v>
      </c>
      <c r="E350" s="6"/>
      <c r="F350" s="6"/>
      <c r="G350" s="6" t="s">
        <v>5716</v>
      </c>
      <c r="H350" s="5" t="s">
        <v>4839</v>
      </c>
      <c r="I350" s="6" t="s">
        <v>86</v>
      </c>
      <c r="J350" s="7" t="s">
        <v>287</v>
      </c>
      <c r="K350" s="7" t="s">
        <v>5717</v>
      </c>
      <c r="L350" s="8"/>
      <c r="M350" s="5">
        <v>1887</v>
      </c>
      <c r="N350" s="5">
        <v>3173540759</v>
      </c>
      <c r="O350" s="9" t="s">
        <v>5718</v>
      </c>
      <c r="P350" s="10" t="s">
        <v>5719</v>
      </c>
      <c r="Q350" s="389" t="s">
        <v>5720</v>
      </c>
      <c r="R350" s="8" t="s">
        <v>7102</v>
      </c>
      <c r="S350" s="212" t="s">
        <v>12146</v>
      </c>
      <c r="T350" s="8" t="s">
        <v>5721</v>
      </c>
      <c r="U350" s="11" t="s">
        <v>172</v>
      </c>
      <c r="V350" s="12" t="s">
        <v>94</v>
      </c>
      <c r="W350" s="13">
        <v>42856</v>
      </c>
      <c r="X350" s="5" t="str">
        <f t="shared" ca="1" si="9"/>
        <v>9 Th, 4 Bln</v>
      </c>
      <c r="Y350" s="5"/>
      <c r="Z350" s="14"/>
      <c r="AA350" s="5" t="s">
        <v>96</v>
      </c>
      <c r="AB350" s="5" t="s">
        <v>97</v>
      </c>
      <c r="AC350" s="7" t="s">
        <v>5722</v>
      </c>
      <c r="AD350" s="131" t="s">
        <v>293</v>
      </c>
      <c r="AE350" s="131" t="s">
        <v>293</v>
      </c>
      <c r="AF350" s="7" t="s">
        <v>1483</v>
      </c>
      <c r="AG350" s="7" t="s">
        <v>687</v>
      </c>
      <c r="AH350" s="7" t="s">
        <v>141</v>
      </c>
      <c r="AI350" s="7"/>
      <c r="AJ350" s="7" t="s">
        <v>1374</v>
      </c>
      <c r="AK350" s="7" t="s">
        <v>179</v>
      </c>
      <c r="AL350" s="7" t="s">
        <v>5723</v>
      </c>
      <c r="AM350" s="15" t="s">
        <v>5724</v>
      </c>
      <c r="AN350" s="15" t="s">
        <v>5725</v>
      </c>
      <c r="AO350" s="8">
        <v>1</v>
      </c>
      <c r="AP350" s="8">
        <v>1</v>
      </c>
      <c r="AQ350" s="8">
        <v>0</v>
      </c>
      <c r="AR350" s="8">
        <v>0</v>
      </c>
      <c r="AS350" s="132" t="s">
        <v>2383</v>
      </c>
      <c r="AT350" s="131" t="s">
        <v>4958</v>
      </c>
      <c r="AU350" s="132" t="s">
        <v>182</v>
      </c>
      <c r="AV350" s="16" t="s">
        <v>112</v>
      </c>
      <c r="AW350" s="56" t="s">
        <v>113</v>
      </c>
      <c r="AX350" s="56" t="s">
        <v>114</v>
      </c>
      <c r="AY350" s="7" t="s">
        <v>5726</v>
      </c>
      <c r="AZ350" s="10" t="s">
        <v>5727</v>
      </c>
      <c r="BA350" s="7" t="s">
        <v>2004</v>
      </c>
      <c r="BB350" s="17">
        <v>32728</v>
      </c>
      <c r="BC350" s="17" t="s">
        <v>96</v>
      </c>
      <c r="BD350" s="18" t="s">
        <v>5724</v>
      </c>
      <c r="BE350" s="7" t="s">
        <v>153</v>
      </c>
      <c r="BF350" s="7" t="s">
        <v>154</v>
      </c>
      <c r="BG350" s="7" t="s">
        <v>761</v>
      </c>
      <c r="BH350" s="7" t="s">
        <v>5728</v>
      </c>
      <c r="BI350" s="19"/>
      <c r="BJ350" s="20">
        <v>5000000</v>
      </c>
      <c r="BK350" s="21" t="s">
        <v>5729</v>
      </c>
      <c r="BL350" s="7" t="s">
        <v>5730</v>
      </c>
      <c r="BM350" s="22" t="s">
        <v>5731</v>
      </c>
      <c r="BN350" s="8" t="s">
        <v>469</v>
      </c>
      <c r="BO350" s="17">
        <v>33150</v>
      </c>
      <c r="BP350" s="17" t="s">
        <v>96</v>
      </c>
      <c r="BQ350" s="18" t="s">
        <v>5725</v>
      </c>
      <c r="BR350" s="7" t="s">
        <v>118</v>
      </c>
      <c r="BS350" s="7" t="s">
        <v>254</v>
      </c>
      <c r="BT350" s="7" t="s">
        <v>127</v>
      </c>
      <c r="BU350" s="8" t="s">
        <v>127</v>
      </c>
      <c r="BV350" s="23" t="s">
        <v>127</v>
      </c>
      <c r="BW350" s="24" t="s">
        <v>127</v>
      </c>
      <c r="BX350" s="21" t="s">
        <v>5732</v>
      </c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N350" s="25"/>
      <c r="CO350" s="25"/>
      <c r="CP350" s="25"/>
      <c r="CQ350" s="25"/>
      <c r="CR350" s="25"/>
      <c r="CS350" s="26"/>
    </row>
    <row r="351" spans="1:97" s="27" customFormat="1" ht="23.25" customHeight="1">
      <c r="A351" s="4">
        <v>333</v>
      </c>
      <c r="B351" s="6" t="s">
        <v>4837</v>
      </c>
      <c r="C351" s="6" t="s">
        <v>4837</v>
      </c>
      <c r="D351" s="6" t="s">
        <v>4837</v>
      </c>
      <c r="E351" s="6"/>
      <c r="F351" s="6"/>
      <c r="G351" s="6" t="s">
        <v>6881</v>
      </c>
      <c r="H351" s="5" t="s">
        <v>4839</v>
      </c>
      <c r="I351" s="6" t="s">
        <v>86</v>
      </c>
      <c r="J351" s="7" t="s">
        <v>6882</v>
      </c>
      <c r="K351" s="7" t="s">
        <v>6883</v>
      </c>
      <c r="L351" s="8"/>
      <c r="M351" s="5">
        <v>1899</v>
      </c>
      <c r="N351" s="5">
        <v>3164332229</v>
      </c>
      <c r="O351" s="9" t="s">
        <v>6884</v>
      </c>
      <c r="P351" s="10" t="s">
        <v>6885</v>
      </c>
      <c r="Q351" s="389" t="s">
        <v>6886</v>
      </c>
      <c r="R351" s="8" t="s">
        <v>7102</v>
      </c>
      <c r="S351" s="212" t="s">
        <v>12146</v>
      </c>
      <c r="T351" s="8" t="s">
        <v>6887</v>
      </c>
      <c r="U351" s="11" t="s">
        <v>93</v>
      </c>
      <c r="V351" s="12" t="s">
        <v>94</v>
      </c>
      <c r="W351" s="13">
        <v>42644</v>
      </c>
      <c r="X351" s="5" t="str">
        <f t="shared" ca="1" si="9"/>
        <v>9 Th, 11 Bln</v>
      </c>
      <c r="Y351" s="5"/>
      <c r="Z351" s="14"/>
      <c r="AA351" s="5" t="s">
        <v>96</v>
      </c>
      <c r="AB351" s="5" t="s">
        <v>97</v>
      </c>
      <c r="AC351" s="7" t="s">
        <v>6888</v>
      </c>
      <c r="AD351" s="131">
        <v>19</v>
      </c>
      <c r="AE351" s="131">
        <v>2</v>
      </c>
      <c r="AF351" s="7" t="s">
        <v>6889</v>
      </c>
      <c r="AG351" s="7" t="s">
        <v>994</v>
      </c>
      <c r="AH351" s="7" t="s">
        <v>141</v>
      </c>
      <c r="AI351" s="7"/>
      <c r="AJ351" s="7" t="s">
        <v>263</v>
      </c>
      <c r="AK351" s="7" t="s">
        <v>104</v>
      </c>
      <c r="AL351" s="7" t="s">
        <v>6890</v>
      </c>
      <c r="AM351" s="15" t="s">
        <v>6891</v>
      </c>
      <c r="AN351" s="15" t="s">
        <v>6891</v>
      </c>
      <c r="AO351" s="8">
        <v>2</v>
      </c>
      <c r="AP351" s="8">
        <v>1</v>
      </c>
      <c r="AQ351" s="8" t="s">
        <v>127</v>
      </c>
      <c r="AR351" s="8" t="s">
        <v>127</v>
      </c>
      <c r="AS351" s="132" t="s">
        <v>1510</v>
      </c>
      <c r="AT351" s="131" t="s">
        <v>272</v>
      </c>
      <c r="AU351" s="132" t="s">
        <v>149</v>
      </c>
      <c r="AV351" s="16" t="s">
        <v>112</v>
      </c>
      <c r="AW351" s="56" t="s">
        <v>150</v>
      </c>
      <c r="AX351" s="56" t="s">
        <v>114</v>
      </c>
      <c r="AY351" s="7" t="s">
        <v>6892</v>
      </c>
      <c r="AZ351" s="10" t="s">
        <v>6893</v>
      </c>
      <c r="BA351" s="7" t="s">
        <v>2004</v>
      </c>
      <c r="BB351" s="17">
        <v>31203</v>
      </c>
      <c r="BC351" s="17" t="s">
        <v>96</v>
      </c>
      <c r="BD351" s="18" t="s">
        <v>6894</v>
      </c>
      <c r="BE351" s="7" t="s">
        <v>118</v>
      </c>
      <c r="BF351" s="7" t="s">
        <v>327</v>
      </c>
      <c r="BG351" s="7" t="s">
        <v>6895</v>
      </c>
      <c r="BH351" s="7" t="s">
        <v>6896</v>
      </c>
      <c r="BI351" s="19" t="s">
        <v>6894</v>
      </c>
      <c r="BJ351" s="20" t="s">
        <v>122</v>
      </c>
      <c r="BK351" s="21" t="s">
        <v>6897</v>
      </c>
      <c r="BL351" s="7" t="s">
        <v>6898</v>
      </c>
      <c r="BM351" s="22" t="s">
        <v>6899</v>
      </c>
      <c r="BN351" s="8" t="s">
        <v>469</v>
      </c>
      <c r="BO351" s="17">
        <v>32025</v>
      </c>
      <c r="BP351" s="17" t="s">
        <v>96</v>
      </c>
      <c r="BQ351" s="18" t="s">
        <v>6891</v>
      </c>
      <c r="BR351" s="7" t="s">
        <v>118</v>
      </c>
      <c r="BS351" s="7" t="s">
        <v>254</v>
      </c>
      <c r="BT351" s="7" t="s">
        <v>127</v>
      </c>
      <c r="BU351" s="8" t="s">
        <v>127</v>
      </c>
      <c r="BV351" s="23" t="s">
        <v>127</v>
      </c>
      <c r="BW351" s="24" t="s">
        <v>127</v>
      </c>
      <c r="BX351" s="21" t="s">
        <v>6900</v>
      </c>
      <c r="BY351" s="21" t="s">
        <v>127</v>
      </c>
      <c r="BZ351" s="21" t="s">
        <v>127</v>
      </c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N351" s="25"/>
      <c r="CO351" s="25"/>
      <c r="CP351" s="25"/>
      <c r="CQ351" s="25"/>
      <c r="CR351" s="25"/>
      <c r="CS351" s="26"/>
    </row>
    <row r="352" spans="1:97" s="27" customFormat="1" ht="23.25" customHeight="1">
      <c r="A352" s="4">
        <v>302</v>
      </c>
      <c r="B352" s="6"/>
      <c r="C352" s="6"/>
      <c r="D352" s="6"/>
      <c r="E352" s="6"/>
      <c r="F352" s="6"/>
      <c r="G352" s="6"/>
      <c r="H352" s="147" t="s">
        <v>4839</v>
      </c>
      <c r="I352" s="6" t="s">
        <v>86</v>
      </c>
      <c r="J352" s="7" t="s">
        <v>1063</v>
      </c>
      <c r="K352" s="7" t="s">
        <v>6344</v>
      </c>
      <c r="L352" s="8"/>
      <c r="M352" s="5">
        <v>1957</v>
      </c>
      <c r="N352" s="5" t="s">
        <v>6345</v>
      </c>
      <c r="O352" s="9" t="s">
        <v>1065</v>
      </c>
      <c r="P352" s="10" t="s">
        <v>6346</v>
      </c>
      <c r="Q352" s="389" t="s">
        <v>6347</v>
      </c>
      <c r="R352" s="8" t="s">
        <v>7102</v>
      </c>
      <c r="S352" s="212" t="s">
        <v>12146</v>
      </c>
      <c r="T352" s="8" t="s">
        <v>6348</v>
      </c>
      <c r="U352" s="11" t="s">
        <v>172</v>
      </c>
      <c r="V352" s="12" t="s">
        <v>263</v>
      </c>
      <c r="W352" s="13">
        <v>42647</v>
      </c>
      <c r="X352" s="5" t="str">
        <f t="shared" ca="1" si="9"/>
        <v>9 Th, 11 Bln</v>
      </c>
      <c r="Y352" s="5"/>
      <c r="Z352" s="14"/>
      <c r="AA352" s="5" t="s">
        <v>96</v>
      </c>
      <c r="AB352" s="5" t="s">
        <v>97</v>
      </c>
      <c r="AC352" s="7" t="s">
        <v>6349</v>
      </c>
      <c r="AD352" s="131">
        <v>17</v>
      </c>
      <c r="AE352" s="131">
        <v>4</v>
      </c>
      <c r="AF352" s="7" t="s">
        <v>1070</v>
      </c>
      <c r="AG352" s="7" t="s">
        <v>994</v>
      </c>
      <c r="AH352" s="7" t="s">
        <v>141</v>
      </c>
      <c r="AI352" s="7"/>
      <c r="AJ352" s="7" t="s">
        <v>103</v>
      </c>
      <c r="AK352" s="7"/>
      <c r="AL352" s="7"/>
      <c r="AM352" s="15" t="s">
        <v>6350</v>
      </c>
      <c r="AN352" s="15" t="s">
        <v>1072</v>
      </c>
      <c r="AO352" s="8">
        <v>1</v>
      </c>
      <c r="AP352" s="8"/>
      <c r="AQ352" s="8"/>
      <c r="AR352" s="8"/>
      <c r="AS352" s="132"/>
      <c r="AT352" s="131"/>
      <c r="AU352" s="132"/>
      <c r="AV352" s="16"/>
      <c r="AW352" s="56"/>
      <c r="AX352" s="56"/>
      <c r="AY352" s="7" t="s">
        <v>1073</v>
      </c>
      <c r="AZ352" s="10" t="s">
        <v>1074</v>
      </c>
      <c r="BA352" s="7" t="s">
        <v>94</v>
      </c>
      <c r="BB352" s="17">
        <v>31865</v>
      </c>
      <c r="BC352" s="17"/>
      <c r="BD352" s="18" t="s">
        <v>1072</v>
      </c>
      <c r="BE352" s="7" t="s">
        <v>2193</v>
      </c>
      <c r="BF352" s="7" t="s">
        <v>6351</v>
      </c>
      <c r="BG352" s="7" t="s">
        <v>6352</v>
      </c>
      <c r="BH352" s="7" t="s">
        <v>6353</v>
      </c>
      <c r="BI352" s="19" t="s">
        <v>6354</v>
      </c>
      <c r="BJ352" s="20">
        <v>5000000</v>
      </c>
      <c r="BK352" s="21" t="s">
        <v>1079</v>
      </c>
      <c r="BL352" s="7" t="s">
        <v>1080</v>
      </c>
      <c r="BM352" s="22" t="s">
        <v>1081</v>
      </c>
      <c r="BN352" s="8" t="s">
        <v>94</v>
      </c>
      <c r="BO352" s="17">
        <v>32066</v>
      </c>
      <c r="BP352" s="17"/>
      <c r="BQ352" s="18" t="s">
        <v>1072</v>
      </c>
      <c r="BR352" s="7" t="s">
        <v>118</v>
      </c>
      <c r="BS352" s="7" t="s">
        <v>6355</v>
      </c>
      <c r="BT352" s="7" t="s">
        <v>1082</v>
      </c>
      <c r="BU352" s="8" t="s">
        <v>6356</v>
      </c>
      <c r="BV352" s="23"/>
      <c r="BW352" s="24">
        <v>4000000</v>
      </c>
      <c r="BX352" s="21" t="s">
        <v>1085</v>
      </c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N352" s="25"/>
      <c r="CO352" s="25"/>
      <c r="CP352" s="25"/>
      <c r="CQ352" s="25"/>
      <c r="CR352" s="25"/>
      <c r="CS352" s="26"/>
    </row>
    <row r="353" spans="1:97" s="27" customFormat="1" ht="23.25" customHeight="1">
      <c r="A353" s="4">
        <v>339</v>
      </c>
      <c r="B353" s="6" t="s">
        <v>4837</v>
      </c>
      <c r="C353" s="6" t="s">
        <v>4837</v>
      </c>
      <c r="D353" s="6" t="s">
        <v>4837</v>
      </c>
      <c r="E353" s="6"/>
      <c r="F353" s="6"/>
      <c r="G353" s="6" t="s">
        <v>6982</v>
      </c>
      <c r="H353" s="5" t="s">
        <v>4839</v>
      </c>
      <c r="I353" s="6" t="s">
        <v>86</v>
      </c>
      <c r="J353" s="7" t="s">
        <v>166</v>
      </c>
      <c r="K353" s="7" t="s">
        <v>1993</v>
      </c>
      <c r="L353" s="8"/>
      <c r="M353" s="5">
        <v>1904</v>
      </c>
      <c r="N353" s="5">
        <v>3162007082</v>
      </c>
      <c r="O353" s="9" t="s">
        <v>6983</v>
      </c>
      <c r="P353" s="10" t="s">
        <v>6984</v>
      </c>
      <c r="Q353" s="389" t="s">
        <v>6985</v>
      </c>
      <c r="R353" s="8" t="s">
        <v>7102</v>
      </c>
      <c r="S353" s="212" t="s">
        <v>12146</v>
      </c>
      <c r="T353" s="8" t="s">
        <v>4376</v>
      </c>
      <c r="U353" s="11" t="s">
        <v>172</v>
      </c>
      <c r="V353" s="12" t="s">
        <v>94</v>
      </c>
      <c r="W353" s="13">
        <v>42551</v>
      </c>
      <c r="X353" s="5" t="str">
        <f t="shared" ca="1" si="9"/>
        <v>10 Th, 2 Bln</v>
      </c>
      <c r="Y353" s="5"/>
      <c r="Z353" s="14"/>
      <c r="AA353" s="5" t="s">
        <v>96</v>
      </c>
      <c r="AB353" s="5" t="s">
        <v>97</v>
      </c>
      <c r="AC353" s="7" t="s">
        <v>6986</v>
      </c>
      <c r="AD353" s="131">
        <v>1</v>
      </c>
      <c r="AE353" s="131">
        <v>1</v>
      </c>
      <c r="AF353" s="7" t="s">
        <v>319</v>
      </c>
      <c r="AG353" s="7" t="s">
        <v>140</v>
      </c>
      <c r="AH353" s="7" t="s">
        <v>141</v>
      </c>
      <c r="AI353" s="7"/>
      <c r="AJ353" s="7" t="s">
        <v>1374</v>
      </c>
      <c r="AK353" s="7" t="s">
        <v>104</v>
      </c>
      <c r="AL353" s="7" t="s">
        <v>4915</v>
      </c>
      <c r="AM353" s="15" t="s">
        <v>6987</v>
      </c>
      <c r="AN353" s="15" t="s">
        <v>6987</v>
      </c>
      <c r="AO353" s="8">
        <v>1</v>
      </c>
      <c r="AP353" s="8">
        <v>0</v>
      </c>
      <c r="AQ353" s="8">
        <v>0</v>
      </c>
      <c r="AR353" s="8">
        <v>0</v>
      </c>
      <c r="AS353" s="132" t="s">
        <v>2459</v>
      </c>
      <c r="AT353" s="131" t="s">
        <v>2459</v>
      </c>
      <c r="AU353" s="132" t="s">
        <v>149</v>
      </c>
      <c r="AV353" s="16" t="s">
        <v>112</v>
      </c>
      <c r="AW353" s="56"/>
      <c r="AX353" s="56" t="s">
        <v>6988</v>
      </c>
      <c r="AY353" s="7" t="s">
        <v>6989</v>
      </c>
      <c r="AZ353" s="10" t="s">
        <v>6990</v>
      </c>
      <c r="BA353" s="7" t="s">
        <v>94</v>
      </c>
      <c r="BB353" s="17">
        <v>33736</v>
      </c>
      <c r="BC353" s="17" t="s">
        <v>96</v>
      </c>
      <c r="BD353" s="18" t="s">
        <v>6987</v>
      </c>
      <c r="BE353" s="7" t="s">
        <v>3623</v>
      </c>
      <c r="BF353" s="7" t="s">
        <v>247</v>
      </c>
      <c r="BG353" s="7" t="s">
        <v>6991</v>
      </c>
      <c r="BH353" s="7" t="s">
        <v>6986</v>
      </c>
      <c r="BI353" s="19"/>
      <c r="BJ353" s="20"/>
      <c r="BK353" s="21" t="s">
        <v>6992</v>
      </c>
      <c r="BL353" s="7" t="s">
        <v>6993</v>
      </c>
      <c r="BM353" s="22" t="s">
        <v>6994</v>
      </c>
      <c r="BN353" s="8" t="s">
        <v>94</v>
      </c>
      <c r="BO353" s="17">
        <v>34094</v>
      </c>
      <c r="BP353" s="17" t="s">
        <v>96</v>
      </c>
      <c r="BQ353" s="18" t="s">
        <v>6987</v>
      </c>
      <c r="BR353" s="7" t="s">
        <v>216</v>
      </c>
      <c r="BS353" s="7" t="s">
        <v>327</v>
      </c>
      <c r="BT353" s="7" t="s">
        <v>328</v>
      </c>
      <c r="BU353" s="8" t="s">
        <v>6995</v>
      </c>
      <c r="BV353" s="23" t="s">
        <v>506</v>
      </c>
      <c r="BW353" s="24"/>
      <c r="BX353" s="21" t="s">
        <v>6992</v>
      </c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N353" s="25"/>
      <c r="CO353" s="25"/>
      <c r="CP353" s="25"/>
      <c r="CQ353" s="25"/>
      <c r="CR353" s="25"/>
      <c r="CS353" s="26"/>
    </row>
    <row r="354" spans="1:97" s="27" customFormat="1" ht="23.25" customHeight="1">
      <c r="A354" s="4">
        <v>276</v>
      </c>
      <c r="B354" s="6" t="s">
        <v>4837</v>
      </c>
      <c r="C354" s="6" t="s">
        <v>4837</v>
      </c>
      <c r="D354" s="6" t="s">
        <v>4837</v>
      </c>
      <c r="E354" s="6"/>
      <c r="F354" s="6"/>
      <c r="G354" s="6" t="s">
        <v>5847</v>
      </c>
      <c r="H354" s="5" t="s">
        <v>4839</v>
      </c>
      <c r="I354" s="6" t="s">
        <v>86</v>
      </c>
      <c r="J354" s="7" t="s">
        <v>166</v>
      </c>
      <c r="K354" s="7" t="s">
        <v>1993</v>
      </c>
      <c r="L354" s="8"/>
      <c r="M354" s="5">
        <v>1909</v>
      </c>
      <c r="N354" s="5" t="s">
        <v>5848</v>
      </c>
      <c r="O354" s="9" t="s">
        <v>5849</v>
      </c>
      <c r="P354" s="10" t="s">
        <v>5850</v>
      </c>
      <c r="Q354" s="389" t="s">
        <v>5851</v>
      </c>
      <c r="R354" s="8" t="s">
        <v>7102</v>
      </c>
      <c r="S354" s="212" t="s">
        <v>12146</v>
      </c>
      <c r="T354" s="8" t="s">
        <v>5852</v>
      </c>
      <c r="U354" s="11" t="s">
        <v>172</v>
      </c>
      <c r="V354" s="12" t="s">
        <v>94</v>
      </c>
      <c r="W354" s="13">
        <v>42866</v>
      </c>
      <c r="X354" s="5" t="str">
        <f t="shared" ca="1" si="9"/>
        <v>9 Th, 4 Bln</v>
      </c>
      <c r="Y354" s="5"/>
      <c r="Z354" s="14"/>
      <c r="AA354" s="5" t="s">
        <v>96</v>
      </c>
      <c r="AB354" s="5" t="s">
        <v>97</v>
      </c>
      <c r="AC354" s="7" t="s">
        <v>5853</v>
      </c>
      <c r="AD354" s="131" t="s">
        <v>100</v>
      </c>
      <c r="AE354" s="131">
        <v>13</v>
      </c>
      <c r="AF354" s="7" t="s">
        <v>240</v>
      </c>
      <c r="AG354" s="7" t="s">
        <v>241</v>
      </c>
      <c r="AH354" s="7" t="s">
        <v>241</v>
      </c>
      <c r="AI354" s="7"/>
      <c r="AJ354" s="7" t="s">
        <v>568</v>
      </c>
      <c r="AK354" s="7" t="s">
        <v>179</v>
      </c>
      <c r="AL354" s="7" t="s">
        <v>5118</v>
      </c>
      <c r="AM354" s="15" t="s">
        <v>5854</v>
      </c>
      <c r="AN354" s="15" t="s">
        <v>5855</v>
      </c>
      <c r="AO354" s="8">
        <v>4</v>
      </c>
      <c r="AP354" s="8">
        <v>4</v>
      </c>
      <c r="AQ354" s="8"/>
      <c r="AR354" s="8"/>
      <c r="AS354" s="132" t="s">
        <v>5856</v>
      </c>
      <c r="AT354" s="131" t="s">
        <v>2045</v>
      </c>
      <c r="AU354" s="132" t="s">
        <v>182</v>
      </c>
      <c r="AV354" s="16" t="s">
        <v>212</v>
      </c>
      <c r="AW354" s="56" t="s">
        <v>392</v>
      </c>
      <c r="AX354" s="56" t="s">
        <v>323</v>
      </c>
      <c r="AY354" s="7" t="s">
        <v>5857</v>
      </c>
      <c r="AZ354" s="10" t="s">
        <v>5858</v>
      </c>
      <c r="BA354" s="7" t="s">
        <v>94</v>
      </c>
      <c r="BB354" s="17">
        <v>30255</v>
      </c>
      <c r="BC354" s="17" t="s">
        <v>96</v>
      </c>
      <c r="BD354" s="18" t="s">
        <v>5855</v>
      </c>
      <c r="BE354" s="7" t="s">
        <v>118</v>
      </c>
      <c r="BF354" s="7" t="s">
        <v>5859</v>
      </c>
      <c r="BG354" s="7" t="s">
        <v>5860</v>
      </c>
      <c r="BH354" s="7" t="s">
        <v>5861</v>
      </c>
      <c r="BI354" s="19" t="s">
        <v>5854</v>
      </c>
      <c r="BJ354" s="20" t="s">
        <v>5862</v>
      </c>
      <c r="BK354" s="21" t="s">
        <v>5863</v>
      </c>
      <c r="BL354" s="7" t="s">
        <v>5864</v>
      </c>
      <c r="BM354" s="22" t="s">
        <v>5865</v>
      </c>
      <c r="BN354" s="8" t="s">
        <v>94</v>
      </c>
      <c r="BO354" s="17">
        <v>31800</v>
      </c>
      <c r="BP354" s="17" t="s">
        <v>96</v>
      </c>
      <c r="BQ354" s="18" t="s">
        <v>5854</v>
      </c>
      <c r="BR354" s="7" t="s">
        <v>118</v>
      </c>
      <c r="BS354" s="7" t="s">
        <v>5859</v>
      </c>
      <c r="BT354" s="7" t="s">
        <v>5860</v>
      </c>
      <c r="BU354" s="8" t="s">
        <v>5861</v>
      </c>
      <c r="BV354" s="23"/>
      <c r="BW354" s="24" t="s">
        <v>5866</v>
      </c>
      <c r="BX354" s="21" t="s">
        <v>5867</v>
      </c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N354" s="25"/>
      <c r="CO354" s="25"/>
      <c r="CP354" s="25"/>
      <c r="CQ354" s="25"/>
      <c r="CR354" s="25"/>
      <c r="CS354" s="26"/>
    </row>
    <row r="355" spans="1:97" s="27" customFormat="1" ht="23.25" customHeight="1">
      <c r="A355" s="4">
        <v>277</v>
      </c>
      <c r="B355" s="6" t="s">
        <v>4837</v>
      </c>
      <c r="C355" s="6" t="s">
        <v>4837</v>
      </c>
      <c r="D355" s="6" t="s">
        <v>4837</v>
      </c>
      <c r="E355" s="6"/>
      <c r="F355" s="6"/>
      <c r="G355" s="6" t="s">
        <v>5868</v>
      </c>
      <c r="H355" s="5" t="s">
        <v>4839</v>
      </c>
      <c r="I355" s="6" t="s">
        <v>86</v>
      </c>
      <c r="J355" s="7" t="s">
        <v>5869</v>
      </c>
      <c r="K355" s="7" t="s">
        <v>5870</v>
      </c>
      <c r="L355" s="8"/>
      <c r="M355" s="5">
        <v>1910</v>
      </c>
      <c r="N355" s="5" t="s">
        <v>5871</v>
      </c>
      <c r="O355" s="9" t="s">
        <v>5872</v>
      </c>
      <c r="P355" s="10" t="s">
        <v>5873</v>
      </c>
      <c r="Q355" s="389" t="s">
        <v>5874</v>
      </c>
      <c r="R355" s="8" t="s">
        <v>7102</v>
      </c>
      <c r="S355" s="212" t="s">
        <v>12146</v>
      </c>
      <c r="T355" s="8" t="s">
        <v>2306</v>
      </c>
      <c r="U355" s="11" t="s">
        <v>172</v>
      </c>
      <c r="V355" s="12" t="s">
        <v>94</v>
      </c>
      <c r="W355" s="13">
        <v>42522</v>
      </c>
      <c r="X355" s="5" t="str">
        <f t="shared" ca="1" si="9"/>
        <v>10 Th, 3 Bln</v>
      </c>
      <c r="Y355" s="5"/>
      <c r="Z355" s="14"/>
      <c r="AA355" s="5" t="s">
        <v>96</v>
      </c>
      <c r="AB355" s="5" t="s">
        <v>97</v>
      </c>
      <c r="AC355" s="7" t="s">
        <v>5875</v>
      </c>
      <c r="AD355" s="131" t="s">
        <v>966</v>
      </c>
      <c r="AE355" s="131" t="s">
        <v>4392</v>
      </c>
      <c r="AF355" s="7" t="s">
        <v>1244</v>
      </c>
      <c r="AG355" s="7" t="s">
        <v>102</v>
      </c>
      <c r="AH355" s="7" t="s">
        <v>102</v>
      </c>
      <c r="AI355" s="7"/>
      <c r="AJ355" s="7" t="s">
        <v>103</v>
      </c>
      <c r="AK355" s="7" t="s">
        <v>179</v>
      </c>
      <c r="AL355" s="7" t="s">
        <v>5876</v>
      </c>
      <c r="AM355" s="15" t="s">
        <v>5877</v>
      </c>
      <c r="AN355" s="15" t="s">
        <v>5877</v>
      </c>
      <c r="AO355" s="8">
        <v>2</v>
      </c>
      <c r="AP355" s="8">
        <v>2</v>
      </c>
      <c r="AQ355" s="8">
        <v>0</v>
      </c>
      <c r="AR355" s="8">
        <v>0</v>
      </c>
      <c r="AS355" s="132" t="s">
        <v>873</v>
      </c>
      <c r="AT355" s="131" t="s">
        <v>5211</v>
      </c>
      <c r="AU355" s="132" t="s">
        <v>111</v>
      </c>
      <c r="AV355" s="16" t="s">
        <v>112</v>
      </c>
      <c r="AW355" s="56" t="s">
        <v>150</v>
      </c>
      <c r="AX355" s="56" t="s">
        <v>183</v>
      </c>
      <c r="AY355" s="7" t="s">
        <v>5878</v>
      </c>
      <c r="AZ355" s="10" t="s">
        <v>5879</v>
      </c>
      <c r="BA355" s="7" t="s">
        <v>2279</v>
      </c>
      <c r="BB355" s="17">
        <v>30476</v>
      </c>
      <c r="BC355" s="17" t="s">
        <v>96</v>
      </c>
      <c r="BD355" s="18" t="s">
        <v>5880</v>
      </c>
      <c r="BE355" s="7" t="s">
        <v>118</v>
      </c>
      <c r="BF355" s="7" t="s">
        <v>276</v>
      </c>
      <c r="BG355" s="7" t="s">
        <v>5881</v>
      </c>
      <c r="BH355" s="7" t="s">
        <v>5882</v>
      </c>
      <c r="BI355" s="19" t="s">
        <v>5883</v>
      </c>
      <c r="BJ355" s="20" t="s">
        <v>5884</v>
      </c>
      <c r="BK355" s="21"/>
      <c r="BL355" s="7" t="s">
        <v>5885</v>
      </c>
      <c r="BM355" s="22" t="s">
        <v>5886</v>
      </c>
      <c r="BN355" s="8" t="s">
        <v>5887</v>
      </c>
      <c r="BO355" s="17">
        <v>31464</v>
      </c>
      <c r="BP355" s="17" t="s">
        <v>96</v>
      </c>
      <c r="BQ355" s="18" t="s">
        <v>5877</v>
      </c>
      <c r="BR355" s="7" t="s">
        <v>224</v>
      </c>
      <c r="BS355" s="7" t="s">
        <v>154</v>
      </c>
      <c r="BT355" s="7" t="s">
        <v>2563</v>
      </c>
      <c r="BU355" s="8" t="s">
        <v>2564</v>
      </c>
      <c r="BV355" s="23" t="s">
        <v>5888</v>
      </c>
      <c r="BW355" s="24" t="s">
        <v>1912</v>
      </c>
      <c r="BX355" s="21" t="s">
        <v>5889</v>
      </c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N355" s="25"/>
      <c r="CO355" s="25"/>
      <c r="CP355" s="25"/>
      <c r="CQ355" s="25"/>
      <c r="CR355" s="25"/>
      <c r="CS355" s="26"/>
    </row>
    <row r="356" spans="1:97" s="27" customFormat="1" ht="23.25" customHeight="1">
      <c r="A356" s="4">
        <v>337</v>
      </c>
      <c r="B356" s="6" t="s">
        <v>4837</v>
      </c>
      <c r="C356" s="6" t="s">
        <v>4837</v>
      </c>
      <c r="D356" s="6" t="s">
        <v>4837</v>
      </c>
      <c r="E356" s="6"/>
      <c r="F356" s="6"/>
      <c r="G356" s="6" t="s">
        <v>6996</v>
      </c>
      <c r="H356" s="5" t="s">
        <v>4839</v>
      </c>
      <c r="I356" s="6" t="s">
        <v>86</v>
      </c>
      <c r="J356" s="7" t="s">
        <v>6997</v>
      </c>
      <c r="K356" s="7" t="s">
        <v>6998</v>
      </c>
      <c r="L356" s="8"/>
      <c r="M356" s="5">
        <v>1911</v>
      </c>
      <c r="N356" s="5" t="s">
        <v>6999</v>
      </c>
      <c r="O356" s="9" t="s">
        <v>7000</v>
      </c>
      <c r="P356" s="10" t="s">
        <v>7001</v>
      </c>
      <c r="Q356" s="389" t="s">
        <v>7002</v>
      </c>
      <c r="R356" s="8" t="s">
        <v>7102</v>
      </c>
      <c r="S356" s="212" t="s">
        <v>12146</v>
      </c>
      <c r="T356" s="8" t="s">
        <v>7003</v>
      </c>
      <c r="U356" s="11" t="s">
        <v>172</v>
      </c>
      <c r="V356" s="12" t="s">
        <v>94</v>
      </c>
      <c r="W356" s="13">
        <v>42721</v>
      </c>
      <c r="X356" s="5" t="str">
        <f t="shared" ca="1" si="9"/>
        <v>9 Th, 8 Bln</v>
      </c>
      <c r="Y356" s="5"/>
      <c r="Z356" s="14"/>
      <c r="AA356" s="5" t="s">
        <v>96</v>
      </c>
      <c r="AB356" s="5" t="s">
        <v>97</v>
      </c>
      <c r="AC356" s="7" t="s">
        <v>7004</v>
      </c>
      <c r="AD356" s="131" t="s">
        <v>207</v>
      </c>
      <c r="AE356" s="131">
        <v>15</v>
      </c>
      <c r="AF356" s="7" t="s">
        <v>139</v>
      </c>
      <c r="AG356" s="7" t="s">
        <v>140</v>
      </c>
      <c r="AH356" s="7" t="s">
        <v>141</v>
      </c>
      <c r="AI356" s="7"/>
      <c r="AJ356" s="7" t="s">
        <v>94</v>
      </c>
      <c r="AK356" s="7" t="s">
        <v>179</v>
      </c>
      <c r="AL356" s="7" t="s">
        <v>4935</v>
      </c>
      <c r="AM356" s="15" t="s">
        <v>7005</v>
      </c>
      <c r="AN356" s="15" t="s">
        <v>7005</v>
      </c>
      <c r="AO356" s="8">
        <v>2</v>
      </c>
      <c r="AP356" s="8">
        <v>2</v>
      </c>
      <c r="AQ356" s="8">
        <v>0</v>
      </c>
      <c r="AR356" s="8">
        <v>0</v>
      </c>
      <c r="AS356" s="132" t="s">
        <v>271</v>
      </c>
      <c r="AT356" s="131" t="s">
        <v>4958</v>
      </c>
      <c r="AU356" s="132" t="s">
        <v>111</v>
      </c>
      <c r="AV356" s="16" t="s">
        <v>112</v>
      </c>
      <c r="AW356" s="56" t="s">
        <v>150</v>
      </c>
      <c r="AX356" s="56" t="s">
        <v>183</v>
      </c>
      <c r="AY356" s="7" t="s">
        <v>7006</v>
      </c>
      <c r="AZ356" s="10" t="s">
        <v>7007</v>
      </c>
      <c r="BA356" s="7" t="s">
        <v>2916</v>
      </c>
      <c r="BB356" s="17">
        <v>31562</v>
      </c>
      <c r="BC356" s="17" t="s">
        <v>96</v>
      </c>
      <c r="BD356" s="18" t="s">
        <v>7008</v>
      </c>
      <c r="BE356" s="7" t="s">
        <v>118</v>
      </c>
      <c r="BF356" s="7" t="s">
        <v>276</v>
      </c>
      <c r="BG356" s="7" t="s">
        <v>7009</v>
      </c>
      <c r="BH356" s="7" t="s">
        <v>7010</v>
      </c>
      <c r="BI356" s="19">
        <v>0</v>
      </c>
      <c r="BJ356" s="20" t="s">
        <v>3351</v>
      </c>
      <c r="BK356" s="21" t="s">
        <v>7011</v>
      </c>
      <c r="BL356" s="7" t="s">
        <v>7012</v>
      </c>
      <c r="BM356" s="22" t="s">
        <v>7013</v>
      </c>
      <c r="BN356" s="8" t="s">
        <v>94</v>
      </c>
      <c r="BO356" s="17">
        <v>31606</v>
      </c>
      <c r="BP356" s="17" t="s">
        <v>96</v>
      </c>
      <c r="BQ356" s="18" t="s">
        <v>7005</v>
      </c>
      <c r="BR356" s="7" t="s">
        <v>118</v>
      </c>
      <c r="BS356" s="7" t="s">
        <v>119</v>
      </c>
      <c r="BT356" s="7" t="s">
        <v>7014</v>
      </c>
      <c r="BU356" s="8" t="s">
        <v>7015</v>
      </c>
      <c r="BV356" s="23">
        <v>0</v>
      </c>
      <c r="BW356" s="24" t="s">
        <v>3351</v>
      </c>
      <c r="BX356" s="21" t="s">
        <v>7016</v>
      </c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N356" s="25"/>
      <c r="CO356" s="25"/>
      <c r="CP356" s="25"/>
      <c r="CQ356" s="25"/>
      <c r="CR356" s="25"/>
      <c r="CS356" s="26"/>
    </row>
    <row r="357" spans="1:97" s="27" customFormat="1" ht="23.25" customHeight="1">
      <c r="A357" s="4">
        <v>248</v>
      </c>
      <c r="B357" s="6" t="s">
        <v>4837</v>
      </c>
      <c r="C357" s="6" t="s">
        <v>4837</v>
      </c>
      <c r="D357" s="6" t="s">
        <v>4837</v>
      </c>
      <c r="E357" s="6"/>
      <c r="F357" s="6"/>
      <c r="G357" s="6" t="s">
        <v>5315</v>
      </c>
      <c r="H357" s="5" t="s">
        <v>4839</v>
      </c>
      <c r="I357" s="6" t="s">
        <v>86</v>
      </c>
      <c r="J357" s="7" t="s">
        <v>335</v>
      </c>
      <c r="K357" s="7" t="s">
        <v>5258</v>
      </c>
      <c r="L357" s="8"/>
      <c r="M357" s="5">
        <v>1920</v>
      </c>
      <c r="N357" s="5">
        <v>3171264559</v>
      </c>
      <c r="O357" s="9" t="s">
        <v>5316</v>
      </c>
      <c r="P357" s="10" t="s">
        <v>5317</v>
      </c>
      <c r="Q357" s="389" t="s">
        <v>5318</v>
      </c>
      <c r="R357" s="8" t="s">
        <v>7102</v>
      </c>
      <c r="S357" s="212" t="s">
        <v>12146</v>
      </c>
      <c r="T357" s="8" t="s">
        <v>5319</v>
      </c>
      <c r="U357" s="11" t="s">
        <v>172</v>
      </c>
      <c r="V357" s="12" t="s">
        <v>94</v>
      </c>
      <c r="W357" s="13">
        <v>42818</v>
      </c>
      <c r="X357" s="5" t="str">
        <f t="shared" ca="1" si="9"/>
        <v>9 Th, 5 Bln</v>
      </c>
      <c r="Y357" s="5"/>
      <c r="Z357" s="14"/>
      <c r="AA357" s="5" t="s">
        <v>96</v>
      </c>
      <c r="AB357" s="5" t="s">
        <v>97</v>
      </c>
      <c r="AC357" s="7" t="s">
        <v>5320</v>
      </c>
      <c r="AD357" s="131" t="s">
        <v>239</v>
      </c>
      <c r="AE357" s="131" t="s">
        <v>358</v>
      </c>
      <c r="AF357" s="7" t="s">
        <v>521</v>
      </c>
      <c r="AG357" s="7" t="s">
        <v>547</v>
      </c>
      <c r="AH357" s="7" t="s">
        <v>178</v>
      </c>
      <c r="AI357" s="7"/>
      <c r="AJ357" s="7" t="s">
        <v>103</v>
      </c>
      <c r="AK357" s="7" t="s">
        <v>104</v>
      </c>
      <c r="AL357" s="7" t="s">
        <v>4847</v>
      </c>
      <c r="AM357" s="15" t="s">
        <v>5321</v>
      </c>
      <c r="AN357" s="15" t="s">
        <v>5322</v>
      </c>
      <c r="AO357" s="8">
        <v>3</v>
      </c>
      <c r="AP357" s="8">
        <v>2</v>
      </c>
      <c r="AQ357" s="8"/>
      <c r="AR357" s="8"/>
      <c r="AS357" s="132" t="s">
        <v>109</v>
      </c>
      <c r="AT357" s="131" t="s">
        <v>2245</v>
      </c>
      <c r="AU357" s="132" t="s">
        <v>149</v>
      </c>
      <c r="AV357" s="16" t="s">
        <v>112</v>
      </c>
      <c r="AW357" s="56" t="s">
        <v>549</v>
      </c>
      <c r="AX357" s="56" t="s">
        <v>183</v>
      </c>
      <c r="AY357" s="7" t="s">
        <v>5323</v>
      </c>
      <c r="AZ357" s="10" t="s">
        <v>5324</v>
      </c>
      <c r="BA357" s="7" t="s">
        <v>713</v>
      </c>
      <c r="BB357" s="17">
        <v>30815</v>
      </c>
      <c r="BC357" s="17" t="s">
        <v>96</v>
      </c>
      <c r="BD357" s="18" t="s">
        <v>5322</v>
      </c>
      <c r="BE357" s="7" t="s">
        <v>118</v>
      </c>
      <c r="BF357" s="7" t="s">
        <v>119</v>
      </c>
      <c r="BG357" s="7" t="s">
        <v>120</v>
      </c>
      <c r="BH357" s="7" t="s">
        <v>5325</v>
      </c>
      <c r="BI357" s="19">
        <v>0</v>
      </c>
      <c r="BJ357" s="20">
        <v>10000000</v>
      </c>
      <c r="BK357" s="21" t="s">
        <v>5326</v>
      </c>
      <c r="BL357" s="7" t="s">
        <v>5327</v>
      </c>
      <c r="BM357" s="22" t="s">
        <v>5328</v>
      </c>
      <c r="BN357" s="8" t="s">
        <v>537</v>
      </c>
      <c r="BO357" s="17">
        <v>31477</v>
      </c>
      <c r="BP357" s="17" t="s">
        <v>96</v>
      </c>
      <c r="BQ357" s="18" t="s">
        <v>5321</v>
      </c>
      <c r="BR357" s="7" t="s">
        <v>118</v>
      </c>
      <c r="BS357" s="7" t="s">
        <v>119</v>
      </c>
      <c r="BT357" s="7" t="s">
        <v>5329</v>
      </c>
      <c r="BU357" s="8" t="s">
        <v>5330</v>
      </c>
      <c r="BV357" s="23" t="s">
        <v>5321</v>
      </c>
      <c r="BW357" s="24">
        <v>5000000</v>
      </c>
      <c r="BX357" s="21" t="s">
        <v>5331</v>
      </c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N357" s="25"/>
      <c r="CO357" s="25"/>
      <c r="CP357" s="25"/>
      <c r="CQ357" s="25"/>
      <c r="CR357" s="25"/>
      <c r="CS357" s="26"/>
    </row>
    <row r="358" spans="1:97" s="87" customFormat="1" ht="27" customHeight="1">
      <c r="A358" s="175">
        <v>282</v>
      </c>
      <c r="B358" s="61"/>
      <c r="C358" s="61"/>
      <c r="D358" s="61"/>
      <c r="E358" s="61"/>
      <c r="F358" s="61"/>
      <c r="G358" s="61"/>
      <c r="H358" s="69">
        <v>45726</v>
      </c>
      <c r="I358" s="61" t="s">
        <v>4774</v>
      </c>
      <c r="J358" s="63" t="s">
        <v>5332</v>
      </c>
      <c r="K358" s="63" t="s">
        <v>5333</v>
      </c>
      <c r="L358" s="64"/>
      <c r="M358" s="178">
        <v>2215</v>
      </c>
      <c r="N358" s="62" t="s">
        <v>5975</v>
      </c>
      <c r="O358" s="65" t="s">
        <v>5335</v>
      </c>
      <c r="P358" s="66" t="s">
        <v>5976</v>
      </c>
      <c r="Q358" s="391" t="s">
        <v>5977</v>
      </c>
      <c r="R358" s="8" t="s">
        <v>7102</v>
      </c>
      <c r="S358" s="212" t="s">
        <v>12146</v>
      </c>
      <c r="T358" s="64" t="s">
        <v>5978</v>
      </c>
      <c r="U358" s="67" t="s">
        <v>93</v>
      </c>
      <c r="V358" s="68" t="s">
        <v>94</v>
      </c>
      <c r="W358" s="69">
        <v>42771</v>
      </c>
      <c r="X358" s="62" t="str">
        <f t="shared" ca="1" si="9"/>
        <v>9 Th, 7 Bln</v>
      </c>
      <c r="Y358" s="62"/>
      <c r="Z358" s="14"/>
      <c r="AA358" s="62" t="s">
        <v>96</v>
      </c>
      <c r="AB358" s="178" t="s">
        <v>97</v>
      </c>
      <c r="AC358" s="70" t="s">
        <v>5339</v>
      </c>
      <c r="AD358" s="133"/>
      <c r="AE358" s="64"/>
      <c r="AF358" s="63" t="s">
        <v>942</v>
      </c>
      <c r="AG358" s="63" t="s">
        <v>178</v>
      </c>
      <c r="AH358" s="63" t="s">
        <v>178</v>
      </c>
      <c r="AI358" s="63"/>
      <c r="AJ358" s="63" t="s">
        <v>103</v>
      </c>
      <c r="AK358" s="63" t="s">
        <v>386</v>
      </c>
      <c r="AL358" s="177" t="s">
        <v>387</v>
      </c>
      <c r="AM358" s="71" t="s">
        <v>5340</v>
      </c>
      <c r="AN358" s="63" t="s">
        <v>5340</v>
      </c>
      <c r="AO358" s="64">
        <v>1</v>
      </c>
      <c r="AP358" s="64">
        <v>4</v>
      </c>
      <c r="AQ358" s="64">
        <v>0</v>
      </c>
      <c r="AR358" s="64">
        <v>0</v>
      </c>
      <c r="AS358" s="134">
        <v>25</v>
      </c>
      <c r="AT358" s="133"/>
      <c r="AU358" s="134" t="s">
        <v>111</v>
      </c>
      <c r="AV358" s="73" t="s">
        <v>112</v>
      </c>
      <c r="AW358" s="135" t="s">
        <v>113</v>
      </c>
      <c r="AX358" s="135" t="s">
        <v>114</v>
      </c>
      <c r="AY358" s="74" t="s">
        <v>5341</v>
      </c>
      <c r="AZ358" s="179" t="s">
        <v>5342</v>
      </c>
      <c r="BA358" s="75" t="s">
        <v>5343</v>
      </c>
      <c r="BB358" s="75">
        <v>31568</v>
      </c>
      <c r="BC358" s="76" t="s">
        <v>96</v>
      </c>
      <c r="BD358" s="77" t="s">
        <v>5344</v>
      </c>
      <c r="BE358" s="63" t="s">
        <v>118</v>
      </c>
      <c r="BF358" s="63" t="s">
        <v>5345</v>
      </c>
      <c r="BG358" s="63" t="s">
        <v>5346</v>
      </c>
      <c r="BH358" s="78" t="s">
        <v>5347</v>
      </c>
      <c r="BI358" s="79" t="s">
        <v>5348</v>
      </c>
      <c r="BJ358" s="80">
        <v>10000000</v>
      </c>
      <c r="BK358" s="81" t="s">
        <v>5349</v>
      </c>
      <c r="BL358" s="82" t="s">
        <v>5350</v>
      </c>
      <c r="BM358" s="77" t="s">
        <v>5351</v>
      </c>
      <c r="BN358" s="145" t="s">
        <v>4087</v>
      </c>
      <c r="BO358" s="75">
        <v>31371</v>
      </c>
      <c r="BP358" s="76" t="s">
        <v>96</v>
      </c>
      <c r="BQ358" s="76" t="s">
        <v>5340</v>
      </c>
      <c r="BR358" s="63" t="s">
        <v>118</v>
      </c>
      <c r="BS358" s="63" t="s">
        <v>126</v>
      </c>
      <c r="BT358" s="63"/>
      <c r="BU358" s="64"/>
      <c r="BV358" s="98"/>
      <c r="BW358" s="79"/>
      <c r="BX358" s="90" t="s">
        <v>5352</v>
      </c>
      <c r="BY358" s="83" t="s">
        <v>5353</v>
      </c>
      <c r="BZ358" s="83" t="s">
        <v>5343</v>
      </c>
      <c r="CA358" s="83">
        <v>32091</v>
      </c>
      <c r="CB358" s="83" t="s">
        <v>5354</v>
      </c>
      <c r="CC358" s="83" t="s">
        <v>5355</v>
      </c>
      <c r="CD358" s="83" t="s">
        <v>153</v>
      </c>
      <c r="CE358" s="83" t="s">
        <v>332</v>
      </c>
      <c r="CF358" s="83" t="s">
        <v>96</v>
      </c>
      <c r="CG358" s="83" t="s">
        <v>5356</v>
      </c>
      <c r="CH358" s="83"/>
      <c r="CI358" s="83"/>
      <c r="CJ358" s="83" t="s">
        <v>521</v>
      </c>
      <c r="CK358" s="83" t="s">
        <v>178</v>
      </c>
      <c r="CL358" s="215" t="s">
        <v>103</v>
      </c>
      <c r="CN358" s="85"/>
      <c r="CO358" s="85"/>
      <c r="CP358" s="85"/>
      <c r="CQ358" s="85"/>
      <c r="CR358" s="85"/>
      <c r="CS358" s="86"/>
    </row>
    <row r="359" spans="1:97" s="27" customFormat="1" ht="23.25" customHeight="1">
      <c r="A359" s="4">
        <v>284</v>
      </c>
      <c r="B359" s="6" t="s">
        <v>4837</v>
      </c>
      <c r="C359" s="6" t="s">
        <v>4837</v>
      </c>
      <c r="D359" s="6" t="s">
        <v>4837</v>
      </c>
      <c r="E359" s="6"/>
      <c r="F359" s="6"/>
      <c r="G359" s="6" t="s">
        <v>5988</v>
      </c>
      <c r="H359" s="5" t="s">
        <v>4839</v>
      </c>
      <c r="I359" s="6" t="s">
        <v>86</v>
      </c>
      <c r="J359" s="7" t="s">
        <v>2794</v>
      </c>
      <c r="K359" s="7" t="s">
        <v>5989</v>
      </c>
      <c r="L359" s="8"/>
      <c r="M359" s="5">
        <v>1937</v>
      </c>
      <c r="N359" s="5">
        <v>3151729768</v>
      </c>
      <c r="O359" s="9" t="s">
        <v>5990</v>
      </c>
      <c r="P359" s="10" t="s">
        <v>5991</v>
      </c>
      <c r="Q359" s="389" t="s">
        <v>5992</v>
      </c>
      <c r="R359" s="8" t="s">
        <v>7102</v>
      </c>
      <c r="S359" s="212" t="s">
        <v>12146</v>
      </c>
      <c r="T359" s="8" t="s">
        <v>5993</v>
      </c>
      <c r="U359" s="11" t="s">
        <v>93</v>
      </c>
      <c r="V359" s="12" t="s">
        <v>94</v>
      </c>
      <c r="W359" s="13">
        <v>42462</v>
      </c>
      <c r="X359" s="5" t="str">
        <f t="shared" ca="1" si="9"/>
        <v>10 Th, 5 Bln</v>
      </c>
      <c r="Y359" s="5"/>
      <c r="Z359" s="14"/>
      <c r="AA359" s="5" t="s">
        <v>96</v>
      </c>
      <c r="AB359" s="5" t="s">
        <v>97</v>
      </c>
      <c r="AC359" s="7" t="s">
        <v>5994</v>
      </c>
      <c r="AD359" s="131">
        <v>11</v>
      </c>
      <c r="AE359" s="131" t="s">
        <v>384</v>
      </c>
      <c r="AF359" s="7" t="s">
        <v>1840</v>
      </c>
      <c r="AG359" s="7" t="s">
        <v>178</v>
      </c>
      <c r="AH359" s="7" t="s">
        <v>178</v>
      </c>
      <c r="AI359" s="7"/>
      <c r="AJ359" s="7" t="s">
        <v>103</v>
      </c>
      <c r="AK359" s="7" t="s">
        <v>104</v>
      </c>
      <c r="AL359" s="7" t="s">
        <v>4915</v>
      </c>
      <c r="AM359" s="15" t="s">
        <v>5995</v>
      </c>
      <c r="AN359" s="15" t="s">
        <v>5995</v>
      </c>
      <c r="AO359" s="8">
        <v>3</v>
      </c>
      <c r="AP359" s="8">
        <v>2</v>
      </c>
      <c r="AQ359" s="8"/>
      <c r="AR359" s="8"/>
      <c r="AS359" s="132" t="s">
        <v>271</v>
      </c>
      <c r="AT359" s="131" t="s">
        <v>1266</v>
      </c>
      <c r="AU359" s="132" t="s">
        <v>182</v>
      </c>
      <c r="AV359" s="16" t="s">
        <v>112</v>
      </c>
      <c r="AW359" s="56" t="s">
        <v>113</v>
      </c>
      <c r="AX359" s="56" t="s">
        <v>183</v>
      </c>
      <c r="AY359" s="7" t="s">
        <v>5996</v>
      </c>
      <c r="AZ359" s="10" t="s">
        <v>5997</v>
      </c>
      <c r="BA359" s="7" t="s">
        <v>94</v>
      </c>
      <c r="BB359" s="17">
        <v>30492</v>
      </c>
      <c r="BC359" s="17" t="s">
        <v>96</v>
      </c>
      <c r="BD359" s="18" t="s">
        <v>5998</v>
      </c>
      <c r="BE359" s="7" t="s">
        <v>118</v>
      </c>
      <c r="BF359" s="7" t="s">
        <v>119</v>
      </c>
      <c r="BG359" s="7" t="s">
        <v>5999</v>
      </c>
      <c r="BH359" s="7" t="s">
        <v>6000</v>
      </c>
      <c r="BI359" s="19" t="s">
        <v>6001</v>
      </c>
      <c r="BJ359" s="20">
        <v>5000000</v>
      </c>
      <c r="BK359" s="21" t="s">
        <v>6002</v>
      </c>
      <c r="BL359" s="7" t="s">
        <v>6003</v>
      </c>
      <c r="BM359" s="22" t="s">
        <v>6004</v>
      </c>
      <c r="BN359" s="8" t="s">
        <v>4399</v>
      </c>
      <c r="BO359" s="17">
        <v>30621</v>
      </c>
      <c r="BP359" s="17" t="s">
        <v>96</v>
      </c>
      <c r="BQ359" s="18" t="s">
        <v>5995</v>
      </c>
      <c r="BR359" s="7" t="s">
        <v>118</v>
      </c>
      <c r="BS359" s="7" t="s">
        <v>126</v>
      </c>
      <c r="BT359" s="7" t="s">
        <v>108</v>
      </c>
      <c r="BU359" s="8" t="s">
        <v>108</v>
      </c>
      <c r="BV359" s="23"/>
      <c r="BW359" s="24"/>
      <c r="BX359" s="21" t="s">
        <v>6005</v>
      </c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N359" s="25"/>
      <c r="CO359" s="25"/>
      <c r="CP359" s="25"/>
      <c r="CQ359" s="25"/>
      <c r="CR359" s="25"/>
      <c r="CS359" s="26"/>
    </row>
    <row r="360" spans="1:97" s="87" customFormat="1" ht="23.25" customHeight="1">
      <c r="A360" s="175">
        <v>313</v>
      </c>
      <c r="B360" s="216"/>
      <c r="C360" s="216"/>
      <c r="D360" s="216"/>
      <c r="E360" s="216"/>
      <c r="F360" s="216"/>
      <c r="G360" s="216"/>
      <c r="H360" s="217"/>
      <c r="I360" s="61" t="s">
        <v>4774</v>
      </c>
      <c r="J360" s="216" t="s">
        <v>6503</v>
      </c>
      <c r="K360" s="218" t="s">
        <v>6504</v>
      </c>
      <c r="L360" s="216"/>
      <c r="M360" s="62">
        <v>2212</v>
      </c>
      <c r="N360" s="219" t="s">
        <v>6505</v>
      </c>
      <c r="O360" s="219" t="s">
        <v>6506</v>
      </c>
      <c r="P360" s="219" t="s">
        <v>11402</v>
      </c>
      <c r="Q360" s="216" t="s">
        <v>4827</v>
      </c>
      <c r="R360" s="8" t="s">
        <v>7102</v>
      </c>
      <c r="S360" s="212" t="s">
        <v>12146</v>
      </c>
      <c r="T360" s="178" t="s">
        <v>6507</v>
      </c>
      <c r="U360" s="178" t="s">
        <v>93</v>
      </c>
      <c r="V360" s="178" t="s">
        <v>94</v>
      </c>
      <c r="W360" s="220">
        <v>42622</v>
      </c>
      <c r="X360" s="62" t="s">
        <v>11403</v>
      </c>
      <c r="Y360" s="62" t="s">
        <v>95</v>
      </c>
      <c r="Z360" s="216"/>
      <c r="AA360" s="62" t="s">
        <v>96</v>
      </c>
      <c r="AB360" s="178" t="s">
        <v>97</v>
      </c>
      <c r="AC360" s="216" t="s">
        <v>6508</v>
      </c>
      <c r="AD360" s="178">
        <v>1</v>
      </c>
      <c r="AE360" s="178">
        <v>1</v>
      </c>
      <c r="AF360" s="218" t="s">
        <v>6509</v>
      </c>
      <c r="AG360" s="218" t="s">
        <v>3039</v>
      </c>
      <c r="AH360" s="218" t="s">
        <v>102</v>
      </c>
      <c r="AI360" s="218"/>
      <c r="AJ360" s="218" t="s">
        <v>103</v>
      </c>
      <c r="AK360" s="216"/>
      <c r="AL360" s="216"/>
      <c r="AM360" s="218"/>
      <c r="AN360" s="221" t="s">
        <v>4834</v>
      </c>
      <c r="AO360" s="178">
        <v>3</v>
      </c>
      <c r="AP360" s="178">
        <v>2</v>
      </c>
      <c r="AQ360" s="178"/>
      <c r="AR360" s="178"/>
      <c r="AS360" s="178">
        <v>21</v>
      </c>
      <c r="AT360" s="178"/>
      <c r="AU360" s="178"/>
      <c r="AV360" s="216"/>
      <c r="AW360" s="218"/>
      <c r="AX360" s="218"/>
      <c r="AY360" s="216" t="s">
        <v>4813</v>
      </c>
      <c r="AZ360" s="222" t="s">
        <v>6510</v>
      </c>
      <c r="BA360" s="216" t="s">
        <v>4814</v>
      </c>
      <c r="BB360" s="216" t="s">
        <v>6511</v>
      </c>
      <c r="BC360" s="216" t="s">
        <v>737</v>
      </c>
      <c r="BD360" s="222" t="s">
        <v>6512</v>
      </c>
      <c r="BE360" s="216" t="s">
        <v>153</v>
      </c>
      <c r="BF360" s="216" t="s">
        <v>4815</v>
      </c>
      <c r="BG360" s="216" t="s">
        <v>4816</v>
      </c>
      <c r="BH360" s="216" t="s">
        <v>6513</v>
      </c>
      <c r="BI360" s="216"/>
      <c r="BJ360" s="223">
        <v>11000000</v>
      </c>
      <c r="BK360" s="216"/>
      <c r="BL360" s="216" t="s">
        <v>6514</v>
      </c>
      <c r="BM360" s="221" t="s">
        <v>6515</v>
      </c>
      <c r="BN360" s="178" t="s">
        <v>94</v>
      </c>
      <c r="BO360" s="218" t="s">
        <v>6516</v>
      </c>
      <c r="BP360" s="216" t="s">
        <v>96</v>
      </c>
      <c r="BQ360" s="222" t="s">
        <v>4834</v>
      </c>
      <c r="BR360" s="216" t="s">
        <v>118</v>
      </c>
      <c r="BS360" s="216" t="s">
        <v>582</v>
      </c>
      <c r="BT360" s="216"/>
      <c r="BU360" s="216"/>
      <c r="BV360" s="216"/>
      <c r="BW360" s="216"/>
      <c r="BX360" s="216"/>
      <c r="BY360" s="216" t="s">
        <v>6517</v>
      </c>
      <c r="BZ360" s="216" t="s">
        <v>2417</v>
      </c>
      <c r="CA360" s="216" t="s">
        <v>6518</v>
      </c>
      <c r="CB360" s="216" t="s">
        <v>4817</v>
      </c>
      <c r="CC360" s="222" t="s">
        <v>6519</v>
      </c>
      <c r="CD360" s="216" t="s">
        <v>224</v>
      </c>
      <c r="CE360" s="216" t="s">
        <v>6520</v>
      </c>
      <c r="CF360" s="216" t="s">
        <v>96</v>
      </c>
      <c r="CG360" s="216" t="s">
        <v>6508</v>
      </c>
      <c r="CH360" s="216"/>
      <c r="CI360" s="216"/>
      <c r="CJ360" s="216"/>
      <c r="CK360" s="216"/>
      <c r="CL360" s="216"/>
      <c r="CN360" s="85"/>
      <c r="CO360" s="85"/>
      <c r="CP360" s="85"/>
      <c r="CQ360" s="85"/>
      <c r="CR360" s="85"/>
      <c r="CS360" s="86"/>
    </row>
    <row r="361" spans="1:97" s="27" customFormat="1" ht="23.25" customHeight="1">
      <c r="A361" s="4">
        <v>314</v>
      </c>
      <c r="B361" s="6" t="s">
        <v>4837</v>
      </c>
      <c r="C361" s="6" t="s">
        <v>4837</v>
      </c>
      <c r="D361" s="6" t="s">
        <v>4837</v>
      </c>
      <c r="E361" s="6"/>
      <c r="F361" s="6"/>
      <c r="G361" s="6" t="s">
        <v>6544</v>
      </c>
      <c r="H361" s="5" t="s">
        <v>4839</v>
      </c>
      <c r="I361" s="6" t="s">
        <v>86</v>
      </c>
      <c r="J361" s="7" t="s">
        <v>1237</v>
      </c>
      <c r="K361" s="7" t="s">
        <v>5358</v>
      </c>
      <c r="L361" s="8"/>
      <c r="M361" s="5">
        <v>1938</v>
      </c>
      <c r="N361" s="5">
        <v>3163728458</v>
      </c>
      <c r="O361" s="9" t="s">
        <v>988</v>
      </c>
      <c r="P361" s="10" t="s">
        <v>6545</v>
      </c>
      <c r="Q361" s="389" t="s">
        <v>6546</v>
      </c>
      <c r="R361" s="8" t="s">
        <v>7102</v>
      </c>
      <c r="S361" s="212" t="s">
        <v>12146</v>
      </c>
      <c r="T361" s="8" t="s">
        <v>6547</v>
      </c>
      <c r="U361" s="11" t="s">
        <v>172</v>
      </c>
      <c r="V361" s="12" t="s">
        <v>94</v>
      </c>
      <c r="W361" s="13">
        <v>42720</v>
      </c>
      <c r="X361" s="5" t="str">
        <f t="shared" ref="X361:X372" ca="1" si="10">""&amp;DATEDIF(W361,TODAY(),"y")&amp;" Th, "&amp;DATEDIF(W361,TODAY(),"ym")&amp;" Bln"</f>
        <v>9 Th, 9 Bln</v>
      </c>
      <c r="Y361" s="5"/>
      <c r="Z361" s="14"/>
      <c r="AA361" s="5" t="s">
        <v>96</v>
      </c>
      <c r="AB361" s="5" t="s">
        <v>97</v>
      </c>
      <c r="AC361" s="7" t="s">
        <v>6548</v>
      </c>
      <c r="AD361" s="131" t="s">
        <v>384</v>
      </c>
      <c r="AE361" s="131" t="s">
        <v>546</v>
      </c>
      <c r="AF361" s="7" t="s">
        <v>993</v>
      </c>
      <c r="AG361" s="7" t="s">
        <v>994</v>
      </c>
      <c r="AH361" s="7" t="s">
        <v>141</v>
      </c>
      <c r="AI361" s="7"/>
      <c r="AJ361" s="7" t="s">
        <v>2024</v>
      </c>
      <c r="AK361" s="7" t="s">
        <v>179</v>
      </c>
      <c r="AL361" s="7" t="s">
        <v>6549</v>
      </c>
      <c r="AM361" s="15" t="s">
        <v>996</v>
      </c>
      <c r="AN361" s="15" t="s">
        <v>1003</v>
      </c>
      <c r="AO361" s="8">
        <v>2</v>
      </c>
      <c r="AP361" s="8">
        <v>2</v>
      </c>
      <c r="AQ361" s="8"/>
      <c r="AR361" s="8"/>
      <c r="AS361" s="132" t="s">
        <v>6550</v>
      </c>
      <c r="AT361" s="131" t="s">
        <v>5307</v>
      </c>
      <c r="AU361" s="132" t="s">
        <v>111</v>
      </c>
      <c r="AV361" s="16" t="s">
        <v>112</v>
      </c>
      <c r="AW361" s="56" t="s">
        <v>549</v>
      </c>
      <c r="AX361" s="56" t="s">
        <v>183</v>
      </c>
      <c r="AY361" s="7" t="s">
        <v>6551</v>
      </c>
      <c r="AZ361" s="10" t="s">
        <v>1002</v>
      </c>
      <c r="BA361" s="7" t="s">
        <v>670</v>
      </c>
      <c r="BB361" s="17">
        <v>29150</v>
      </c>
      <c r="BC361" s="17" t="s">
        <v>96</v>
      </c>
      <c r="BD361" s="18" t="s">
        <v>1003</v>
      </c>
      <c r="BE361" s="7" t="s">
        <v>118</v>
      </c>
      <c r="BF361" s="7" t="s">
        <v>1004</v>
      </c>
      <c r="BG361" s="7" t="s">
        <v>6552</v>
      </c>
      <c r="BH361" s="7" t="s">
        <v>6553</v>
      </c>
      <c r="BI361" s="19" t="s">
        <v>996</v>
      </c>
      <c r="BJ361" s="20">
        <v>10000000</v>
      </c>
      <c r="BK361" s="21" t="s">
        <v>6554</v>
      </c>
      <c r="BL361" s="7" t="s">
        <v>6555</v>
      </c>
      <c r="BM361" s="22" t="s">
        <v>1010</v>
      </c>
      <c r="BN361" s="8" t="s">
        <v>670</v>
      </c>
      <c r="BO361" s="17">
        <v>30997</v>
      </c>
      <c r="BP361" s="17" t="s">
        <v>96</v>
      </c>
      <c r="BQ361" s="18" t="s">
        <v>997</v>
      </c>
      <c r="BR361" s="7" t="s">
        <v>118</v>
      </c>
      <c r="BS361" s="7" t="s">
        <v>1011</v>
      </c>
      <c r="BT361" s="7" t="s">
        <v>6556</v>
      </c>
      <c r="BU361" s="8" t="s">
        <v>6557</v>
      </c>
      <c r="BV361" s="23" t="s">
        <v>6558</v>
      </c>
      <c r="BW361" s="24">
        <v>3500000</v>
      </c>
      <c r="BX361" s="21" t="s">
        <v>6559</v>
      </c>
      <c r="BY361" s="21" t="s">
        <v>6560</v>
      </c>
      <c r="BZ361" s="21" t="s">
        <v>6561</v>
      </c>
      <c r="CA361" s="21">
        <v>29150</v>
      </c>
      <c r="CB361" s="21"/>
      <c r="CC361" s="21" t="s">
        <v>1003</v>
      </c>
      <c r="CD361" s="21" t="s">
        <v>118</v>
      </c>
      <c r="CE361" s="21" t="s">
        <v>6562</v>
      </c>
      <c r="CF361" s="21" t="s">
        <v>96</v>
      </c>
      <c r="CG361" s="21" t="s">
        <v>6563</v>
      </c>
      <c r="CH361" s="21" t="s">
        <v>384</v>
      </c>
      <c r="CI361" s="21" t="s">
        <v>546</v>
      </c>
      <c r="CJ361" s="21" t="s">
        <v>4903</v>
      </c>
      <c r="CK361" s="21" t="s">
        <v>4904</v>
      </c>
      <c r="CL361" s="21" t="s">
        <v>6564</v>
      </c>
      <c r="CN361" s="25"/>
      <c r="CO361" s="25"/>
      <c r="CP361" s="25"/>
      <c r="CQ361" s="25"/>
      <c r="CR361" s="25"/>
      <c r="CS361" s="26"/>
    </row>
    <row r="362" spans="1:97" s="27" customFormat="1" ht="28.5" customHeight="1">
      <c r="A362" s="4">
        <v>255</v>
      </c>
      <c r="B362" s="6" t="s">
        <v>4837</v>
      </c>
      <c r="C362" s="6" t="s">
        <v>4837</v>
      </c>
      <c r="D362" s="6" t="s">
        <v>4837</v>
      </c>
      <c r="E362" s="6"/>
      <c r="F362" s="6"/>
      <c r="G362" s="6" t="s">
        <v>5446</v>
      </c>
      <c r="H362" s="5" t="s">
        <v>4839</v>
      </c>
      <c r="I362" s="6" t="s">
        <v>86</v>
      </c>
      <c r="J362" s="7" t="s">
        <v>5447</v>
      </c>
      <c r="K362" s="7" t="s">
        <v>5448</v>
      </c>
      <c r="L362" s="8"/>
      <c r="M362" s="5">
        <v>1939</v>
      </c>
      <c r="N362" s="5">
        <v>3171451220</v>
      </c>
      <c r="O362" s="9" t="s">
        <v>5449</v>
      </c>
      <c r="P362" s="10" t="s">
        <v>5450</v>
      </c>
      <c r="Q362" s="389" t="s">
        <v>5451</v>
      </c>
      <c r="R362" s="8" t="s">
        <v>7102</v>
      </c>
      <c r="S362" s="212" t="s">
        <v>12146</v>
      </c>
      <c r="T362" s="8" t="s">
        <v>4549</v>
      </c>
      <c r="U362" s="11" t="s">
        <v>93</v>
      </c>
      <c r="V362" s="12" t="s">
        <v>544</v>
      </c>
      <c r="W362" s="13">
        <v>42768</v>
      </c>
      <c r="X362" s="5" t="str">
        <f t="shared" ca="1" si="10"/>
        <v>9 Th, 7 Bln</v>
      </c>
      <c r="Y362" s="5"/>
      <c r="Z362" s="14"/>
      <c r="AA362" s="5" t="s">
        <v>96</v>
      </c>
      <c r="AB362" s="5" t="s">
        <v>97</v>
      </c>
      <c r="AC362" s="7" t="s">
        <v>5452</v>
      </c>
      <c r="AD362" s="131" t="s">
        <v>966</v>
      </c>
      <c r="AE362" s="131" t="s">
        <v>1281</v>
      </c>
      <c r="AF362" s="7" t="s">
        <v>1840</v>
      </c>
      <c r="AG362" s="7" t="s">
        <v>178</v>
      </c>
      <c r="AH362" s="7" t="s">
        <v>178</v>
      </c>
      <c r="AI362" s="7"/>
      <c r="AJ362" s="7" t="s">
        <v>103</v>
      </c>
      <c r="AK362" s="7" t="s">
        <v>104</v>
      </c>
      <c r="AL362" s="7" t="s">
        <v>5208</v>
      </c>
      <c r="AM362" s="15" t="s">
        <v>5453</v>
      </c>
      <c r="AN362" s="15" t="s">
        <v>5454</v>
      </c>
      <c r="AO362" s="8">
        <v>3</v>
      </c>
      <c r="AP362" s="8">
        <v>2</v>
      </c>
      <c r="AQ362" s="8">
        <v>0</v>
      </c>
      <c r="AR362" s="8">
        <v>0</v>
      </c>
      <c r="AS362" s="132" t="s">
        <v>2244</v>
      </c>
      <c r="AT362" s="131" t="s">
        <v>1266</v>
      </c>
      <c r="AU362" s="132" t="s">
        <v>182</v>
      </c>
      <c r="AV362" s="16" t="s">
        <v>112</v>
      </c>
      <c r="AW362" s="56" t="s">
        <v>344</v>
      </c>
      <c r="AX362" s="56" t="s">
        <v>114</v>
      </c>
      <c r="AY362" s="7" t="s">
        <v>5455</v>
      </c>
      <c r="AZ362" s="10" t="s">
        <v>5456</v>
      </c>
      <c r="BA362" s="7" t="s">
        <v>603</v>
      </c>
      <c r="BB362" s="17">
        <v>31491</v>
      </c>
      <c r="BC362" s="17" t="s">
        <v>96</v>
      </c>
      <c r="BD362" s="18" t="s">
        <v>5453</v>
      </c>
      <c r="BE362" s="7" t="s">
        <v>153</v>
      </c>
      <c r="BF362" s="7" t="s">
        <v>154</v>
      </c>
      <c r="BG362" s="7" t="s">
        <v>5457</v>
      </c>
      <c r="BH362" s="7" t="s">
        <v>5458</v>
      </c>
      <c r="BI362" s="19" t="s">
        <v>127</v>
      </c>
      <c r="BJ362" s="20">
        <v>10000000</v>
      </c>
      <c r="BK362" s="21" t="s">
        <v>5459</v>
      </c>
      <c r="BL362" s="7" t="s">
        <v>5460</v>
      </c>
      <c r="BM362" s="22" t="s">
        <v>5461</v>
      </c>
      <c r="BN362" s="8" t="s">
        <v>2417</v>
      </c>
      <c r="BO362" s="17">
        <v>31500</v>
      </c>
      <c r="BP362" s="17" t="s">
        <v>96</v>
      </c>
      <c r="BQ362" s="18" t="s">
        <v>5454</v>
      </c>
      <c r="BR362" s="7" t="s">
        <v>118</v>
      </c>
      <c r="BS362" s="7" t="s">
        <v>247</v>
      </c>
      <c r="BT362" s="7" t="s">
        <v>108</v>
      </c>
      <c r="BU362" s="8" t="s">
        <v>108</v>
      </c>
      <c r="BV362" s="23" t="s">
        <v>127</v>
      </c>
      <c r="BW362" s="24"/>
      <c r="BX362" s="21" t="s">
        <v>5462</v>
      </c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N362" s="25"/>
      <c r="CO362" s="25"/>
      <c r="CP362" s="25"/>
      <c r="CQ362" s="25"/>
      <c r="CR362" s="25"/>
      <c r="CS362" s="26"/>
    </row>
    <row r="363" spans="1:97" s="27" customFormat="1" ht="23.25" customHeight="1">
      <c r="A363" s="4">
        <v>256</v>
      </c>
      <c r="B363" s="6" t="s">
        <v>4837</v>
      </c>
      <c r="C363" s="6" t="s">
        <v>4837</v>
      </c>
      <c r="D363" s="6" t="s">
        <v>4837</v>
      </c>
      <c r="E363" s="6"/>
      <c r="F363" s="6"/>
      <c r="G363" s="6" t="s">
        <v>5463</v>
      </c>
      <c r="H363" s="5" t="s">
        <v>4839</v>
      </c>
      <c r="I363" s="6" t="s">
        <v>86</v>
      </c>
      <c r="J363" s="7" t="s">
        <v>166</v>
      </c>
      <c r="K363" s="7" t="s">
        <v>1993</v>
      </c>
      <c r="L363" s="8"/>
      <c r="M363" s="5">
        <v>1832</v>
      </c>
      <c r="N363" s="5">
        <v>3177887953</v>
      </c>
      <c r="O363" s="9">
        <v>3573051112130010</v>
      </c>
      <c r="P363" s="10" t="s">
        <v>5464</v>
      </c>
      <c r="Q363" s="389" t="s">
        <v>5465</v>
      </c>
      <c r="R363" s="8" t="s">
        <v>7729</v>
      </c>
      <c r="S363" s="212" t="s">
        <v>12147</v>
      </c>
      <c r="T363" s="8" t="s">
        <v>5467</v>
      </c>
      <c r="U363" s="11" t="s">
        <v>93</v>
      </c>
      <c r="V363" s="12" t="s">
        <v>94</v>
      </c>
      <c r="W363" s="13">
        <v>42740</v>
      </c>
      <c r="X363" s="5" t="str">
        <f t="shared" ca="1" si="10"/>
        <v>9 Th, 8 Bln</v>
      </c>
      <c r="Y363" s="5"/>
      <c r="Z363" s="14"/>
      <c r="AA363" s="5" t="s">
        <v>96</v>
      </c>
      <c r="AB363" s="5" t="s">
        <v>97</v>
      </c>
      <c r="AC363" s="7" t="s">
        <v>5468</v>
      </c>
      <c r="AD363" s="131" t="s">
        <v>294</v>
      </c>
      <c r="AE363" s="131" t="s">
        <v>294</v>
      </c>
      <c r="AF363" s="7" t="s">
        <v>4126</v>
      </c>
      <c r="AG363" s="7" t="s">
        <v>3503</v>
      </c>
      <c r="AH363" s="7" t="s">
        <v>141</v>
      </c>
      <c r="AI363" s="7"/>
      <c r="AJ363" s="7" t="s">
        <v>1374</v>
      </c>
      <c r="AK363" s="7" t="s">
        <v>179</v>
      </c>
      <c r="AL363" s="7" t="s">
        <v>5278</v>
      </c>
      <c r="AM363" s="15" t="s">
        <v>5469</v>
      </c>
      <c r="AN363" s="15" t="s">
        <v>5469</v>
      </c>
      <c r="AO363" s="8">
        <v>2</v>
      </c>
      <c r="AP363" s="8">
        <v>1</v>
      </c>
      <c r="AQ363" s="8"/>
      <c r="AR363" s="8"/>
      <c r="AS363" s="132" t="s">
        <v>271</v>
      </c>
      <c r="AT363" s="131" t="s">
        <v>4958</v>
      </c>
      <c r="AU363" s="132" t="s">
        <v>111</v>
      </c>
      <c r="AV363" s="16" t="s">
        <v>112</v>
      </c>
      <c r="AW363" s="56" t="s">
        <v>344</v>
      </c>
      <c r="AX363" s="56" t="s">
        <v>2272</v>
      </c>
      <c r="AY363" s="7" t="s">
        <v>5470</v>
      </c>
      <c r="AZ363" s="10" t="s">
        <v>5471</v>
      </c>
      <c r="BA363" s="7" t="s">
        <v>2524</v>
      </c>
      <c r="BB363" s="17">
        <v>30606</v>
      </c>
      <c r="BC363" s="17" t="s">
        <v>96</v>
      </c>
      <c r="BD363" s="18" t="s">
        <v>5472</v>
      </c>
      <c r="BE363" s="7" t="s">
        <v>153</v>
      </c>
      <c r="BF363" s="7" t="s">
        <v>5473</v>
      </c>
      <c r="BG363" s="7" t="s">
        <v>5474</v>
      </c>
      <c r="BH363" s="7" t="s">
        <v>5475</v>
      </c>
      <c r="BI363" s="19" t="s">
        <v>5472</v>
      </c>
      <c r="BJ363" s="20" t="s">
        <v>190</v>
      </c>
      <c r="BK363" s="21" t="s">
        <v>5476</v>
      </c>
      <c r="BL363" s="7" t="s">
        <v>5477</v>
      </c>
      <c r="BM363" s="22" t="s">
        <v>5478</v>
      </c>
      <c r="BN363" s="8" t="s">
        <v>511</v>
      </c>
      <c r="BO363" s="17">
        <v>33150</v>
      </c>
      <c r="BP363" s="17" t="s">
        <v>96</v>
      </c>
      <c r="BQ363" s="18" t="s">
        <v>5469</v>
      </c>
      <c r="BR363" s="7" t="s">
        <v>118</v>
      </c>
      <c r="BS363" s="7" t="s">
        <v>254</v>
      </c>
      <c r="BT363" s="7" t="s">
        <v>108</v>
      </c>
      <c r="BU363" s="8" t="s">
        <v>108</v>
      </c>
      <c r="BV363" s="23"/>
      <c r="BW363" s="24"/>
      <c r="BX363" s="21" t="s">
        <v>5479</v>
      </c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N363" s="25"/>
      <c r="CO363" s="25"/>
      <c r="CP363" s="25"/>
      <c r="CQ363" s="25"/>
      <c r="CR363" s="25"/>
      <c r="CS363" s="26"/>
    </row>
    <row r="364" spans="1:97" s="87" customFormat="1" ht="23.25" customHeight="1">
      <c r="A364" s="175">
        <v>260</v>
      </c>
      <c r="B364" s="61" t="s">
        <v>4837</v>
      </c>
      <c r="C364" s="61" t="s">
        <v>4837</v>
      </c>
      <c r="D364" s="61" t="s">
        <v>4837</v>
      </c>
      <c r="E364" s="61"/>
      <c r="F364" s="61" t="s">
        <v>4837</v>
      </c>
      <c r="G364" s="61" t="s">
        <v>5555</v>
      </c>
      <c r="H364" s="62" t="s">
        <v>4839</v>
      </c>
      <c r="I364" s="61" t="s">
        <v>86</v>
      </c>
      <c r="J364" s="63" t="s">
        <v>166</v>
      </c>
      <c r="K364" s="63" t="s">
        <v>1993</v>
      </c>
      <c r="L364" s="64"/>
      <c r="M364" s="62">
        <v>1851</v>
      </c>
      <c r="N364" s="62">
        <v>3173254706</v>
      </c>
      <c r="O364" s="65" t="s">
        <v>5556</v>
      </c>
      <c r="P364" s="66" t="s">
        <v>5557</v>
      </c>
      <c r="Q364" s="391" t="s">
        <v>5558</v>
      </c>
      <c r="R364" s="64" t="s">
        <v>7729</v>
      </c>
      <c r="S364" s="212" t="s">
        <v>12147</v>
      </c>
      <c r="T364" s="64" t="s">
        <v>5559</v>
      </c>
      <c r="U364" s="67" t="s">
        <v>93</v>
      </c>
      <c r="V364" s="68" t="s">
        <v>444</v>
      </c>
      <c r="W364" s="69">
        <v>42753</v>
      </c>
      <c r="X364" s="64" t="str">
        <f t="shared" ca="1" si="10"/>
        <v>9 Th, 7 Bln</v>
      </c>
      <c r="Y364" s="64"/>
      <c r="Z364" s="14"/>
      <c r="AA364" s="64" t="s">
        <v>96</v>
      </c>
      <c r="AB364" s="64" t="s">
        <v>97</v>
      </c>
      <c r="AC364" s="63" t="s">
        <v>5560</v>
      </c>
      <c r="AD364" s="133" t="s">
        <v>5561</v>
      </c>
      <c r="AE364" s="133" t="s">
        <v>265</v>
      </c>
      <c r="AF364" s="63" t="s">
        <v>240</v>
      </c>
      <c r="AG364" s="63" t="s">
        <v>241</v>
      </c>
      <c r="AH364" s="63" t="s">
        <v>241</v>
      </c>
      <c r="AI364" s="63"/>
      <c r="AJ364" s="63" t="s">
        <v>103</v>
      </c>
      <c r="AK364" s="63" t="s">
        <v>179</v>
      </c>
      <c r="AL364" s="63" t="s">
        <v>5562</v>
      </c>
      <c r="AM364" s="71"/>
      <c r="AN364" s="71"/>
      <c r="AO364" s="64">
        <v>1</v>
      </c>
      <c r="AP364" s="64">
        <v>0</v>
      </c>
      <c r="AQ364" s="64">
        <v>0</v>
      </c>
      <c r="AR364" s="64">
        <v>0</v>
      </c>
      <c r="AS364" s="134" t="s">
        <v>5563</v>
      </c>
      <c r="AT364" s="133" t="s">
        <v>5168</v>
      </c>
      <c r="AU364" s="134" t="s">
        <v>149</v>
      </c>
      <c r="AV364" s="73" t="s">
        <v>112</v>
      </c>
      <c r="AW364" s="135" t="s">
        <v>150</v>
      </c>
      <c r="AX364" s="135" t="s">
        <v>183</v>
      </c>
      <c r="AY364" s="63" t="s">
        <v>5564</v>
      </c>
      <c r="AZ364" s="66" t="s">
        <v>5565</v>
      </c>
      <c r="BA364" s="63" t="s">
        <v>603</v>
      </c>
      <c r="BB364" s="75">
        <v>26767</v>
      </c>
      <c r="BC364" s="75" t="s">
        <v>96</v>
      </c>
      <c r="BD364" s="76" t="s">
        <v>5566</v>
      </c>
      <c r="BE364" s="63" t="s">
        <v>118</v>
      </c>
      <c r="BF364" s="63" t="s">
        <v>247</v>
      </c>
      <c r="BG364" s="63" t="s">
        <v>108</v>
      </c>
      <c r="BH364" s="63" t="s">
        <v>108</v>
      </c>
      <c r="BI364" s="78"/>
      <c r="BJ364" s="475" t="s">
        <v>5567</v>
      </c>
      <c r="BK364" s="476" t="s">
        <v>5568</v>
      </c>
      <c r="BL364" s="63" t="s">
        <v>5569</v>
      </c>
      <c r="BM364" s="477" t="s">
        <v>5570</v>
      </c>
      <c r="BN364" s="97" t="s">
        <v>444</v>
      </c>
      <c r="BO364" s="75">
        <v>28086</v>
      </c>
      <c r="BP364" s="75" t="s">
        <v>96</v>
      </c>
      <c r="BQ364" s="76" t="s">
        <v>5571</v>
      </c>
      <c r="BR364" s="63" t="s">
        <v>118</v>
      </c>
      <c r="BS364" s="63" t="s">
        <v>5572</v>
      </c>
      <c r="BT364" s="63" t="s">
        <v>5573</v>
      </c>
      <c r="BU364" s="63" t="s">
        <v>5574</v>
      </c>
      <c r="BV364" s="478" t="s">
        <v>5575</v>
      </c>
      <c r="BW364" s="479" t="s">
        <v>5576</v>
      </c>
      <c r="BX364" s="83" t="s">
        <v>5577</v>
      </c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N364" s="85"/>
      <c r="CO364" s="85"/>
      <c r="CP364" s="85"/>
      <c r="CQ364" s="85"/>
      <c r="CR364" s="85"/>
      <c r="CS364" s="86"/>
    </row>
    <row r="365" spans="1:97" s="27" customFormat="1" ht="23.25" customHeight="1">
      <c r="A365" s="4">
        <v>290</v>
      </c>
      <c r="B365" s="6" t="s">
        <v>4837</v>
      </c>
      <c r="C365" s="6" t="s">
        <v>4837</v>
      </c>
      <c r="D365" s="6" t="s">
        <v>4837</v>
      </c>
      <c r="E365" s="6"/>
      <c r="F365" s="6"/>
      <c r="G365" s="6" t="s">
        <v>6099</v>
      </c>
      <c r="H365" s="5" t="s">
        <v>4839</v>
      </c>
      <c r="I365" s="6" t="s">
        <v>86</v>
      </c>
      <c r="J365" s="7" t="s">
        <v>166</v>
      </c>
      <c r="K365" s="7" t="s">
        <v>1993</v>
      </c>
      <c r="L365" s="8"/>
      <c r="M365" s="5">
        <v>1857</v>
      </c>
      <c r="N365" s="5">
        <v>3164030203</v>
      </c>
      <c r="O365" s="9" t="s">
        <v>6100</v>
      </c>
      <c r="P365" s="10" t="s">
        <v>6101</v>
      </c>
      <c r="Q365" s="389" t="s">
        <v>13428</v>
      </c>
      <c r="R365" s="8" t="s">
        <v>7729</v>
      </c>
      <c r="S365" s="212" t="s">
        <v>12147</v>
      </c>
      <c r="T365" s="8" t="s">
        <v>6102</v>
      </c>
      <c r="U365" s="11" t="s">
        <v>93</v>
      </c>
      <c r="V365" s="12" t="s">
        <v>94</v>
      </c>
      <c r="W365" s="13">
        <v>42646</v>
      </c>
      <c r="X365" s="5" t="str">
        <f t="shared" ca="1" si="10"/>
        <v>9 Th, 11 Bln</v>
      </c>
      <c r="Y365" s="5"/>
      <c r="Z365" s="14"/>
      <c r="AA365" s="5" t="s">
        <v>96</v>
      </c>
      <c r="AB365" s="5" t="s">
        <v>97</v>
      </c>
      <c r="AC365" s="7" t="s">
        <v>6103</v>
      </c>
      <c r="AD365" s="131" t="s">
        <v>318</v>
      </c>
      <c r="AE365" s="131" t="s">
        <v>137</v>
      </c>
      <c r="AF365" s="7" t="s">
        <v>6104</v>
      </c>
      <c r="AG365" s="7" t="s">
        <v>547</v>
      </c>
      <c r="AH365" s="7" t="s">
        <v>178</v>
      </c>
      <c r="AI365" s="7"/>
      <c r="AJ365" s="7" t="s">
        <v>103</v>
      </c>
      <c r="AK365" s="7" t="s">
        <v>104</v>
      </c>
      <c r="AL365" s="7" t="s">
        <v>6105</v>
      </c>
      <c r="AM365" s="15" t="s">
        <v>6106</v>
      </c>
      <c r="AN365" s="15" t="s">
        <v>6107</v>
      </c>
      <c r="AO365" s="8">
        <v>1</v>
      </c>
      <c r="AP365" s="8">
        <v>0</v>
      </c>
      <c r="AQ365" s="8">
        <v>0</v>
      </c>
      <c r="AR365" s="8">
        <v>0</v>
      </c>
      <c r="AS365" s="132" t="s">
        <v>873</v>
      </c>
      <c r="AT365" s="131" t="s">
        <v>4958</v>
      </c>
      <c r="AU365" s="132" t="s">
        <v>182</v>
      </c>
      <c r="AV365" s="16" t="s">
        <v>112</v>
      </c>
      <c r="AW365" s="56" t="s">
        <v>549</v>
      </c>
      <c r="AX365" s="56" t="s">
        <v>6108</v>
      </c>
      <c r="AY365" s="7" t="s">
        <v>6109</v>
      </c>
      <c r="AZ365" s="10" t="s">
        <v>6110</v>
      </c>
      <c r="BA365" s="7" t="s">
        <v>544</v>
      </c>
      <c r="BB365" s="17">
        <v>30532</v>
      </c>
      <c r="BC365" s="17" t="s">
        <v>96</v>
      </c>
      <c r="BD365" s="18" t="s">
        <v>6106</v>
      </c>
      <c r="BE365" s="7" t="s">
        <v>3623</v>
      </c>
      <c r="BF365" s="7" t="s">
        <v>6111</v>
      </c>
      <c r="BG365" s="7" t="s">
        <v>6103</v>
      </c>
      <c r="BH365" s="7" t="s">
        <v>6112</v>
      </c>
      <c r="BI365" s="19" t="s">
        <v>6106</v>
      </c>
      <c r="BJ365" s="20">
        <v>4000000</v>
      </c>
      <c r="BK365" s="21" t="s">
        <v>6113</v>
      </c>
      <c r="BL365" s="7" t="s">
        <v>6114</v>
      </c>
      <c r="BM365" s="22" t="s">
        <v>6115</v>
      </c>
      <c r="BN365" s="8" t="s">
        <v>544</v>
      </c>
      <c r="BO365" s="17">
        <v>31137</v>
      </c>
      <c r="BP365" s="17" t="s">
        <v>96</v>
      </c>
      <c r="BQ365" s="18" t="s">
        <v>6107</v>
      </c>
      <c r="BR365" s="7" t="s">
        <v>216</v>
      </c>
      <c r="BS365" s="7" t="s">
        <v>582</v>
      </c>
      <c r="BT365" s="7" t="s">
        <v>108</v>
      </c>
      <c r="BU365" s="8" t="s">
        <v>108</v>
      </c>
      <c r="BV365" s="23" t="s">
        <v>6107</v>
      </c>
      <c r="BW365" s="24"/>
      <c r="BX365" s="21" t="s">
        <v>6116</v>
      </c>
      <c r="BY365" s="21" t="s">
        <v>6117</v>
      </c>
      <c r="BZ365" s="21" t="s">
        <v>6118</v>
      </c>
      <c r="CA365" s="21">
        <v>26047</v>
      </c>
      <c r="CB365" s="21"/>
      <c r="CC365" s="21" t="s">
        <v>6119</v>
      </c>
      <c r="CD365" s="21" t="s">
        <v>216</v>
      </c>
      <c r="CE365" s="21" t="s">
        <v>6120</v>
      </c>
      <c r="CF365" s="21" t="s">
        <v>96</v>
      </c>
      <c r="CG365" s="21" t="s">
        <v>6121</v>
      </c>
      <c r="CH365" s="21" t="s">
        <v>318</v>
      </c>
      <c r="CI365" s="21" t="s">
        <v>137</v>
      </c>
      <c r="CJ365" s="21" t="s">
        <v>6122</v>
      </c>
      <c r="CK365" s="21" t="s">
        <v>6123</v>
      </c>
      <c r="CL365" s="21" t="s">
        <v>5047</v>
      </c>
      <c r="CN365" s="25"/>
      <c r="CO365" s="25"/>
      <c r="CP365" s="25"/>
      <c r="CQ365" s="25"/>
      <c r="CR365" s="25"/>
      <c r="CS365" s="26"/>
    </row>
    <row r="366" spans="1:97" s="27" customFormat="1" ht="23.25" customHeight="1">
      <c r="A366" s="4">
        <v>323</v>
      </c>
      <c r="B366" s="6" t="s">
        <v>4837</v>
      </c>
      <c r="C366" s="6" t="s">
        <v>4837</v>
      </c>
      <c r="D366" s="6" t="s">
        <v>4837</v>
      </c>
      <c r="E366" s="6"/>
      <c r="F366" s="6"/>
      <c r="G366" s="6" t="s">
        <v>6710</v>
      </c>
      <c r="H366" s="5" t="s">
        <v>4839</v>
      </c>
      <c r="I366" s="6" t="s">
        <v>86</v>
      </c>
      <c r="J366" s="7" t="s">
        <v>6711</v>
      </c>
      <c r="K366" s="7" t="s">
        <v>6712</v>
      </c>
      <c r="L366" s="8"/>
      <c r="M366" s="5">
        <v>1864</v>
      </c>
      <c r="N366" s="5">
        <v>3168114773</v>
      </c>
      <c r="O366" s="9" t="s">
        <v>6713</v>
      </c>
      <c r="P366" s="10" t="s">
        <v>6714</v>
      </c>
      <c r="Q366" s="389" t="s">
        <v>6715</v>
      </c>
      <c r="R366" s="8" t="s">
        <v>7729</v>
      </c>
      <c r="S366" s="212" t="s">
        <v>12147</v>
      </c>
      <c r="T366" s="8" t="s">
        <v>6716</v>
      </c>
      <c r="U366" s="11" t="s">
        <v>93</v>
      </c>
      <c r="V366" s="12" t="s">
        <v>263</v>
      </c>
      <c r="W366" s="13">
        <v>42697</v>
      </c>
      <c r="X366" s="5" t="str">
        <f t="shared" ca="1" si="10"/>
        <v>9 Th, 9 Bln</v>
      </c>
      <c r="Y366" s="5"/>
      <c r="Z366" s="14"/>
      <c r="AA366" s="5" t="s">
        <v>96</v>
      </c>
      <c r="AB366" s="5" t="s">
        <v>97</v>
      </c>
      <c r="AC366" s="7" t="s">
        <v>6717</v>
      </c>
      <c r="AD366" s="131">
        <v>15</v>
      </c>
      <c r="AE366" s="131" t="s">
        <v>384</v>
      </c>
      <c r="AF366" s="7" t="s">
        <v>1070</v>
      </c>
      <c r="AG366" s="7" t="s">
        <v>994</v>
      </c>
      <c r="AH366" s="7" t="s">
        <v>141</v>
      </c>
      <c r="AI366" s="7"/>
      <c r="AJ366" s="7" t="s">
        <v>2024</v>
      </c>
      <c r="AK366" s="7" t="s">
        <v>104</v>
      </c>
      <c r="AL366" s="7" t="s">
        <v>6718</v>
      </c>
      <c r="AM366" s="15"/>
      <c r="AN366" s="15" t="s">
        <v>6719</v>
      </c>
      <c r="AO366" s="8">
        <v>2</v>
      </c>
      <c r="AP366" s="8">
        <v>1</v>
      </c>
      <c r="AQ366" s="8" t="s">
        <v>127</v>
      </c>
      <c r="AR366" s="8" t="s">
        <v>127</v>
      </c>
      <c r="AS366" s="132" t="s">
        <v>271</v>
      </c>
      <c r="AT366" s="131" t="s">
        <v>5230</v>
      </c>
      <c r="AU366" s="132" t="s">
        <v>182</v>
      </c>
      <c r="AV366" s="16" t="s">
        <v>112</v>
      </c>
      <c r="AW366" s="56" t="s">
        <v>6720</v>
      </c>
      <c r="AX366" s="56" t="s">
        <v>6721</v>
      </c>
      <c r="AY366" s="7" t="s">
        <v>6722</v>
      </c>
      <c r="AZ366" s="10" t="s">
        <v>6723</v>
      </c>
      <c r="BA366" s="7" t="s">
        <v>94</v>
      </c>
      <c r="BB366" s="17">
        <v>29030</v>
      </c>
      <c r="BC366" s="17" t="s">
        <v>96</v>
      </c>
      <c r="BD366" s="18" t="s">
        <v>6724</v>
      </c>
      <c r="BE366" s="7" t="s">
        <v>118</v>
      </c>
      <c r="BF366" s="7" t="s">
        <v>119</v>
      </c>
      <c r="BG366" s="7" t="s">
        <v>6725</v>
      </c>
      <c r="BH366" s="7" t="s">
        <v>6726</v>
      </c>
      <c r="BI366" s="19" t="s">
        <v>127</v>
      </c>
      <c r="BJ366" s="20">
        <v>7500000</v>
      </c>
      <c r="BK366" s="21" t="s">
        <v>6727</v>
      </c>
      <c r="BL366" s="7" t="s">
        <v>6728</v>
      </c>
      <c r="BM366" s="22" t="s">
        <v>6729</v>
      </c>
      <c r="BN366" s="8" t="s">
        <v>94</v>
      </c>
      <c r="BO366" s="17">
        <v>28239</v>
      </c>
      <c r="BP366" s="17" t="s">
        <v>96</v>
      </c>
      <c r="BQ366" s="18" t="s">
        <v>6719</v>
      </c>
      <c r="BR366" s="7" t="s">
        <v>118</v>
      </c>
      <c r="BS366" s="7" t="s">
        <v>503</v>
      </c>
      <c r="BT366" s="7" t="s">
        <v>6730</v>
      </c>
      <c r="BU366" s="8" t="s">
        <v>6731</v>
      </c>
      <c r="BV366" s="23" t="s">
        <v>6732</v>
      </c>
      <c r="BW366" s="24">
        <v>2500000</v>
      </c>
      <c r="BX366" s="21" t="s">
        <v>6733</v>
      </c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N366" s="25"/>
      <c r="CO366" s="25"/>
      <c r="CP366" s="25"/>
      <c r="CQ366" s="25"/>
      <c r="CR366" s="25"/>
      <c r="CS366" s="26"/>
    </row>
    <row r="367" spans="1:97" s="27" customFormat="1" ht="23.25" customHeight="1">
      <c r="A367" s="4">
        <v>324</v>
      </c>
      <c r="B367" s="6"/>
      <c r="C367" s="6"/>
      <c r="D367" s="6"/>
      <c r="E367" s="6"/>
      <c r="F367" s="6"/>
      <c r="G367" s="6"/>
      <c r="H367" s="5" t="s">
        <v>4839</v>
      </c>
      <c r="I367" s="6" t="s">
        <v>86</v>
      </c>
      <c r="J367" s="7" t="s">
        <v>6734</v>
      </c>
      <c r="K367" s="7" t="s">
        <v>6735</v>
      </c>
      <c r="L367" s="8"/>
      <c r="M367" s="5">
        <v>1865</v>
      </c>
      <c r="N367" s="5" t="s">
        <v>6736</v>
      </c>
      <c r="O367" s="9" t="s">
        <v>6737</v>
      </c>
      <c r="P367" s="10" t="s">
        <v>6738</v>
      </c>
      <c r="Q367" s="389" t="s">
        <v>6739</v>
      </c>
      <c r="R367" s="8" t="s">
        <v>7729</v>
      </c>
      <c r="S367" s="212" t="s">
        <v>12147</v>
      </c>
      <c r="T367" s="8" t="s">
        <v>6740</v>
      </c>
      <c r="U367" s="11" t="s">
        <v>172</v>
      </c>
      <c r="V367" s="12" t="s">
        <v>444</v>
      </c>
      <c r="W367" s="13">
        <v>42499</v>
      </c>
      <c r="X367" s="5" t="str">
        <f t="shared" ca="1" si="10"/>
        <v>10 Th, 4 Bln</v>
      </c>
      <c r="Y367" s="5"/>
      <c r="Z367" s="14"/>
      <c r="AA367" s="5" t="s">
        <v>96</v>
      </c>
      <c r="AB367" s="5" t="s">
        <v>97</v>
      </c>
      <c r="AC367" s="7" t="s">
        <v>6741</v>
      </c>
      <c r="AD367" s="131" t="s">
        <v>546</v>
      </c>
      <c r="AE367" s="131" t="s">
        <v>384</v>
      </c>
      <c r="AF367" s="7" t="s">
        <v>177</v>
      </c>
      <c r="AG367" s="7" t="s">
        <v>178</v>
      </c>
      <c r="AH367" s="7" t="s">
        <v>178</v>
      </c>
      <c r="AI367" s="7"/>
      <c r="AJ367" s="7" t="s">
        <v>103</v>
      </c>
      <c r="AK367" s="7" t="s">
        <v>104</v>
      </c>
      <c r="AL367" s="7" t="s">
        <v>6742</v>
      </c>
      <c r="AM367" s="15"/>
      <c r="AN367" s="15" t="s">
        <v>6743</v>
      </c>
      <c r="AO367" s="8">
        <v>1</v>
      </c>
      <c r="AP367" s="8">
        <v>0</v>
      </c>
      <c r="AQ367" s="8"/>
      <c r="AR367" s="8"/>
      <c r="AS367" s="132" t="s">
        <v>6744</v>
      </c>
      <c r="AT367" s="131" t="s">
        <v>5405</v>
      </c>
      <c r="AU367" s="132" t="s">
        <v>182</v>
      </c>
      <c r="AV367" s="16" t="s">
        <v>112</v>
      </c>
      <c r="AW367" s="56"/>
      <c r="AX367" s="56" t="s">
        <v>114</v>
      </c>
      <c r="AY367" s="7" t="s">
        <v>6745</v>
      </c>
      <c r="AZ367" s="10" t="s">
        <v>6746</v>
      </c>
      <c r="BA367" s="7" t="s">
        <v>670</v>
      </c>
      <c r="BB367" s="17">
        <v>32647</v>
      </c>
      <c r="BC367" s="17" t="s">
        <v>96</v>
      </c>
      <c r="BD367" s="18" t="s">
        <v>6747</v>
      </c>
      <c r="BE367" s="7" t="s">
        <v>153</v>
      </c>
      <c r="BF367" s="7" t="s">
        <v>247</v>
      </c>
      <c r="BG367" s="7" t="s">
        <v>6748</v>
      </c>
      <c r="BH367" s="7" t="s">
        <v>6749</v>
      </c>
      <c r="BI367" s="19"/>
      <c r="BJ367" s="20" t="s">
        <v>127</v>
      </c>
      <c r="BK367" s="21" t="s">
        <v>6750</v>
      </c>
      <c r="BL367" s="7" t="s">
        <v>6751</v>
      </c>
      <c r="BM367" s="22" t="s">
        <v>6752</v>
      </c>
      <c r="BN367" s="8" t="s">
        <v>444</v>
      </c>
      <c r="BO367" s="17">
        <v>33366</v>
      </c>
      <c r="BP367" s="17" t="s">
        <v>96</v>
      </c>
      <c r="BQ367" s="18" t="s">
        <v>6743</v>
      </c>
      <c r="BR367" s="7" t="s">
        <v>153</v>
      </c>
      <c r="BS367" s="7" t="s">
        <v>127</v>
      </c>
      <c r="BT367" s="7" t="s">
        <v>127</v>
      </c>
      <c r="BU367" s="8" t="s">
        <v>127</v>
      </c>
      <c r="BV367" s="23" t="s">
        <v>127</v>
      </c>
      <c r="BW367" s="24" t="s">
        <v>127</v>
      </c>
      <c r="BX367" s="21" t="s">
        <v>6753</v>
      </c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N367" s="25"/>
      <c r="CO367" s="25"/>
      <c r="CP367" s="25"/>
      <c r="CQ367" s="25"/>
      <c r="CR367" s="25"/>
      <c r="CS367" s="26"/>
    </row>
    <row r="368" spans="1:97" s="27" customFormat="1" ht="23.25" customHeight="1">
      <c r="A368" s="4">
        <v>264</v>
      </c>
      <c r="B368" s="6" t="s">
        <v>4837</v>
      </c>
      <c r="C368" s="6" t="s">
        <v>4837</v>
      </c>
      <c r="D368" s="6" t="s">
        <v>4837</v>
      </c>
      <c r="E368" s="6"/>
      <c r="F368" s="6"/>
      <c r="G368" s="6" t="s">
        <v>5635</v>
      </c>
      <c r="H368" s="5" t="s">
        <v>4839</v>
      </c>
      <c r="I368" s="6" t="s">
        <v>86</v>
      </c>
      <c r="J368" s="7" t="s">
        <v>5636</v>
      </c>
      <c r="K368" s="7" t="s">
        <v>5637</v>
      </c>
      <c r="L368" s="8"/>
      <c r="M368" s="5">
        <v>1866</v>
      </c>
      <c r="N368" s="5">
        <v>3160370204</v>
      </c>
      <c r="O368" s="9" t="s">
        <v>5638</v>
      </c>
      <c r="P368" s="10" t="s">
        <v>5639</v>
      </c>
      <c r="Q368" s="389" t="s">
        <v>5640</v>
      </c>
      <c r="R368" s="8" t="s">
        <v>7729</v>
      </c>
      <c r="S368" s="212" t="s">
        <v>12147</v>
      </c>
      <c r="T368" s="8" t="s">
        <v>5641</v>
      </c>
      <c r="U368" s="11" t="s">
        <v>172</v>
      </c>
      <c r="V368" s="12" t="s">
        <v>544</v>
      </c>
      <c r="W368" s="13">
        <v>42706</v>
      </c>
      <c r="X368" s="5" t="str">
        <f t="shared" ca="1" si="10"/>
        <v>9 Th, 9 Bln</v>
      </c>
      <c r="Y368" s="5"/>
      <c r="Z368" s="14"/>
      <c r="AA368" s="5" t="s">
        <v>96</v>
      </c>
      <c r="AB368" s="5" t="s">
        <v>97</v>
      </c>
      <c r="AC368" s="7" t="s">
        <v>5642</v>
      </c>
      <c r="AD368" s="131" t="s">
        <v>293</v>
      </c>
      <c r="AE368" s="131">
        <v>15</v>
      </c>
      <c r="AF368" s="7" t="s">
        <v>615</v>
      </c>
      <c r="AG368" s="7" t="s">
        <v>178</v>
      </c>
      <c r="AH368" s="7" t="s">
        <v>178</v>
      </c>
      <c r="AI368" s="7"/>
      <c r="AJ368" s="7" t="s">
        <v>103</v>
      </c>
      <c r="AK368" s="7" t="s">
        <v>179</v>
      </c>
      <c r="AL368" s="7" t="s">
        <v>5304</v>
      </c>
      <c r="AM368" s="15" t="s">
        <v>5643</v>
      </c>
      <c r="AN368" s="15" t="s">
        <v>5643</v>
      </c>
      <c r="AO368" s="8">
        <v>3</v>
      </c>
      <c r="AP368" s="8">
        <v>2</v>
      </c>
      <c r="AQ368" s="8"/>
      <c r="AR368" s="8"/>
      <c r="AS368" s="132" t="s">
        <v>2383</v>
      </c>
      <c r="AT368" s="131" t="s">
        <v>1266</v>
      </c>
      <c r="AU368" s="132" t="s">
        <v>182</v>
      </c>
      <c r="AV368" s="16" t="s">
        <v>112</v>
      </c>
      <c r="AW368" s="56" t="s">
        <v>113</v>
      </c>
      <c r="AX368" s="56" t="s">
        <v>466</v>
      </c>
      <c r="AY368" s="7" t="s">
        <v>5644</v>
      </c>
      <c r="AZ368" s="10" t="s">
        <v>5645</v>
      </c>
      <c r="BA368" s="7" t="s">
        <v>544</v>
      </c>
      <c r="BB368" s="17">
        <v>31072</v>
      </c>
      <c r="BC368" s="17" t="s">
        <v>96</v>
      </c>
      <c r="BD368" s="18" t="s">
        <v>5646</v>
      </c>
      <c r="BE368" s="7" t="s">
        <v>216</v>
      </c>
      <c r="BF368" s="7" t="s">
        <v>247</v>
      </c>
      <c r="BG368" s="7" t="s">
        <v>247</v>
      </c>
      <c r="BH368" s="7" t="s">
        <v>5647</v>
      </c>
      <c r="BI368" s="19" t="s">
        <v>5646</v>
      </c>
      <c r="BJ368" s="20">
        <v>10000000</v>
      </c>
      <c r="BK368" s="21" t="s">
        <v>5648</v>
      </c>
      <c r="BL368" s="7" t="s">
        <v>5649</v>
      </c>
      <c r="BM368" s="22" t="s">
        <v>5650</v>
      </c>
      <c r="BN368" s="8" t="s">
        <v>511</v>
      </c>
      <c r="BO368" s="17">
        <v>32350</v>
      </c>
      <c r="BP368" s="17" t="s">
        <v>96</v>
      </c>
      <c r="BQ368" s="18" t="s">
        <v>5643</v>
      </c>
      <c r="BR368" s="7" t="s">
        <v>216</v>
      </c>
      <c r="BS368" s="7" t="s">
        <v>126</v>
      </c>
      <c r="BT368" s="7" t="s">
        <v>108</v>
      </c>
      <c r="BU368" s="8" t="s">
        <v>108</v>
      </c>
      <c r="BV368" s="23"/>
      <c r="BW368" s="24"/>
      <c r="BX368" s="21" t="s">
        <v>5651</v>
      </c>
      <c r="BY368" s="21" t="s">
        <v>5652</v>
      </c>
      <c r="BZ368" s="21" t="s">
        <v>5047</v>
      </c>
      <c r="CA368" s="21">
        <v>22646</v>
      </c>
      <c r="CB368" s="21"/>
      <c r="CC368" s="21"/>
      <c r="CD368" s="21" t="s">
        <v>3623</v>
      </c>
      <c r="CE368" s="21" t="s">
        <v>5653</v>
      </c>
      <c r="CF368" s="21" t="s">
        <v>96</v>
      </c>
      <c r="CG368" s="21" t="s">
        <v>5654</v>
      </c>
      <c r="CH368" s="21">
        <v>63</v>
      </c>
      <c r="CI368" s="21" t="s">
        <v>294</v>
      </c>
      <c r="CJ368" s="21" t="s">
        <v>5655</v>
      </c>
      <c r="CK368" s="21" t="s">
        <v>5656</v>
      </c>
      <c r="CL368" s="21" t="s">
        <v>4905</v>
      </c>
      <c r="CN368" s="25"/>
      <c r="CO368" s="25"/>
      <c r="CP368" s="25"/>
      <c r="CQ368" s="25"/>
      <c r="CR368" s="25"/>
      <c r="CS368" s="26"/>
    </row>
    <row r="369" spans="1:97" s="27" customFormat="1" ht="23.25" customHeight="1">
      <c r="A369" s="4">
        <v>236</v>
      </c>
      <c r="B369" s="6" t="s">
        <v>4837</v>
      </c>
      <c r="C369" s="6" t="s">
        <v>4837</v>
      </c>
      <c r="D369" s="6" t="s">
        <v>4837</v>
      </c>
      <c r="E369" s="6"/>
      <c r="F369" s="6"/>
      <c r="G369" s="6" t="s">
        <v>5074</v>
      </c>
      <c r="H369" s="5" t="s">
        <v>4839</v>
      </c>
      <c r="I369" s="6" t="s">
        <v>86</v>
      </c>
      <c r="J369" s="7" t="s">
        <v>4373</v>
      </c>
      <c r="K369" s="7" t="s">
        <v>5075</v>
      </c>
      <c r="L369" s="8"/>
      <c r="M369" s="5">
        <v>1868</v>
      </c>
      <c r="N369" s="5">
        <v>3161557275</v>
      </c>
      <c r="O369" s="9" t="s">
        <v>5076</v>
      </c>
      <c r="P369" s="10" t="s">
        <v>5077</v>
      </c>
      <c r="Q369" s="389" t="s">
        <v>5078</v>
      </c>
      <c r="R369" s="8" t="s">
        <v>7729</v>
      </c>
      <c r="S369" s="212" t="s">
        <v>12147</v>
      </c>
      <c r="T369" s="8" t="s">
        <v>5079</v>
      </c>
      <c r="U369" s="11" t="s">
        <v>172</v>
      </c>
      <c r="V369" s="12" t="s">
        <v>94</v>
      </c>
      <c r="W369" s="13">
        <v>42600</v>
      </c>
      <c r="X369" s="5" t="str">
        <f t="shared" ca="1" si="10"/>
        <v>10 Th, 0 Bln</v>
      </c>
      <c r="Y369" s="5"/>
      <c r="Z369" s="14"/>
      <c r="AA369" s="5" t="s">
        <v>96</v>
      </c>
      <c r="AB369" s="5" t="s">
        <v>97</v>
      </c>
      <c r="AC369" s="7" t="s">
        <v>3687</v>
      </c>
      <c r="AD369" s="131" t="s">
        <v>265</v>
      </c>
      <c r="AE369" s="131" t="s">
        <v>890</v>
      </c>
      <c r="AF369" s="7" t="s">
        <v>139</v>
      </c>
      <c r="AG369" s="7" t="s">
        <v>140</v>
      </c>
      <c r="AH369" s="7" t="s">
        <v>141</v>
      </c>
      <c r="AI369" s="7"/>
      <c r="AJ369" s="7" t="s">
        <v>1374</v>
      </c>
      <c r="AK369" s="7" t="s">
        <v>104</v>
      </c>
      <c r="AL369" s="7" t="s">
        <v>4915</v>
      </c>
      <c r="AM369" s="15"/>
      <c r="AN369" s="15" t="s">
        <v>3689</v>
      </c>
      <c r="AO369" s="8">
        <v>2</v>
      </c>
      <c r="AP369" s="8">
        <v>2</v>
      </c>
      <c r="AQ369" s="8" t="s">
        <v>127</v>
      </c>
      <c r="AR369" s="8" t="s">
        <v>127</v>
      </c>
      <c r="AS369" s="132" t="s">
        <v>5080</v>
      </c>
      <c r="AT369" s="131" t="s">
        <v>272</v>
      </c>
      <c r="AU369" s="132" t="s">
        <v>182</v>
      </c>
      <c r="AV369" s="16" t="s">
        <v>112</v>
      </c>
      <c r="AW369" s="56" t="s">
        <v>549</v>
      </c>
      <c r="AX369" s="56" t="s">
        <v>183</v>
      </c>
      <c r="AY369" s="7" t="s">
        <v>5081</v>
      </c>
      <c r="AZ369" s="10">
        <v>6471051012860010</v>
      </c>
      <c r="BA369" s="7" t="s">
        <v>424</v>
      </c>
      <c r="BB369" s="17">
        <v>31756</v>
      </c>
      <c r="BC369" s="17" t="s">
        <v>96</v>
      </c>
      <c r="BD369" s="18" t="s">
        <v>3691</v>
      </c>
      <c r="BE369" s="7" t="s">
        <v>118</v>
      </c>
      <c r="BF369" s="7" t="s">
        <v>247</v>
      </c>
      <c r="BG369" s="7" t="s">
        <v>5082</v>
      </c>
      <c r="BH369" s="7" t="s">
        <v>5083</v>
      </c>
      <c r="BI369" s="19" t="s">
        <v>127</v>
      </c>
      <c r="BJ369" s="20">
        <v>5000000</v>
      </c>
      <c r="BK369" s="21" t="s">
        <v>5084</v>
      </c>
      <c r="BL369" s="7" t="s">
        <v>3692</v>
      </c>
      <c r="BM369" s="22" t="s">
        <v>3693</v>
      </c>
      <c r="BN369" s="8" t="s">
        <v>94</v>
      </c>
      <c r="BO369" s="17">
        <v>31719</v>
      </c>
      <c r="BP369" s="17" t="s">
        <v>96</v>
      </c>
      <c r="BQ369" s="18" t="s">
        <v>3689</v>
      </c>
      <c r="BR369" s="7" t="s">
        <v>216</v>
      </c>
      <c r="BS369" s="7" t="s">
        <v>254</v>
      </c>
      <c r="BT369" s="7" t="s">
        <v>127</v>
      </c>
      <c r="BU369" s="8" t="s">
        <v>127</v>
      </c>
      <c r="BV369" s="23" t="s">
        <v>127</v>
      </c>
      <c r="BW369" s="24" t="s">
        <v>127</v>
      </c>
      <c r="BX369" s="21" t="s">
        <v>5085</v>
      </c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N369" s="25"/>
      <c r="CO369" s="25"/>
      <c r="CP369" s="25"/>
      <c r="CQ369" s="25"/>
      <c r="CR369" s="25"/>
      <c r="CS369" s="26"/>
    </row>
    <row r="370" spans="1:97" s="27" customFormat="1" ht="23.25" customHeight="1">
      <c r="A370" s="4">
        <v>266</v>
      </c>
      <c r="B370" s="6" t="s">
        <v>4837</v>
      </c>
      <c r="C370" s="6" t="s">
        <v>4837</v>
      </c>
      <c r="D370" s="6" t="s">
        <v>4837</v>
      </c>
      <c r="E370" s="6"/>
      <c r="F370" s="6"/>
      <c r="G370" s="6" t="s">
        <v>5676</v>
      </c>
      <c r="H370" s="5" t="s">
        <v>4839</v>
      </c>
      <c r="I370" s="6" t="s">
        <v>86</v>
      </c>
      <c r="J370" s="7" t="s">
        <v>5677</v>
      </c>
      <c r="K370" s="7" t="s">
        <v>5678</v>
      </c>
      <c r="L370" s="8"/>
      <c r="M370" s="5">
        <v>1872</v>
      </c>
      <c r="N370" s="5">
        <v>3172133891</v>
      </c>
      <c r="O370" s="9" t="s">
        <v>5679</v>
      </c>
      <c r="P370" s="10" t="s">
        <v>5680</v>
      </c>
      <c r="Q370" s="389" t="s">
        <v>5681</v>
      </c>
      <c r="R370" s="8" t="s">
        <v>7729</v>
      </c>
      <c r="S370" s="212" t="s">
        <v>12147</v>
      </c>
      <c r="T370" s="8" t="s">
        <v>5682</v>
      </c>
      <c r="U370" s="11" t="s">
        <v>172</v>
      </c>
      <c r="V370" s="12" t="s">
        <v>469</v>
      </c>
      <c r="W370" s="13">
        <v>42885</v>
      </c>
      <c r="X370" s="5" t="str">
        <f t="shared" ca="1" si="10"/>
        <v>9 Th, 3 Bln</v>
      </c>
      <c r="Y370" s="5"/>
      <c r="Z370" s="14"/>
      <c r="AA370" s="5" t="s">
        <v>96</v>
      </c>
      <c r="AB370" s="5" t="s">
        <v>97</v>
      </c>
      <c r="AC370" s="7" t="s">
        <v>5683</v>
      </c>
      <c r="AD370" s="131" t="s">
        <v>293</v>
      </c>
      <c r="AE370" s="131" t="s">
        <v>293</v>
      </c>
      <c r="AF370" s="7" t="s">
        <v>921</v>
      </c>
      <c r="AG370" s="7" t="s">
        <v>687</v>
      </c>
      <c r="AH370" s="7" t="s">
        <v>141</v>
      </c>
      <c r="AI370" s="7"/>
      <c r="AJ370" s="7" t="s">
        <v>1374</v>
      </c>
      <c r="AK370" s="7" t="s">
        <v>104</v>
      </c>
      <c r="AL370" s="7" t="s">
        <v>5684</v>
      </c>
      <c r="AM370" s="15" t="s">
        <v>5685</v>
      </c>
      <c r="AN370" s="15" t="s">
        <v>5685</v>
      </c>
      <c r="AO370" s="8">
        <v>1</v>
      </c>
      <c r="AP370" s="8">
        <v>1</v>
      </c>
      <c r="AQ370" s="8"/>
      <c r="AR370" s="8"/>
      <c r="AS370" s="132" t="s">
        <v>4957</v>
      </c>
      <c r="AT370" s="131" t="s">
        <v>272</v>
      </c>
      <c r="AU370" s="132" t="s">
        <v>182</v>
      </c>
      <c r="AV370" s="16" t="s">
        <v>112</v>
      </c>
      <c r="AW370" s="56" t="s">
        <v>643</v>
      </c>
      <c r="AX370" s="56" t="s">
        <v>114</v>
      </c>
      <c r="AY370" s="7" t="s">
        <v>5686</v>
      </c>
      <c r="AZ370" s="10" t="s">
        <v>5687</v>
      </c>
      <c r="BA370" s="7" t="s">
        <v>469</v>
      </c>
      <c r="BB370" s="17">
        <v>33817</v>
      </c>
      <c r="BC370" s="17" t="s">
        <v>96</v>
      </c>
      <c r="BD370" s="18" t="s">
        <v>5685</v>
      </c>
      <c r="BE370" s="7" t="s">
        <v>118</v>
      </c>
      <c r="BF370" s="7" t="s">
        <v>471</v>
      </c>
      <c r="BG370" s="7" t="s">
        <v>5688</v>
      </c>
      <c r="BH370" s="7" t="s">
        <v>5689</v>
      </c>
      <c r="BI370" s="19" t="s">
        <v>5690</v>
      </c>
      <c r="BJ370" s="20">
        <v>11000000</v>
      </c>
      <c r="BK370" s="21" t="s">
        <v>5691</v>
      </c>
      <c r="BL370" s="7" t="s">
        <v>5692</v>
      </c>
      <c r="BM370" s="22" t="s">
        <v>5693</v>
      </c>
      <c r="BN370" s="8" t="s">
        <v>469</v>
      </c>
      <c r="BO370" s="17">
        <v>33745</v>
      </c>
      <c r="BP370" s="17" t="s">
        <v>96</v>
      </c>
      <c r="BQ370" s="18" t="s">
        <v>5694</v>
      </c>
      <c r="BR370" s="7" t="s">
        <v>118</v>
      </c>
      <c r="BS370" s="7" t="s">
        <v>126</v>
      </c>
      <c r="BT370" s="7" t="s">
        <v>108</v>
      </c>
      <c r="BU370" s="8" t="s">
        <v>127</v>
      </c>
      <c r="BV370" s="23"/>
      <c r="BW370" s="24"/>
      <c r="BX370" s="21" t="s">
        <v>5695</v>
      </c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N370" s="25"/>
      <c r="CO370" s="25"/>
      <c r="CP370" s="25"/>
      <c r="CQ370" s="25"/>
      <c r="CR370" s="25"/>
      <c r="CS370" s="26"/>
    </row>
    <row r="371" spans="1:97" s="27" customFormat="1" ht="23.25" customHeight="1">
      <c r="A371" s="4">
        <v>267</v>
      </c>
      <c r="B371" s="6" t="s">
        <v>4837</v>
      </c>
      <c r="C371" s="6" t="s">
        <v>4837</v>
      </c>
      <c r="D371" s="6" t="s">
        <v>4837</v>
      </c>
      <c r="E371" s="6"/>
      <c r="F371" s="6"/>
      <c r="G371" s="6" t="s">
        <v>5696</v>
      </c>
      <c r="H371" s="5" t="s">
        <v>4839</v>
      </c>
      <c r="I371" s="6" t="s">
        <v>86</v>
      </c>
      <c r="J371" s="7" t="s">
        <v>657</v>
      </c>
      <c r="K371" s="7" t="s">
        <v>5658</v>
      </c>
      <c r="L371" s="8"/>
      <c r="M371" s="5">
        <v>1883</v>
      </c>
      <c r="N371" s="5">
        <v>3170211504</v>
      </c>
      <c r="O371" s="9" t="s">
        <v>5697</v>
      </c>
      <c r="P371" s="10" t="s">
        <v>5698</v>
      </c>
      <c r="Q371" s="389" t="s">
        <v>5699</v>
      </c>
      <c r="R371" s="8" t="s">
        <v>7729</v>
      </c>
      <c r="S371" s="212" t="s">
        <v>12147</v>
      </c>
      <c r="T371" s="8" t="s">
        <v>5700</v>
      </c>
      <c r="U371" s="11" t="s">
        <v>172</v>
      </c>
      <c r="V371" s="12" t="s">
        <v>502</v>
      </c>
      <c r="W371" s="13">
        <v>42742</v>
      </c>
      <c r="X371" s="5" t="str">
        <f t="shared" ca="1" si="10"/>
        <v>9 Th, 8 Bln</v>
      </c>
      <c r="Y371" s="5"/>
      <c r="Z371" s="14"/>
      <c r="AA371" s="5" t="s">
        <v>96</v>
      </c>
      <c r="AB371" s="5" t="s">
        <v>97</v>
      </c>
      <c r="AC371" s="7" t="s">
        <v>5701</v>
      </c>
      <c r="AD371" s="131" t="s">
        <v>546</v>
      </c>
      <c r="AE371" s="131" t="s">
        <v>384</v>
      </c>
      <c r="AF371" s="7" t="s">
        <v>5702</v>
      </c>
      <c r="AG371" s="7" t="s">
        <v>241</v>
      </c>
      <c r="AH371" s="7" t="s">
        <v>241</v>
      </c>
      <c r="AI371" s="7"/>
      <c r="AJ371" s="7" t="s">
        <v>103</v>
      </c>
      <c r="AK371" s="7" t="s">
        <v>104</v>
      </c>
      <c r="AL371" s="7" t="s">
        <v>5208</v>
      </c>
      <c r="AM371" s="15"/>
      <c r="AN371" s="15" t="s">
        <v>5703</v>
      </c>
      <c r="AO371" s="8">
        <v>1</v>
      </c>
      <c r="AP371" s="8">
        <v>1</v>
      </c>
      <c r="AQ371" s="8" t="s">
        <v>127</v>
      </c>
      <c r="AR371" s="8" t="s">
        <v>127</v>
      </c>
      <c r="AS371" s="132" t="s">
        <v>4957</v>
      </c>
      <c r="AT371" s="131" t="s">
        <v>5190</v>
      </c>
      <c r="AU371" s="132" t="s">
        <v>149</v>
      </c>
      <c r="AV371" s="16" t="s">
        <v>112</v>
      </c>
      <c r="AW371" s="56" t="s">
        <v>113</v>
      </c>
      <c r="AX371" s="56" t="s">
        <v>183</v>
      </c>
      <c r="AY371" s="7" t="s">
        <v>5704</v>
      </c>
      <c r="AZ371" s="10" t="s">
        <v>5705</v>
      </c>
      <c r="BA371" s="7" t="s">
        <v>2016</v>
      </c>
      <c r="BB371" s="17">
        <v>33035</v>
      </c>
      <c r="BC371" s="17" t="s">
        <v>96</v>
      </c>
      <c r="BD371" s="18" t="s">
        <v>5706</v>
      </c>
      <c r="BE371" s="7" t="s">
        <v>118</v>
      </c>
      <c r="BF371" s="7" t="s">
        <v>5707</v>
      </c>
      <c r="BG371" s="7" t="s">
        <v>5708</v>
      </c>
      <c r="BH371" s="7" t="s">
        <v>5709</v>
      </c>
      <c r="BI371" s="19" t="s">
        <v>5710</v>
      </c>
      <c r="BJ371" s="20">
        <v>13500000</v>
      </c>
      <c r="BK371" s="21" t="s">
        <v>5711</v>
      </c>
      <c r="BL371" s="7" t="s">
        <v>5712</v>
      </c>
      <c r="BM371" s="22" t="s">
        <v>5713</v>
      </c>
      <c r="BN371" s="8" t="s">
        <v>94</v>
      </c>
      <c r="BO371" s="17">
        <v>34530</v>
      </c>
      <c r="BP371" s="17" t="s">
        <v>96</v>
      </c>
      <c r="BQ371" s="18" t="s">
        <v>5714</v>
      </c>
      <c r="BR371" s="7" t="s">
        <v>118</v>
      </c>
      <c r="BS371" s="7" t="s">
        <v>195</v>
      </c>
      <c r="BT371" s="7" t="s">
        <v>127</v>
      </c>
      <c r="BU371" s="8" t="s">
        <v>127</v>
      </c>
      <c r="BV371" s="23"/>
      <c r="BW371" s="24">
        <v>5000000</v>
      </c>
      <c r="BX371" s="21" t="s">
        <v>5715</v>
      </c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N371" s="25"/>
      <c r="CO371" s="25"/>
      <c r="CP371" s="25"/>
      <c r="CQ371" s="25"/>
      <c r="CR371" s="25"/>
      <c r="CS371" s="26"/>
    </row>
    <row r="372" spans="1:97" s="27" customFormat="1" ht="23.25" customHeight="1">
      <c r="A372" s="4">
        <v>298</v>
      </c>
      <c r="B372" s="6" t="s">
        <v>4837</v>
      </c>
      <c r="C372" s="6" t="s">
        <v>4837</v>
      </c>
      <c r="D372" s="6" t="s">
        <v>4837</v>
      </c>
      <c r="E372" s="6"/>
      <c r="F372" s="6"/>
      <c r="G372" s="6" t="s">
        <v>6252</v>
      </c>
      <c r="H372" s="5" t="s">
        <v>4839</v>
      </c>
      <c r="I372" s="6" t="s">
        <v>86</v>
      </c>
      <c r="J372" s="7" t="s">
        <v>166</v>
      </c>
      <c r="K372" s="7" t="s">
        <v>1993</v>
      </c>
      <c r="L372" s="8"/>
      <c r="M372" s="5">
        <v>1884</v>
      </c>
      <c r="N372" s="5">
        <v>3175675107</v>
      </c>
      <c r="O372" s="9" t="s">
        <v>6253</v>
      </c>
      <c r="P372" s="10" t="s">
        <v>6254</v>
      </c>
      <c r="Q372" s="389" t="s">
        <v>13433</v>
      </c>
      <c r="R372" s="8" t="s">
        <v>7729</v>
      </c>
      <c r="S372" s="212" t="s">
        <v>12147</v>
      </c>
      <c r="T372" s="8" t="s">
        <v>6255</v>
      </c>
      <c r="U372" s="11" t="s">
        <v>172</v>
      </c>
      <c r="V372" s="12" t="s">
        <v>94</v>
      </c>
      <c r="W372" s="13">
        <v>42857</v>
      </c>
      <c r="X372" s="5" t="str">
        <f t="shared" ca="1" si="10"/>
        <v>9 Th, 4 Bln</v>
      </c>
      <c r="Y372" s="5"/>
      <c r="Z372" s="14"/>
      <c r="AA372" s="5" t="s">
        <v>96</v>
      </c>
      <c r="AB372" s="5" t="s">
        <v>97</v>
      </c>
      <c r="AC372" s="7" t="s">
        <v>6256</v>
      </c>
      <c r="AD372" s="131" t="s">
        <v>100</v>
      </c>
      <c r="AE372" s="131" t="s">
        <v>207</v>
      </c>
      <c r="AF372" s="7" t="s">
        <v>1759</v>
      </c>
      <c r="AG372" s="7" t="s">
        <v>178</v>
      </c>
      <c r="AH372" s="7" t="s">
        <v>178</v>
      </c>
      <c r="AI372" s="7"/>
      <c r="AJ372" s="7" t="s">
        <v>103</v>
      </c>
      <c r="AK372" s="7" t="s">
        <v>104</v>
      </c>
      <c r="AL372" s="7" t="s">
        <v>4986</v>
      </c>
      <c r="AM372" s="15"/>
      <c r="AN372" s="15" t="s">
        <v>6257</v>
      </c>
      <c r="AO372" s="8">
        <v>2</v>
      </c>
      <c r="AP372" s="8">
        <v>1</v>
      </c>
      <c r="AQ372" s="8">
        <v>0</v>
      </c>
      <c r="AR372" s="8">
        <v>0</v>
      </c>
      <c r="AS372" s="132" t="s">
        <v>2137</v>
      </c>
      <c r="AT372" s="131" t="s">
        <v>1266</v>
      </c>
      <c r="AU372" s="132" t="s">
        <v>182</v>
      </c>
      <c r="AV372" s="16" t="s">
        <v>112</v>
      </c>
      <c r="AW372" s="56" t="s">
        <v>392</v>
      </c>
      <c r="AX372" s="56" t="s">
        <v>183</v>
      </c>
      <c r="AY372" s="7" t="s">
        <v>6258</v>
      </c>
      <c r="AZ372" s="10" t="s">
        <v>6259</v>
      </c>
      <c r="BA372" s="7" t="s">
        <v>94</v>
      </c>
      <c r="BB372" s="17">
        <v>32560</v>
      </c>
      <c r="BC372" s="17" t="s">
        <v>96</v>
      </c>
      <c r="BD372" s="18" t="s">
        <v>6260</v>
      </c>
      <c r="BE372" s="7" t="s">
        <v>118</v>
      </c>
      <c r="BF372" s="7" t="s">
        <v>6261</v>
      </c>
      <c r="BG372" s="7" t="s">
        <v>6262</v>
      </c>
      <c r="BH372" s="7" t="s">
        <v>6263</v>
      </c>
      <c r="BI372" s="19"/>
      <c r="BJ372" s="20" t="s">
        <v>190</v>
      </c>
      <c r="BK372" s="21" t="s">
        <v>6264</v>
      </c>
      <c r="BL372" s="7" t="s">
        <v>6265</v>
      </c>
      <c r="BM372" s="22" t="s">
        <v>6266</v>
      </c>
      <c r="BN372" s="8" t="s">
        <v>94</v>
      </c>
      <c r="BO372" s="17">
        <v>32199</v>
      </c>
      <c r="BP372" s="17" t="s">
        <v>96</v>
      </c>
      <c r="BQ372" s="18" t="s">
        <v>6257</v>
      </c>
      <c r="BR372" s="7" t="s">
        <v>118</v>
      </c>
      <c r="BS372" s="7" t="s">
        <v>254</v>
      </c>
      <c r="BT372" s="7" t="s">
        <v>127</v>
      </c>
      <c r="BU372" s="8" t="s">
        <v>127</v>
      </c>
      <c r="BV372" s="23"/>
      <c r="BW372" s="24" t="s">
        <v>127</v>
      </c>
      <c r="BX372" s="21" t="s">
        <v>6267</v>
      </c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N372" s="25"/>
      <c r="CO372" s="25"/>
      <c r="CP372" s="25"/>
      <c r="CQ372" s="25"/>
      <c r="CR372" s="25"/>
      <c r="CS372" s="26"/>
    </row>
    <row r="373" spans="1:97" s="27" customFormat="1" ht="23.25" customHeight="1">
      <c r="A373" s="4">
        <v>329</v>
      </c>
      <c r="B373" s="61"/>
      <c r="C373" s="61"/>
      <c r="D373" s="61"/>
      <c r="E373" s="61"/>
      <c r="F373" s="61"/>
      <c r="G373" s="61"/>
      <c r="H373" s="62" t="s">
        <v>6820</v>
      </c>
      <c r="I373" s="61" t="s">
        <v>4774</v>
      </c>
      <c r="J373" s="63" t="s">
        <v>6821</v>
      </c>
      <c r="K373" s="63" t="s">
        <v>6822</v>
      </c>
      <c r="L373" s="64"/>
      <c r="M373" s="62">
        <v>2067</v>
      </c>
      <c r="N373" s="62">
        <v>3177008877</v>
      </c>
      <c r="O373" s="65" t="s">
        <v>6823</v>
      </c>
      <c r="P373" s="66" t="s">
        <v>6824</v>
      </c>
      <c r="Q373" s="391" t="s">
        <v>6825</v>
      </c>
      <c r="R373" s="8" t="s">
        <v>7729</v>
      </c>
      <c r="S373" s="212" t="s">
        <v>12147</v>
      </c>
      <c r="T373" s="64" t="s">
        <v>6826</v>
      </c>
      <c r="U373" s="67" t="s">
        <v>93</v>
      </c>
      <c r="V373" s="68" t="s">
        <v>94</v>
      </c>
      <c r="W373" s="69">
        <v>42827</v>
      </c>
      <c r="X373" s="62" t="str">
        <f ca="1">""&amp;DATEDIF(Z373,TODAY(),"y")&amp;" Th, "&amp;DATEDIF(Z373,TODAY(),"ym")&amp;" Bln"</f>
        <v>9 Th, 5 Bln</v>
      </c>
      <c r="Y373" s="62"/>
      <c r="Z373" s="14">
        <v>42827</v>
      </c>
      <c r="AA373" s="62" t="s">
        <v>96</v>
      </c>
      <c r="AB373" s="62"/>
      <c r="AC373" s="70" t="s">
        <v>6827</v>
      </c>
      <c r="AD373" s="133">
        <v>1</v>
      </c>
      <c r="AE373" s="64">
        <v>22</v>
      </c>
      <c r="AF373" s="63"/>
      <c r="AG373" s="63" t="s">
        <v>241</v>
      </c>
      <c r="AH373" s="63" t="s">
        <v>241</v>
      </c>
      <c r="AI373" s="63">
        <v>65122</v>
      </c>
      <c r="AJ373" s="63" t="s">
        <v>103</v>
      </c>
      <c r="AK373" s="63"/>
      <c r="AL373" s="71"/>
      <c r="AM373" s="71"/>
      <c r="AN373" s="72"/>
      <c r="AO373" s="64">
        <v>2</v>
      </c>
      <c r="AP373" s="64">
        <v>3</v>
      </c>
      <c r="AQ373" s="64"/>
      <c r="AR373" s="134"/>
      <c r="AS373" s="133"/>
      <c r="AT373" s="134"/>
      <c r="AU373" s="134"/>
      <c r="AV373" s="73"/>
      <c r="AW373" s="135"/>
      <c r="AX373" s="63"/>
      <c r="AY373" s="74" t="s">
        <v>6828</v>
      </c>
      <c r="AZ373" s="63" t="s">
        <v>3670</v>
      </c>
      <c r="BA373" s="75" t="s">
        <v>1031</v>
      </c>
      <c r="BB373" s="75" t="s">
        <v>6829</v>
      </c>
      <c r="BC373" s="76" t="s">
        <v>96</v>
      </c>
      <c r="BD373" s="77"/>
      <c r="BE373" s="63" t="s">
        <v>153</v>
      </c>
      <c r="BF373" s="63" t="s">
        <v>2122</v>
      </c>
      <c r="BG373" s="63"/>
      <c r="BH373" s="78"/>
      <c r="BI373" s="79"/>
      <c r="BJ373" s="80"/>
      <c r="BK373" s="81"/>
      <c r="BL373" s="82" t="s">
        <v>6830</v>
      </c>
      <c r="BM373" s="77" t="s">
        <v>3676</v>
      </c>
      <c r="BN373" s="145" t="s">
        <v>3677</v>
      </c>
      <c r="BO373" s="75">
        <v>32107</v>
      </c>
      <c r="BP373" s="76" t="s">
        <v>96</v>
      </c>
      <c r="BQ373" s="77"/>
      <c r="BR373" s="63"/>
      <c r="BS373" s="63"/>
      <c r="BT373" s="64"/>
      <c r="BU373" s="64"/>
      <c r="BV373" s="79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4"/>
      <c r="CN373" s="25"/>
      <c r="CO373" s="25"/>
      <c r="CP373" s="25"/>
      <c r="CQ373" s="25"/>
      <c r="CR373" s="25"/>
      <c r="CS373" s="26"/>
    </row>
    <row r="374" spans="1:97" s="27" customFormat="1" ht="23.25" customHeight="1">
      <c r="A374" s="4">
        <v>243</v>
      </c>
      <c r="B374" s="6" t="s">
        <v>4837</v>
      </c>
      <c r="C374" s="6" t="s">
        <v>4837</v>
      </c>
      <c r="D374" s="6" t="s">
        <v>4837</v>
      </c>
      <c r="E374" s="6"/>
      <c r="F374" s="6"/>
      <c r="G374" s="6" t="s">
        <v>5222</v>
      </c>
      <c r="H374" s="5" t="s">
        <v>4839</v>
      </c>
      <c r="I374" s="6" t="s">
        <v>86</v>
      </c>
      <c r="J374" s="7" t="s">
        <v>5223</v>
      </c>
      <c r="K374" s="7" t="s">
        <v>5224</v>
      </c>
      <c r="L374" s="8"/>
      <c r="M374" s="5">
        <v>1891</v>
      </c>
      <c r="N374" s="5">
        <v>3176969161</v>
      </c>
      <c r="O374" s="9" t="s">
        <v>5225</v>
      </c>
      <c r="P374" s="10" t="s">
        <v>5226</v>
      </c>
      <c r="Q374" s="389" t="s">
        <v>5227</v>
      </c>
      <c r="R374" s="8" t="s">
        <v>7729</v>
      </c>
      <c r="S374" s="212" t="s">
        <v>12147</v>
      </c>
      <c r="T374" s="8" t="s">
        <v>5007</v>
      </c>
      <c r="U374" s="11" t="s">
        <v>93</v>
      </c>
      <c r="V374" s="12" t="s">
        <v>4601</v>
      </c>
      <c r="W374" s="13">
        <v>42925</v>
      </c>
      <c r="X374" s="5" t="str">
        <f t="shared" ref="X374:X386" ca="1" si="11">""&amp;DATEDIF(W374,TODAY(),"y")&amp;" Th, "&amp;DATEDIF(W374,TODAY(),"ym")&amp;" Bln"</f>
        <v>9 Th, 2 Bln</v>
      </c>
      <c r="Y374" s="5"/>
      <c r="Z374" s="14"/>
      <c r="AA374" s="5" t="s">
        <v>96</v>
      </c>
      <c r="AB374" s="5" t="s">
        <v>97</v>
      </c>
      <c r="AC374" s="7" t="s">
        <v>5228</v>
      </c>
      <c r="AD374" s="131" t="s">
        <v>358</v>
      </c>
      <c r="AE374" s="131" t="s">
        <v>138</v>
      </c>
      <c r="AF374" s="7" t="s">
        <v>437</v>
      </c>
      <c r="AG374" s="7" t="s">
        <v>178</v>
      </c>
      <c r="AH374" s="7" t="s">
        <v>178</v>
      </c>
      <c r="AI374" s="7"/>
      <c r="AJ374" s="7" t="s">
        <v>103</v>
      </c>
      <c r="AK374" s="7" t="s">
        <v>386</v>
      </c>
      <c r="AL374" s="7" t="s">
        <v>5208</v>
      </c>
      <c r="AM374" s="15"/>
      <c r="AN374" s="15" t="s">
        <v>2893</v>
      </c>
      <c r="AO374" s="8">
        <v>1</v>
      </c>
      <c r="AP374" s="8">
        <v>1</v>
      </c>
      <c r="AQ374" s="8" t="s">
        <v>127</v>
      </c>
      <c r="AR374" s="8" t="s">
        <v>127</v>
      </c>
      <c r="AS374" s="132" t="s">
        <v>5229</v>
      </c>
      <c r="AT374" s="131" t="s">
        <v>5230</v>
      </c>
      <c r="AU374" s="132" t="s">
        <v>111</v>
      </c>
      <c r="AV374" s="16" t="s">
        <v>112</v>
      </c>
      <c r="AW374" s="56" t="s">
        <v>150</v>
      </c>
      <c r="AX374" s="56" t="s">
        <v>114</v>
      </c>
      <c r="AY374" s="7" t="s">
        <v>5231</v>
      </c>
      <c r="AZ374" s="10" t="s">
        <v>2896</v>
      </c>
      <c r="BA374" s="7" t="s">
        <v>222</v>
      </c>
      <c r="BB374" s="17">
        <v>33699</v>
      </c>
      <c r="BC374" s="17" t="s">
        <v>96</v>
      </c>
      <c r="BD374" s="18" t="s">
        <v>2897</v>
      </c>
      <c r="BE374" s="7" t="s">
        <v>118</v>
      </c>
      <c r="BF374" s="7" t="s">
        <v>2059</v>
      </c>
      <c r="BG374" s="7" t="s">
        <v>5232</v>
      </c>
      <c r="BH374" s="7" t="s">
        <v>5233</v>
      </c>
      <c r="BI374" s="19" t="s">
        <v>127</v>
      </c>
      <c r="BJ374" s="20" t="s">
        <v>5234</v>
      </c>
      <c r="BK374" s="21" t="s">
        <v>2900</v>
      </c>
      <c r="BL374" s="7" t="s">
        <v>5235</v>
      </c>
      <c r="BM374" s="22" t="s">
        <v>2902</v>
      </c>
      <c r="BN374" s="8" t="s">
        <v>971</v>
      </c>
      <c r="BO374" s="17">
        <v>33770</v>
      </c>
      <c r="BP374" s="17" t="s">
        <v>96</v>
      </c>
      <c r="BQ374" s="18" t="s">
        <v>2893</v>
      </c>
      <c r="BR374" s="7" t="s">
        <v>118</v>
      </c>
      <c r="BS374" s="7" t="s">
        <v>126</v>
      </c>
      <c r="BT374" s="7" t="s">
        <v>127</v>
      </c>
      <c r="BU374" s="8" t="s">
        <v>127</v>
      </c>
      <c r="BV374" s="23" t="s">
        <v>127</v>
      </c>
      <c r="BW374" s="24" t="s">
        <v>127</v>
      </c>
      <c r="BX374" s="21" t="s">
        <v>2904</v>
      </c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N374" s="25"/>
      <c r="CO374" s="25"/>
      <c r="CP374" s="25"/>
      <c r="CQ374" s="25"/>
      <c r="CR374" s="25"/>
      <c r="CS374" s="26"/>
    </row>
    <row r="375" spans="1:97" s="27" customFormat="1" ht="23.25" customHeight="1">
      <c r="A375" s="4">
        <v>271</v>
      </c>
      <c r="B375" s="6" t="s">
        <v>4837</v>
      </c>
      <c r="C375" s="6" t="s">
        <v>4837</v>
      </c>
      <c r="D375" s="6" t="s">
        <v>4837</v>
      </c>
      <c r="E375" s="6"/>
      <c r="F375" s="6"/>
      <c r="G375" s="6" t="s">
        <v>5770</v>
      </c>
      <c r="H375" s="5" t="s">
        <v>4839</v>
      </c>
      <c r="I375" s="6" t="s">
        <v>86</v>
      </c>
      <c r="J375" s="7" t="s">
        <v>166</v>
      </c>
      <c r="K375" s="7" t="s">
        <v>1993</v>
      </c>
      <c r="L375" s="8"/>
      <c r="M375" s="5">
        <v>1893</v>
      </c>
      <c r="N375" s="5">
        <v>3175091471</v>
      </c>
      <c r="O375" s="9" t="s">
        <v>5771</v>
      </c>
      <c r="P375" s="10" t="s">
        <v>5772</v>
      </c>
      <c r="Q375" s="389" t="s">
        <v>5773</v>
      </c>
      <c r="R375" s="8" t="s">
        <v>7729</v>
      </c>
      <c r="S375" s="212" t="s">
        <v>12147</v>
      </c>
      <c r="T375" s="8" t="s">
        <v>5774</v>
      </c>
      <c r="U375" s="11" t="s">
        <v>172</v>
      </c>
      <c r="V375" s="12" t="s">
        <v>94</v>
      </c>
      <c r="W375" s="13">
        <v>42969</v>
      </c>
      <c r="X375" s="5" t="str">
        <f t="shared" ca="1" si="11"/>
        <v>9 Th, 0 Bln</v>
      </c>
      <c r="Y375" s="5"/>
      <c r="Z375" s="14"/>
      <c r="AA375" s="5" t="s">
        <v>96</v>
      </c>
      <c r="AB375" s="5" t="s">
        <v>97</v>
      </c>
      <c r="AC375" s="7" t="s">
        <v>5775</v>
      </c>
      <c r="AD375" s="131">
        <v>3</v>
      </c>
      <c r="AE375" s="131">
        <v>1</v>
      </c>
      <c r="AF375" s="7" t="s">
        <v>1976</v>
      </c>
      <c r="AG375" s="7" t="s">
        <v>140</v>
      </c>
      <c r="AH375" s="7" t="s">
        <v>141</v>
      </c>
      <c r="AI375" s="7"/>
      <c r="AJ375" s="7" t="s">
        <v>1374</v>
      </c>
      <c r="AK375" s="7" t="s">
        <v>104</v>
      </c>
      <c r="AL375" s="7" t="s">
        <v>5386</v>
      </c>
      <c r="AM375" s="15"/>
      <c r="AN375" s="15" t="s">
        <v>3863</v>
      </c>
      <c r="AO375" s="8">
        <v>2</v>
      </c>
      <c r="AP375" s="8">
        <v>1</v>
      </c>
      <c r="AQ375" s="8">
        <v>1</v>
      </c>
      <c r="AR375" s="8">
        <v>0</v>
      </c>
      <c r="AS375" s="132" t="s">
        <v>5776</v>
      </c>
      <c r="AT375" s="131" t="s">
        <v>4958</v>
      </c>
      <c r="AU375" s="132" t="s">
        <v>182</v>
      </c>
      <c r="AV375" s="16" t="s">
        <v>112</v>
      </c>
      <c r="AW375" s="56" t="s">
        <v>113</v>
      </c>
      <c r="AX375" s="56" t="s">
        <v>114</v>
      </c>
      <c r="AY375" s="7" t="s">
        <v>5777</v>
      </c>
      <c r="AZ375" s="10" t="s">
        <v>3866</v>
      </c>
      <c r="BA375" s="7" t="s">
        <v>544</v>
      </c>
      <c r="BB375" s="17">
        <v>32192</v>
      </c>
      <c r="BC375" s="17" t="s">
        <v>96</v>
      </c>
      <c r="BD375" s="18" t="s">
        <v>3867</v>
      </c>
      <c r="BE375" s="7" t="s">
        <v>118</v>
      </c>
      <c r="BF375" s="7" t="s">
        <v>247</v>
      </c>
      <c r="BG375" s="7" t="s">
        <v>5778</v>
      </c>
      <c r="BH375" s="7" t="s">
        <v>5775</v>
      </c>
      <c r="BI375" s="19" t="s">
        <v>3867</v>
      </c>
      <c r="BJ375" s="20" t="s">
        <v>122</v>
      </c>
      <c r="BK375" s="21" t="s">
        <v>3870</v>
      </c>
      <c r="BL375" s="7" t="s">
        <v>5779</v>
      </c>
      <c r="BM375" s="22" t="s">
        <v>3872</v>
      </c>
      <c r="BN375" s="8" t="s">
        <v>94</v>
      </c>
      <c r="BO375" s="17">
        <v>33166</v>
      </c>
      <c r="BP375" s="17" t="s">
        <v>96</v>
      </c>
      <c r="BQ375" s="18" t="s">
        <v>3863</v>
      </c>
      <c r="BR375" s="7" t="s">
        <v>118</v>
      </c>
      <c r="BS375" s="7" t="s">
        <v>254</v>
      </c>
      <c r="BT375" s="7" t="s">
        <v>108</v>
      </c>
      <c r="BU375" s="8" t="s">
        <v>108</v>
      </c>
      <c r="BV375" s="23"/>
      <c r="BW375" s="24">
        <v>0</v>
      </c>
      <c r="BX375" s="21" t="s">
        <v>3873</v>
      </c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N375" s="25"/>
      <c r="CO375" s="25"/>
      <c r="CP375" s="25"/>
      <c r="CQ375" s="25"/>
      <c r="CR375" s="25"/>
      <c r="CS375" s="26"/>
    </row>
    <row r="376" spans="1:97" s="27" customFormat="1" ht="23.25" customHeight="1">
      <c r="A376" s="4">
        <v>245</v>
      </c>
      <c r="B376" s="28" t="s">
        <v>4837</v>
      </c>
      <c r="C376" s="28" t="s">
        <v>4837</v>
      </c>
      <c r="D376" s="28" t="s">
        <v>4837</v>
      </c>
      <c r="E376" s="28"/>
      <c r="F376" s="28"/>
      <c r="G376" s="28" t="s">
        <v>5257</v>
      </c>
      <c r="H376" s="29" t="s">
        <v>4839</v>
      </c>
      <c r="I376" s="28" t="s">
        <v>86</v>
      </c>
      <c r="J376" s="30" t="s">
        <v>1669</v>
      </c>
      <c r="K376" s="30" t="s">
        <v>5258</v>
      </c>
      <c r="L376" s="31"/>
      <c r="M376" s="29">
        <v>1897</v>
      </c>
      <c r="N376" s="29">
        <v>3168548610</v>
      </c>
      <c r="O376" s="92" t="s">
        <v>5259</v>
      </c>
      <c r="P376" s="32" t="s">
        <v>5260</v>
      </c>
      <c r="Q376" s="390" t="s">
        <v>5261</v>
      </c>
      <c r="R376" s="8" t="s">
        <v>7729</v>
      </c>
      <c r="S376" s="212" t="s">
        <v>12147</v>
      </c>
      <c r="T376" s="31" t="s">
        <v>5262</v>
      </c>
      <c r="U376" s="33" t="s">
        <v>172</v>
      </c>
      <c r="V376" s="34" t="s">
        <v>1208</v>
      </c>
      <c r="W376" s="35">
        <v>42621</v>
      </c>
      <c r="X376" s="31" t="str">
        <f t="shared" ca="1" si="11"/>
        <v>10 Th, 0 Bln</v>
      </c>
      <c r="Y376" s="31"/>
      <c r="Z376" s="36"/>
      <c r="AA376" s="31" t="s">
        <v>96</v>
      </c>
      <c r="AB376" s="31" t="s">
        <v>97</v>
      </c>
      <c r="AC376" s="30" t="s">
        <v>5263</v>
      </c>
      <c r="AD376" s="129" t="s">
        <v>175</v>
      </c>
      <c r="AE376" s="129" t="s">
        <v>265</v>
      </c>
      <c r="AF376" s="30" t="s">
        <v>177</v>
      </c>
      <c r="AG376" s="30" t="s">
        <v>178</v>
      </c>
      <c r="AH376" s="30" t="s">
        <v>178</v>
      </c>
      <c r="AI376" s="30"/>
      <c r="AJ376" s="30" t="s">
        <v>103</v>
      </c>
      <c r="AK376" s="30" t="s">
        <v>104</v>
      </c>
      <c r="AL376" s="30" t="s">
        <v>5264</v>
      </c>
      <c r="AM376" s="37"/>
      <c r="AN376" s="37" t="s">
        <v>4021</v>
      </c>
      <c r="AO376" s="31">
        <v>1</v>
      </c>
      <c r="AP376" s="31">
        <v>1</v>
      </c>
      <c r="AQ376" s="31" t="s">
        <v>127</v>
      </c>
      <c r="AR376" s="31" t="s">
        <v>127</v>
      </c>
      <c r="AS376" s="130" t="s">
        <v>271</v>
      </c>
      <c r="AT376" s="129" t="s">
        <v>1266</v>
      </c>
      <c r="AU376" s="130" t="s">
        <v>182</v>
      </c>
      <c r="AV376" s="38" t="s">
        <v>212</v>
      </c>
      <c r="AW376" s="123" t="s">
        <v>392</v>
      </c>
      <c r="AX376" s="123" t="s">
        <v>114</v>
      </c>
      <c r="AY376" s="30" t="s">
        <v>5265</v>
      </c>
      <c r="AZ376" s="32" t="s">
        <v>4025</v>
      </c>
      <c r="BA376" s="30" t="s">
        <v>2279</v>
      </c>
      <c r="BB376" s="39">
        <v>31524</v>
      </c>
      <c r="BC376" s="39" t="s">
        <v>96</v>
      </c>
      <c r="BD376" s="40" t="s">
        <v>4020</v>
      </c>
      <c r="BE376" s="30" t="s">
        <v>118</v>
      </c>
      <c r="BF376" s="30" t="s">
        <v>247</v>
      </c>
      <c r="BG376" s="30" t="s">
        <v>127</v>
      </c>
      <c r="BH376" s="30" t="s">
        <v>127</v>
      </c>
      <c r="BI376" s="41" t="s">
        <v>127</v>
      </c>
      <c r="BJ376" s="42">
        <v>3000000</v>
      </c>
      <c r="BK376" s="43" t="s">
        <v>5266</v>
      </c>
      <c r="BL376" s="30" t="s">
        <v>5267</v>
      </c>
      <c r="BM376" s="44" t="s">
        <v>4028</v>
      </c>
      <c r="BN376" s="125" t="s">
        <v>4141</v>
      </c>
      <c r="BO376" s="39">
        <v>32464</v>
      </c>
      <c r="BP376" s="39" t="s">
        <v>96</v>
      </c>
      <c r="BQ376" s="40" t="s">
        <v>4021</v>
      </c>
      <c r="BR376" s="30" t="s">
        <v>118</v>
      </c>
      <c r="BS376" s="30" t="s">
        <v>5268</v>
      </c>
      <c r="BT376" s="30" t="s">
        <v>2869</v>
      </c>
      <c r="BU376" s="30" t="s">
        <v>927</v>
      </c>
      <c r="BV376" s="45" t="s">
        <v>127</v>
      </c>
      <c r="BW376" s="46" t="s">
        <v>983</v>
      </c>
      <c r="BX376" s="47" t="s">
        <v>4031</v>
      </c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N376" s="25"/>
      <c r="CO376" s="25"/>
      <c r="CP376" s="25"/>
      <c r="CQ376" s="25"/>
      <c r="CR376" s="25"/>
      <c r="CS376" s="26"/>
    </row>
    <row r="377" spans="1:97" s="27" customFormat="1" ht="23.25" customHeight="1">
      <c r="A377" s="4">
        <v>336</v>
      </c>
      <c r="B377" s="6" t="s">
        <v>4837</v>
      </c>
      <c r="C377" s="6" t="s">
        <v>4837</v>
      </c>
      <c r="D377" s="6" t="s">
        <v>4837</v>
      </c>
      <c r="E377" s="6"/>
      <c r="F377" s="6"/>
      <c r="G377" s="6" t="s">
        <v>6901</v>
      </c>
      <c r="H377" s="5" t="s">
        <v>4839</v>
      </c>
      <c r="I377" s="6" t="s">
        <v>86</v>
      </c>
      <c r="J377" s="7" t="s">
        <v>5953</v>
      </c>
      <c r="K377" s="7" t="s">
        <v>5954</v>
      </c>
      <c r="L377" s="8"/>
      <c r="M377" s="5">
        <v>1906</v>
      </c>
      <c r="N377" s="5" t="s">
        <v>6902</v>
      </c>
      <c r="O377" s="9" t="s">
        <v>6903</v>
      </c>
      <c r="P377" s="10" t="s">
        <v>6904</v>
      </c>
      <c r="Q377" s="389" t="s">
        <v>6905</v>
      </c>
      <c r="R377" s="8" t="s">
        <v>7729</v>
      </c>
      <c r="S377" s="212" t="s">
        <v>12147</v>
      </c>
      <c r="T377" s="8" t="s">
        <v>6906</v>
      </c>
      <c r="U377" s="11" t="s">
        <v>172</v>
      </c>
      <c r="V377" s="12" t="s">
        <v>263</v>
      </c>
      <c r="W377" s="13">
        <v>42727</v>
      </c>
      <c r="X377" s="5" t="str">
        <f t="shared" ca="1" si="11"/>
        <v>9 Th, 8 Bln</v>
      </c>
      <c r="Y377" s="5"/>
      <c r="Z377" s="14"/>
      <c r="AA377" s="5" t="s">
        <v>96</v>
      </c>
      <c r="AB377" s="5" t="s">
        <v>97</v>
      </c>
      <c r="AC377" s="7" t="s">
        <v>6907</v>
      </c>
      <c r="AD377" s="131">
        <v>38</v>
      </c>
      <c r="AE377" s="131">
        <v>9</v>
      </c>
      <c r="AF377" s="7" t="s">
        <v>5959</v>
      </c>
      <c r="AG377" s="7" t="s">
        <v>140</v>
      </c>
      <c r="AH377" s="7" t="s">
        <v>141</v>
      </c>
      <c r="AI377" s="7"/>
      <c r="AJ377" s="7" t="s">
        <v>142</v>
      </c>
      <c r="AK377" s="7" t="s">
        <v>104</v>
      </c>
      <c r="AL377" s="7" t="s">
        <v>6908</v>
      </c>
      <c r="AM377" s="15">
        <v>0</v>
      </c>
      <c r="AN377" s="15">
        <v>81917172023</v>
      </c>
      <c r="AO377" s="8">
        <v>2</v>
      </c>
      <c r="AP377" s="8">
        <v>2</v>
      </c>
      <c r="AQ377" s="8">
        <v>0</v>
      </c>
      <c r="AR377" s="8">
        <v>0</v>
      </c>
      <c r="AS377" s="132" t="s">
        <v>4957</v>
      </c>
      <c r="AT377" s="131" t="s">
        <v>2245</v>
      </c>
      <c r="AU377" s="132" t="s">
        <v>111</v>
      </c>
      <c r="AV377" s="16" t="s">
        <v>112</v>
      </c>
      <c r="AW377" s="56" t="s">
        <v>392</v>
      </c>
      <c r="AX377" s="56" t="s">
        <v>6108</v>
      </c>
      <c r="AY377" s="7" t="s">
        <v>6909</v>
      </c>
      <c r="AZ377" s="10" t="s">
        <v>6910</v>
      </c>
      <c r="BA377" s="7" t="s">
        <v>94</v>
      </c>
      <c r="BB377" s="17" t="s">
        <v>6911</v>
      </c>
      <c r="BC377" s="17" t="s">
        <v>96</v>
      </c>
      <c r="BD377" s="18" t="s">
        <v>6912</v>
      </c>
      <c r="BE377" s="7" t="s">
        <v>216</v>
      </c>
      <c r="BF377" s="7" t="s">
        <v>276</v>
      </c>
      <c r="BG377" s="7" t="s">
        <v>94</v>
      </c>
      <c r="BH377" s="7"/>
      <c r="BI377" s="19"/>
      <c r="BJ377" s="20">
        <v>4000000</v>
      </c>
      <c r="BK377" s="21" t="s">
        <v>6913</v>
      </c>
      <c r="BL377" s="7" t="s">
        <v>6914</v>
      </c>
      <c r="BM377" s="22" t="s">
        <v>6915</v>
      </c>
      <c r="BN377" s="8" t="s">
        <v>94</v>
      </c>
      <c r="BO377" s="17">
        <v>34241</v>
      </c>
      <c r="BP377" s="17" t="s">
        <v>96</v>
      </c>
      <c r="BQ377" s="18" t="s">
        <v>6916</v>
      </c>
      <c r="BR377" s="7" t="s">
        <v>216</v>
      </c>
      <c r="BS377" s="7" t="s">
        <v>126</v>
      </c>
      <c r="BT377" s="7"/>
      <c r="BU377" s="8"/>
      <c r="BV377" s="23"/>
      <c r="BW377" s="24"/>
      <c r="BX377" s="21" t="s">
        <v>6917</v>
      </c>
      <c r="BY377" s="21" t="s">
        <v>6918</v>
      </c>
      <c r="BZ377" s="21" t="s">
        <v>94</v>
      </c>
      <c r="CA377" s="21">
        <v>21551</v>
      </c>
      <c r="CB377" s="21" t="s">
        <v>6919</v>
      </c>
      <c r="CC377" s="21"/>
      <c r="CD377" s="21" t="s">
        <v>3623</v>
      </c>
      <c r="CE377" s="21" t="s">
        <v>1143</v>
      </c>
      <c r="CF377" s="21" t="s">
        <v>96</v>
      </c>
      <c r="CG377" s="21" t="s">
        <v>6920</v>
      </c>
      <c r="CH377" s="21">
        <v>38</v>
      </c>
      <c r="CI377" s="21">
        <v>9</v>
      </c>
      <c r="CJ377" s="21" t="s">
        <v>5959</v>
      </c>
      <c r="CK377" s="21" t="s">
        <v>140</v>
      </c>
      <c r="CL377" s="21" t="s">
        <v>1374</v>
      </c>
      <c r="CN377" s="25"/>
      <c r="CO377" s="25"/>
      <c r="CP377" s="25"/>
      <c r="CQ377" s="25"/>
      <c r="CR377" s="25"/>
      <c r="CS377" s="26"/>
    </row>
    <row r="378" spans="1:97" s="27" customFormat="1" ht="23.25" customHeight="1">
      <c r="A378" s="4">
        <v>338</v>
      </c>
      <c r="B378" s="6" t="s">
        <v>4837</v>
      </c>
      <c r="C378" s="6" t="s">
        <v>4837</v>
      </c>
      <c r="D378" s="6" t="s">
        <v>4837</v>
      </c>
      <c r="E378" s="6"/>
      <c r="F378" s="6"/>
      <c r="G378" s="6" t="s">
        <v>6921</v>
      </c>
      <c r="H378" s="5" t="s">
        <v>4839</v>
      </c>
      <c r="I378" s="6" t="s">
        <v>86</v>
      </c>
      <c r="J378" s="7" t="s">
        <v>166</v>
      </c>
      <c r="K378" s="7" t="s">
        <v>1993</v>
      </c>
      <c r="L378" s="8"/>
      <c r="M378" s="5">
        <v>1912</v>
      </c>
      <c r="N378" s="5">
        <v>3163529328</v>
      </c>
      <c r="O378" s="9" t="s">
        <v>6922</v>
      </c>
      <c r="P378" s="10" t="s">
        <v>6923</v>
      </c>
      <c r="Q378" s="389" t="s">
        <v>6924</v>
      </c>
      <c r="R378" s="8" t="s">
        <v>7729</v>
      </c>
      <c r="S378" s="212" t="s">
        <v>12147</v>
      </c>
      <c r="T378" s="8" t="s">
        <v>6925</v>
      </c>
      <c r="U378" s="11" t="s">
        <v>172</v>
      </c>
      <c r="V378" s="12" t="s">
        <v>544</v>
      </c>
      <c r="W378" s="13">
        <v>42498</v>
      </c>
      <c r="X378" s="5" t="str">
        <f t="shared" ca="1" si="11"/>
        <v>10 Th, 4 Bln</v>
      </c>
      <c r="Y378" s="5"/>
      <c r="Z378" s="14"/>
      <c r="AA378" s="5" t="s">
        <v>96</v>
      </c>
      <c r="AB378" s="5" t="s">
        <v>97</v>
      </c>
      <c r="AC378" s="7" t="s">
        <v>6926</v>
      </c>
      <c r="AD378" s="131" t="s">
        <v>137</v>
      </c>
      <c r="AE378" s="131" t="s">
        <v>207</v>
      </c>
      <c r="AF378" s="7" t="s">
        <v>2359</v>
      </c>
      <c r="AG378" s="7" t="s">
        <v>241</v>
      </c>
      <c r="AH378" s="7" t="s">
        <v>241</v>
      </c>
      <c r="AI378" s="7"/>
      <c r="AJ378" s="7" t="s">
        <v>103</v>
      </c>
      <c r="AK378" s="7" t="s">
        <v>104</v>
      </c>
      <c r="AL378" s="7" t="s">
        <v>4861</v>
      </c>
      <c r="AM378" s="15" t="s">
        <v>6927</v>
      </c>
      <c r="AN378" s="15" t="s">
        <v>6927</v>
      </c>
      <c r="AO378" s="8">
        <v>2</v>
      </c>
      <c r="AP378" s="8">
        <v>2</v>
      </c>
      <c r="AQ378" s="8" t="s">
        <v>127</v>
      </c>
      <c r="AR378" s="8" t="s">
        <v>127</v>
      </c>
      <c r="AS378" s="132" t="s">
        <v>6413</v>
      </c>
      <c r="AT378" s="131" t="s">
        <v>1945</v>
      </c>
      <c r="AU378" s="132" t="s">
        <v>149</v>
      </c>
      <c r="AV378" s="16" t="s">
        <v>112</v>
      </c>
      <c r="AW378" s="56" t="s">
        <v>150</v>
      </c>
      <c r="AX378" s="56" t="s">
        <v>1722</v>
      </c>
      <c r="AY378" s="7" t="s">
        <v>6928</v>
      </c>
      <c r="AZ378" s="10" t="s">
        <v>6929</v>
      </c>
      <c r="BA378" s="7" t="s">
        <v>94</v>
      </c>
      <c r="BB378" s="17">
        <v>33513</v>
      </c>
      <c r="BC378" s="17" t="s">
        <v>96</v>
      </c>
      <c r="BD378" s="18" t="s">
        <v>6930</v>
      </c>
      <c r="BE378" s="7" t="s">
        <v>118</v>
      </c>
      <c r="BF378" s="7" t="s">
        <v>471</v>
      </c>
      <c r="BG378" s="7" t="s">
        <v>6931</v>
      </c>
      <c r="BH378" s="7" t="s">
        <v>6932</v>
      </c>
      <c r="BI378" s="19" t="s">
        <v>6933</v>
      </c>
      <c r="BJ378" s="20" t="s">
        <v>556</v>
      </c>
      <c r="BK378" s="21" t="s">
        <v>6934</v>
      </c>
      <c r="BL378" s="7" t="s">
        <v>6935</v>
      </c>
      <c r="BM378" s="22" t="s">
        <v>6936</v>
      </c>
      <c r="BN378" s="8" t="s">
        <v>94</v>
      </c>
      <c r="BO378" s="17">
        <v>33721</v>
      </c>
      <c r="BP378" s="17" t="s">
        <v>96</v>
      </c>
      <c r="BQ378" s="18" t="s">
        <v>6927</v>
      </c>
      <c r="BR378" s="7" t="s">
        <v>216</v>
      </c>
      <c r="BS378" s="7" t="s">
        <v>126</v>
      </c>
      <c r="BT378" s="7" t="s">
        <v>127</v>
      </c>
      <c r="BU378" s="8" t="s">
        <v>127</v>
      </c>
      <c r="BV378" s="23" t="s">
        <v>127</v>
      </c>
      <c r="BW378" s="24" t="s">
        <v>127</v>
      </c>
      <c r="BX378" s="21" t="s">
        <v>6937</v>
      </c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N378" s="25"/>
      <c r="CO378" s="25"/>
      <c r="CP378" s="25"/>
      <c r="CQ378" s="25"/>
      <c r="CR378" s="25"/>
      <c r="CS378" s="26"/>
    </row>
    <row r="379" spans="1:97" s="27" customFormat="1" ht="23.25" customHeight="1">
      <c r="A379" s="4">
        <v>334</v>
      </c>
      <c r="B379" s="6" t="s">
        <v>4837</v>
      </c>
      <c r="C379" s="6" t="s">
        <v>4837</v>
      </c>
      <c r="D379" s="6" t="s">
        <v>4837</v>
      </c>
      <c r="E379" s="6"/>
      <c r="F379" s="6"/>
      <c r="G379" s="6" t="s">
        <v>6938</v>
      </c>
      <c r="H379" s="5" t="s">
        <v>4839</v>
      </c>
      <c r="I379" s="6" t="s">
        <v>86</v>
      </c>
      <c r="J379" s="7" t="s">
        <v>166</v>
      </c>
      <c r="K379" s="7" t="s">
        <v>1993</v>
      </c>
      <c r="L379" s="8"/>
      <c r="M379" s="5">
        <v>1901</v>
      </c>
      <c r="N379" s="5">
        <v>3162954925</v>
      </c>
      <c r="O379" s="9" t="s">
        <v>6939</v>
      </c>
      <c r="P379" s="10" t="s">
        <v>6940</v>
      </c>
      <c r="Q379" s="389" t="s">
        <v>13435</v>
      </c>
      <c r="R379" s="8" t="s">
        <v>7729</v>
      </c>
      <c r="S379" s="212" t="s">
        <v>12147</v>
      </c>
      <c r="T379" s="8" t="s">
        <v>6941</v>
      </c>
      <c r="U379" s="11" t="s">
        <v>93</v>
      </c>
      <c r="V379" s="12" t="s">
        <v>94</v>
      </c>
      <c r="W379" s="13">
        <v>42686</v>
      </c>
      <c r="X379" s="5" t="str">
        <f t="shared" ca="1" si="11"/>
        <v>9 Th, 10 Bln</v>
      </c>
      <c r="Y379" s="5"/>
      <c r="Z379" s="14"/>
      <c r="AA379" s="5" t="s">
        <v>96</v>
      </c>
      <c r="AB379" s="5" t="s">
        <v>97</v>
      </c>
      <c r="AC379" s="7" t="s">
        <v>6942</v>
      </c>
      <c r="AD379" s="131">
        <v>33</v>
      </c>
      <c r="AE379" s="131" t="s">
        <v>318</v>
      </c>
      <c r="AF379" s="7" t="s">
        <v>319</v>
      </c>
      <c r="AG379" s="7" t="s">
        <v>140</v>
      </c>
      <c r="AH379" s="7" t="s">
        <v>141</v>
      </c>
      <c r="AI379" s="7"/>
      <c r="AJ379" s="7" t="s">
        <v>1374</v>
      </c>
      <c r="AK379" s="7" t="s">
        <v>104</v>
      </c>
      <c r="AL379" s="7" t="s">
        <v>4861</v>
      </c>
      <c r="AM379" s="15" t="s">
        <v>6943</v>
      </c>
      <c r="AN379" s="15" t="s">
        <v>6943</v>
      </c>
      <c r="AO379" s="8">
        <v>2</v>
      </c>
      <c r="AP379" s="8">
        <v>1</v>
      </c>
      <c r="AQ379" s="8">
        <v>0</v>
      </c>
      <c r="AR379" s="8">
        <v>0</v>
      </c>
      <c r="AS379" s="132" t="s">
        <v>1657</v>
      </c>
      <c r="AT379" s="131" t="s">
        <v>5211</v>
      </c>
      <c r="AU379" s="132" t="s">
        <v>149</v>
      </c>
      <c r="AV379" s="16" t="s">
        <v>112</v>
      </c>
      <c r="AW379" s="74" t="s">
        <v>6828</v>
      </c>
      <c r="AX379" s="56" t="s">
        <v>114</v>
      </c>
      <c r="AY379" s="7" t="s">
        <v>6944</v>
      </c>
      <c r="AZ379" s="10" t="s">
        <v>6945</v>
      </c>
      <c r="BA379" s="7" t="s">
        <v>94</v>
      </c>
      <c r="BB379" s="17">
        <v>30590</v>
      </c>
      <c r="BC379" s="17" t="s">
        <v>96</v>
      </c>
      <c r="BD379" s="18" t="s">
        <v>6946</v>
      </c>
      <c r="BE379" s="7" t="s">
        <v>118</v>
      </c>
      <c r="BF379" s="7" t="s">
        <v>327</v>
      </c>
      <c r="BG379" s="7" t="s">
        <v>6947</v>
      </c>
      <c r="BH379" s="7" t="s">
        <v>6948</v>
      </c>
      <c r="BI379" s="19" t="s">
        <v>6949</v>
      </c>
      <c r="BJ379" s="20" t="s">
        <v>1727</v>
      </c>
      <c r="BK379" s="21" t="s">
        <v>6950</v>
      </c>
      <c r="BL379" s="7" t="s">
        <v>6951</v>
      </c>
      <c r="BM379" s="22" t="s">
        <v>6952</v>
      </c>
      <c r="BN379" s="8" t="s">
        <v>3761</v>
      </c>
      <c r="BO379" s="17">
        <v>30262</v>
      </c>
      <c r="BP379" s="17" t="s">
        <v>96</v>
      </c>
      <c r="BQ379" s="18" t="s">
        <v>6943</v>
      </c>
      <c r="BR379" s="7" t="s">
        <v>153</v>
      </c>
      <c r="BS379" s="7" t="s">
        <v>6953</v>
      </c>
      <c r="BT379" s="7" t="s">
        <v>6954</v>
      </c>
      <c r="BU379" s="8" t="s">
        <v>6955</v>
      </c>
      <c r="BV379" s="23" t="s">
        <v>928</v>
      </c>
      <c r="BW379" s="24" t="s">
        <v>3706</v>
      </c>
      <c r="BX379" s="21" t="s">
        <v>6956</v>
      </c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N379" s="25"/>
      <c r="CO379" s="25"/>
      <c r="CP379" s="25"/>
      <c r="CQ379" s="25"/>
      <c r="CR379" s="25"/>
      <c r="CS379" s="26"/>
    </row>
    <row r="380" spans="1:97" s="27" customFormat="1" ht="23.25" customHeight="1">
      <c r="A380" s="4">
        <v>335</v>
      </c>
      <c r="B380" s="6" t="s">
        <v>4837</v>
      </c>
      <c r="C380" s="6" t="s">
        <v>4837</v>
      </c>
      <c r="D380" s="6" t="s">
        <v>4837</v>
      </c>
      <c r="E380" s="6"/>
      <c r="F380" s="6"/>
      <c r="G380" s="6" t="s">
        <v>6957</v>
      </c>
      <c r="H380" s="5" t="s">
        <v>4839</v>
      </c>
      <c r="I380" s="6" t="s">
        <v>86</v>
      </c>
      <c r="J380" s="7" t="s">
        <v>129</v>
      </c>
      <c r="K380" s="7" t="s">
        <v>6958</v>
      </c>
      <c r="L380" s="8"/>
      <c r="M380" s="5">
        <v>1902</v>
      </c>
      <c r="N380" s="5" t="s">
        <v>6959</v>
      </c>
      <c r="O380" s="9" t="s">
        <v>6960</v>
      </c>
      <c r="P380" s="10" t="s">
        <v>6961</v>
      </c>
      <c r="Q380" s="389" t="s">
        <v>6962</v>
      </c>
      <c r="R380" s="8" t="s">
        <v>7729</v>
      </c>
      <c r="S380" s="212" t="s">
        <v>12147</v>
      </c>
      <c r="T380" s="8" t="s">
        <v>6963</v>
      </c>
      <c r="U380" s="11" t="s">
        <v>93</v>
      </c>
      <c r="V380" s="12" t="s">
        <v>94</v>
      </c>
      <c r="W380" s="13">
        <v>42488</v>
      </c>
      <c r="X380" s="5" t="str">
        <f t="shared" ca="1" si="11"/>
        <v>10 Th, 4 Bln</v>
      </c>
      <c r="Y380" s="5"/>
      <c r="Z380" s="14"/>
      <c r="AA380" s="5" t="s">
        <v>96</v>
      </c>
      <c r="AB380" s="5" t="s">
        <v>97</v>
      </c>
      <c r="AC380" s="7" t="s">
        <v>6964</v>
      </c>
      <c r="AD380" s="131" t="s">
        <v>318</v>
      </c>
      <c r="AE380" s="131" t="s">
        <v>99</v>
      </c>
      <c r="AF380" s="7" t="s">
        <v>177</v>
      </c>
      <c r="AG380" s="7" t="s">
        <v>178</v>
      </c>
      <c r="AH380" s="7" t="s">
        <v>178</v>
      </c>
      <c r="AI380" s="7"/>
      <c r="AJ380" s="7" t="s">
        <v>103</v>
      </c>
      <c r="AK380" s="7" t="s">
        <v>179</v>
      </c>
      <c r="AL380" s="7" t="s">
        <v>6965</v>
      </c>
      <c r="AM380" s="15"/>
      <c r="AN380" s="15" t="s">
        <v>6966</v>
      </c>
      <c r="AO380" s="8">
        <v>2</v>
      </c>
      <c r="AP380" s="8">
        <v>1</v>
      </c>
      <c r="AQ380" s="8" t="s">
        <v>127</v>
      </c>
      <c r="AR380" s="8" t="s">
        <v>127</v>
      </c>
      <c r="AS380" s="132" t="s">
        <v>1657</v>
      </c>
      <c r="AT380" s="131" t="s">
        <v>2245</v>
      </c>
      <c r="AU380" s="132" t="s">
        <v>182</v>
      </c>
      <c r="AV380" s="16" t="s">
        <v>112</v>
      </c>
      <c r="AW380" s="56" t="s">
        <v>6967</v>
      </c>
      <c r="AX380" s="56" t="s">
        <v>114</v>
      </c>
      <c r="AY380" s="7" t="s">
        <v>6968</v>
      </c>
      <c r="AZ380" s="10" t="s">
        <v>6969</v>
      </c>
      <c r="BA380" s="7" t="s">
        <v>94</v>
      </c>
      <c r="BB380" s="17">
        <v>30371</v>
      </c>
      <c r="BC380" s="17" t="s">
        <v>96</v>
      </c>
      <c r="BD380" s="18" t="s">
        <v>6970</v>
      </c>
      <c r="BE380" s="7" t="s">
        <v>153</v>
      </c>
      <c r="BF380" s="7" t="s">
        <v>276</v>
      </c>
      <c r="BG380" s="7" t="s">
        <v>6971</v>
      </c>
      <c r="BH380" s="7" t="s">
        <v>6972</v>
      </c>
      <c r="BI380" s="19" t="s">
        <v>127</v>
      </c>
      <c r="BJ380" s="20" t="s">
        <v>6973</v>
      </c>
      <c r="BK380" s="21" t="s">
        <v>6974</v>
      </c>
      <c r="BL380" s="7" t="s">
        <v>6975</v>
      </c>
      <c r="BM380" s="22" t="s">
        <v>6976</v>
      </c>
      <c r="BN380" s="8" t="s">
        <v>4399</v>
      </c>
      <c r="BO380" s="17">
        <v>31179</v>
      </c>
      <c r="BP380" s="17" t="s">
        <v>96</v>
      </c>
      <c r="BQ380" s="18" t="s">
        <v>6966</v>
      </c>
      <c r="BR380" s="7" t="s">
        <v>153</v>
      </c>
      <c r="BS380" s="7" t="s">
        <v>471</v>
      </c>
      <c r="BT380" s="7" t="s">
        <v>6977</v>
      </c>
      <c r="BU380" s="8" t="s">
        <v>6978</v>
      </c>
      <c r="BV380" s="23" t="s">
        <v>6979</v>
      </c>
      <c r="BW380" s="24" t="s">
        <v>6980</v>
      </c>
      <c r="BX380" s="21" t="s">
        <v>6981</v>
      </c>
      <c r="BY380" s="21" t="s">
        <v>127</v>
      </c>
      <c r="BZ380" s="21" t="s">
        <v>127</v>
      </c>
      <c r="CA380" s="21"/>
      <c r="CB380" s="21"/>
      <c r="CC380" s="21"/>
      <c r="CD380" s="21"/>
      <c r="CE380" s="21" t="s">
        <v>127</v>
      </c>
      <c r="CF380" s="21"/>
      <c r="CG380" s="21" t="s">
        <v>127</v>
      </c>
      <c r="CH380" s="21" t="s">
        <v>127</v>
      </c>
      <c r="CI380" s="21" t="s">
        <v>127</v>
      </c>
      <c r="CJ380" s="21" t="s">
        <v>127</v>
      </c>
      <c r="CK380" s="21" t="s">
        <v>127</v>
      </c>
      <c r="CL380" s="21" t="s">
        <v>127</v>
      </c>
      <c r="CN380" s="25"/>
      <c r="CO380" s="25"/>
      <c r="CP380" s="25"/>
      <c r="CQ380" s="25"/>
      <c r="CR380" s="25"/>
      <c r="CS380" s="26"/>
    </row>
    <row r="381" spans="1:97" s="27" customFormat="1" ht="23.25" customHeight="1">
      <c r="A381" s="4">
        <v>275</v>
      </c>
      <c r="B381" s="6"/>
      <c r="C381" s="6" t="s">
        <v>4837</v>
      </c>
      <c r="D381" s="6" t="s">
        <v>4837</v>
      </c>
      <c r="E381" s="6"/>
      <c r="F381" s="6"/>
      <c r="G381" s="6"/>
      <c r="H381" s="5" t="s">
        <v>4839</v>
      </c>
      <c r="I381" s="6" t="s">
        <v>86</v>
      </c>
      <c r="J381" s="7" t="s">
        <v>5827</v>
      </c>
      <c r="K381" s="7" t="s">
        <v>5828</v>
      </c>
      <c r="L381" s="8"/>
      <c r="M381" s="5">
        <v>1908</v>
      </c>
      <c r="N381" s="5" t="s">
        <v>5829</v>
      </c>
      <c r="O381" s="9" t="s">
        <v>5830</v>
      </c>
      <c r="P381" s="10" t="s">
        <v>5831</v>
      </c>
      <c r="Q381" s="389" t="s">
        <v>5832</v>
      </c>
      <c r="R381" s="8" t="s">
        <v>7729</v>
      </c>
      <c r="S381" s="212" t="s">
        <v>12147</v>
      </c>
      <c r="T381" s="8" t="s">
        <v>5833</v>
      </c>
      <c r="U381" s="11" t="s">
        <v>172</v>
      </c>
      <c r="V381" s="12" t="s">
        <v>94</v>
      </c>
      <c r="W381" s="13">
        <v>42570</v>
      </c>
      <c r="X381" s="5" t="str">
        <f t="shared" ca="1" si="11"/>
        <v>10 Th, 1 Bln</v>
      </c>
      <c r="Y381" s="5"/>
      <c r="Z381" s="14"/>
      <c r="AA381" s="5" t="s">
        <v>96</v>
      </c>
      <c r="AB381" s="5" t="s">
        <v>97</v>
      </c>
      <c r="AC381" s="7" t="s">
        <v>5834</v>
      </c>
      <c r="AD381" s="131" t="s">
        <v>318</v>
      </c>
      <c r="AE381" s="131" t="s">
        <v>293</v>
      </c>
      <c r="AF381" s="7" t="s">
        <v>5835</v>
      </c>
      <c r="AG381" s="7" t="s">
        <v>5836</v>
      </c>
      <c r="AH381" s="7" t="s">
        <v>2159</v>
      </c>
      <c r="AI381" s="7"/>
      <c r="AJ381" s="7" t="s">
        <v>568</v>
      </c>
      <c r="AK381" s="7" t="s">
        <v>104</v>
      </c>
      <c r="AL381" s="7" t="s">
        <v>5837</v>
      </c>
      <c r="AM381" s="15" t="s">
        <v>5838</v>
      </c>
      <c r="AN381" s="15" t="s">
        <v>5838</v>
      </c>
      <c r="AO381" s="8">
        <v>3</v>
      </c>
      <c r="AP381" s="8">
        <v>3</v>
      </c>
      <c r="AQ381" s="8">
        <v>0</v>
      </c>
      <c r="AR381" s="8">
        <v>0</v>
      </c>
      <c r="AS381" s="132" t="s">
        <v>873</v>
      </c>
      <c r="AT381" s="131" t="s">
        <v>5190</v>
      </c>
      <c r="AU381" s="132" t="s">
        <v>149</v>
      </c>
      <c r="AV381" s="16" t="s">
        <v>112</v>
      </c>
      <c r="AW381" s="56" t="s">
        <v>392</v>
      </c>
      <c r="AX381" s="56" t="s">
        <v>441</v>
      </c>
      <c r="AY381" s="7" t="s">
        <v>5839</v>
      </c>
      <c r="AZ381" s="10">
        <v>3573030107820120</v>
      </c>
      <c r="BA381" s="7" t="s">
        <v>94</v>
      </c>
      <c r="BB381" s="17">
        <v>30203</v>
      </c>
      <c r="BC381" s="17" t="s">
        <v>96</v>
      </c>
      <c r="BD381" s="18" t="s">
        <v>5840</v>
      </c>
      <c r="BE381" s="7" t="s">
        <v>118</v>
      </c>
      <c r="BF381" s="7" t="s">
        <v>503</v>
      </c>
      <c r="BG381" s="7" t="s">
        <v>328</v>
      </c>
      <c r="BH381" s="7" t="s">
        <v>5841</v>
      </c>
      <c r="BI381" s="19" t="s">
        <v>1645</v>
      </c>
      <c r="BJ381" s="20" t="s">
        <v>5842</v>
      </c>
      <c r="BK381" s="21" t="s">
        <v>5843</v>
      </c>
      <c r="BL381" s="7" t="s">
        <v>5844</v>
      </c>
      <c r="BM381" s="22" t="s">
        <v>5845</v>
      </c>
      <c r="BN381" s="8" t="s">
        <v>544</v>
      </c>
      <c r="BO381" s="17">
        <v>32716</v>
      </c>
      <c r="BP381" s="17" t="s">
        <v>96</v>
      </c>
      <c r="BQ381" s="18" t="s">
        <v>5838</v>
      </c>
      <c r="BR381" s="7" t="s">
        <v>216</v>
      </c>
      <c r="BS381" s="7" t="s">
        <v>582</v>
      </c>
      <c r="BT381" s="7" t="s">
        <v>127</v>
      </c>
      <c r="BU381" s="8" t="s">
        <v>127</v>
      </c>
      <c r="BV381" s="23" t="s">
        <v>127</v>
      </c>
      <c r="BW381" s="24" t="s">
        <v>127</v>
      </c>
      <c r="BX381" s="21" t="s">
        <v>5846</v>
      </c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N381" s="25"/>
      <c r="CO381" s="25"/>
      <c r="CP381" s="25"/>
      <c r="CQ381" s="25"/>
      <c r="CR381" s="25"/>
      <c r="CS381" s="26"/>
    </row>
    <row r="382" spans="1:97" s="27" customFormat="1" ht="23.25" customHeight="1">
      <c r="A382" s="4">
        <v>246</v>
      </c>
      <c r="B382" s="6" t="s">
        <v>4837</v>
      </c>
      <c r="C382" s="6" t="s">
        <v>4837</v>
      </c>
      <c r="D382" s="6" t="s">
        <v>4837</v>
      </c>
      <c r="E382" s="6"/>
      <c r="F382" s="6"/>
      <c r="G382" s="6" t="s">
        <v>5269</v>
      </c>
      <c r="H382" s="5" t="s">
        <v>4839</v>
      </c>
      <c r="I382" s="6" t="s">
        <v>86</v>
      </c>
      <c r="J382" s="7" t="s">
        <v>5270</v>
      </c>
      <c r="K382" s="7" t="s">
        <v>5271</v>
      </c>
      <c r="L382" s="8"/>
      <c r="M382" s="5">
        <v>1914</v>
      </c>
      <c r="N382" s="5">
        <v>3166064983</v>
      </c>
      <c r="O382" s="9" t="s">
        <v>5272</v>
      </c>
      <c r="P382" s="10" t="s">
        <v>5273</v>
      </c>
      <c r="Q382" s="389" t="s">
        <v>5274</v>
      </c>
      <c r="R382" s="8" t="s">
        <v>7729</v>
      </c>
      <c r="S382" s="212" t="s">
        <v>12147</v>
      </c>
      <c r="T382" s="8" t="s">
        <v>5275</v>
      </c>
      <c r="U382" s="11" t="s">
        <v>172</v>
      </c>
      <c r="V382" s="12" t="s">
        <v>94</v>
      </c>
      <c r="W382" s="13">
        <v>42491</v>
      </c>
      <c r="X382" s="5" t="str">
        <f t="shared" ca="1" si="11"/>
        <v>10 Th, 4 Bln</v>
      </c>
      <c r="Y382" s="5"/>
      <c r="Z382" s="14"/>
      <c r="AA382" s="5" t="s">
        <v>96</v>
      </c>
      <c r="AB382" s="5" t="s">
        <v>97</v>
      </c>
      <c r="AC382" s="7" t="s">
        <v>5276</v>
      </c>
      <c r="AD382" s="131" t="s">
        <v>384</v>
      </c>
      <c r="AE382" s="131" t="s">
        <v>207</v>
      </c>
      <c r="AF382" s="7" t="s">
        <v>5277</v>
      </c>
      <c r="AG382" s="7" t="s">
        <v>3503</v>
      </c>
      <c r="AH382" s="7" t="s">
        <v>141</v>
      </c>
      <c r="AI382" s="7"/>
      <c r="AJ382" s="7" t="s">
        <v>94</v>
      </c>
      <c r="AK382" s="7" t="s">
        <v>179</v>
      </c>
      <c r="AL382" s="7" t="s">
        <v>5278</v>
      </c>
      <c r="AM382" s="15"/>
      <c r="AN382" s="15" t="s">
        <v>5279</v>
      </c>
      <c r="AO382" s="8">
        <v>2</v>
      </c>
      <c r="AP382" s="8">
        <v>1</v>
      </c>
      <c r="AQ382" s="8" t="s">
        <v>127</v>
      </c>
      <c r="AR382" s="8" t="s">
        <v>127</v>
      </c>
      <c r="AS382" s="132" t="s">
        <v>4957</v>
      </c>
      <c r="AT382" s="131" t="s">
        <v>4958</v>
      </c>
      <c r="AU382" s="132" t="s">
        <v>149</v>
      </c>
      <c r="AV382" s="16" t="s">
        <v>112</v>
      </c>
      <c r="AW382" s="56" t="s">
        <v>549</v>
      </c>
      <c r="AX382" s="56" t="s">
        <v>183</v>
      </c>
      <c r="AY382" s="7" t="s">
        <v>5280</v>
      </c>
      <c r="AZ382" s="10" t="s">
        <v>5281</v>
      </c>
      <c r="BA382" s="7" t="s">
        <v>5282</v>
      </c>
      <c r="BB382" s="17">
        <v>31929</v>
      </c>
      <c r="BC382" s="17" t="s">
        <v>96</v>
      </c>
      <c r="BD382" s="18" t="s">
        <v>5283</v>
      </c>
      <c r="BE382" s="7" t="s">
        <v>118</v>
      </c>
      <c r="BF382" s="7" t="s">
        <v>119</v>
      </c>
      <c r="BG382" s="7" t="s">
        <v>5284</v>
      </c>
      <c r="BH382" s="7" t="s">
        <v>5285</v>
      </c>
      <c r="BI382" s="19">
        <v>0</v>
      </c>
      <c r="BJ382" s="20" t="s">
        <v>190</v>
      </c>
      <c r="BK382" s="21" t="s">
        <v>5286</v>
      </c>
      <c r="BL382" s="7" t="s">
        <v>5287</v>
      </c>
      <c r="BM382" s="22" t="s">
        <v>5288</v>
      </c>
      <c r="BN382" s="8" t="s">
        <v>3761</v>
      </c>
      <c r="BO382" s="17">
        <v>31803</v>
      </c>
      <c r="BP382" s="17" t="s">
        <v>96</v>
      </c>
      <c r="BQ382" s="18" t="s">
        <v>5279</v>
      </c>
      <c r="BR382" s="7" t="s">
        <v>118</v>
      </c>
      <c r="BS382" s="7" t="s">
        <v>5289</v>
      </c>
      <c r="BT382" s="7" t="s">
        <v>452</v>
      </c>
      <c r="BU382" s="8" t="s">
        <v>127</v>
      </c>
      <c r="BV382" s="23" t="s">
        <v>127</v>
      </c>
      <c r="BW382" s="24" t="s">
        <v>983</v>
      </c>
      <c r="BX382" s="21" t="s">
        <v>5290</v>
      </c>
      <c r="BY382" s="21" t="s">
        <v>5291</v>
      </c>
      <c r="BZ382" s="21" t="s">
        <v>5292</v>
      </c>
      <c r="CA382" s="21">
        <v>28739</v>
      </c>
      <c r="CB382" s="21"/>
      <c r="CC382" s="21" t="s">
        <v>5293</v>
      </c>
      <c r="CD382" s="21" t="s">
        <v>118</v>
      </c>
      <c r="CE382" s="21" t="s">
        <v>5294</v>
      </c>
      <c r="CF382" s="21" t="s">
        <v>96</v>
      </c>
      <c r="CG382" s="21" t="s">
        <v>5295</v>
      </c>
      <c r="CH382" s="21" t="s">
        <v>293</v>
      </c>
      <c r="CI382" s="21" t="s">
        <v>100</v>
      </c>
      <c r="CJ382" s="21" t="s">
        <v>5296</v>
      </c>
      <c r="CK382" s="21" t="s">
        <v>5297</v>
      </c>
      <c r="CL382" s="21" t="s">
        <v>5292</v>
      </c>
      <c r="CN382" s="25"/>
      <c r="CO382" s="25"/>
      <c r="CP382" s="25"/>
      <c r="CQ382" s="25"/>
      <c r="CR382" s="25"/>
      <c r="CS382" s="26"/>
    </row>
    <row r="383" spans="1:97" s="27" customFormat="1" ht="23.25" customHeight="1">
      <c r="A383" s="4">
        <v>247</v>
      </c>
      <c r="B383" s="6" t="s">
        <v>4837</v>
      </c>
      <c r="C383" s="6" t="s">
        <v>4837</v>
      </c>
      <c r="D383" s="6" t="s">
        <v>4837</v>
      </c>
      <c r="E383" s="6"/>
      <c r="F383" s="6"/>
      <c r="G383" s="6" t="s">
        <v>5298</v>
      </c>
      <c r="H383" s="5" t="s">
        <v>4839</v>
      </c>
      <c r="I383" s="6" t="s">
        <v>86</v>
      </c>
      <c r="J383" s="7" t="s">
        <v>166</v>
      </c>
      <c r="K383" s="7" t="s">
        <v>374</v>
      </c>
      <c r="L383" s="8"/>
      <c r="M383" s="5">
        <v>1918</v>
      </c>
      <c r="N383" s="5">
        <v>3170887389</v>
      </c>
      <c r="O383" s="9" t="s">
        <v>5299</v>
      </c>
      <c r="P383" s="10" t="s">
        <v>5300</v>
      </c>
      <c r="Q383" s="389" t="s">
        <v>5301</v>
      </c>
      <c r="R383" s="8" t="s">
        <v>7729</v>
      </c>
      <c r="S383" s="212" t="s">
        <v>12147</v>
      </c>
      <c r="T383" s="8" t="s">
        <v>5302</v>
      </c>
      <c r="U383" s="11" t="s">
        <v>172</v>
      </c>
      <c r="V383" s="12" t="s">
        <v>94</v>
      </c>
      <c r="W383" s="13">
        <v>42869</v>
      </c>
      <c r="X383" s="5" t="str">
        <f t="shared" ca="1" si="11"/>
        <v>9 Th, 4 Bln</v>
      </c>
      <c r="Y383" s="5"/>
      <c r="Z383" s="14"/>
      <c r="AA383" s="5" t="s">
        <v>96</v>
      </c>
      <c r="AB383" s="5" t="s">
        <v>97</v>
      </c>
      <c r="AC383" s="7" t="s">
        <v>5303</v>
      </c>
      <c r="AD383" s="131" t="s">
        <v>1281</v>
      </c>
      <c r="AE383" s="131" t="s">
        <v>358</v>
      </c>
      <c r="AF383" s="7" t="s">
        <v>177</v>
      </c>
      <c r="AG383" s="7" t="s">
        <v>178</v>
      </c>
      <c r="AH383" s="7" t="s">
        <v>178</v>
      </c>
      <c r="AI383" s="7"/>
      <c r="AJ383" s="7" t="s">
        <v>103</v>
      </c>
      <c r="AK383" s="7" t="s">
        <v>179</v>
      </c>
      <c r="AL383" s="7" t="s">
        <v>5304</v>
      </c>
      <c r="AM383" s="15"/>
      <c r="AN383" s="15" t="s">
        <v>5305</v>
      </c>
      <c r="AO383" s="8">
        <v>2</v>
      </c>
      <c r="AP383" s="8">
        <v>2</v>
      </c>
      <c r="AQ383" s="8" t="s">
        <v>127</v>
      </c>
      <c r="AR383" s="8" t="s">
        <v>127</v>
      </c>
      <c r="AS383" s="132" t="s">
        <v>5306</v>
      </c>
      <c r="AT383" s="131" t="s">
        <v>5307</v>
      </c>
      <c r="AU383" s="132" t="s">
        <v>182</v>
      </c>
      <c r="AV383" s="16" t="s">
        <v>112</v>
      </c>
      <c r="AW383" s="56" t="s">
        <v>643</v>
      </c>
      <c r="AX383" s="56" t="s">
        <v>114</v>
      </c>
      <c r="AY383" s="7" t="s">
        <v>5308</v>
      </c>
      <c r="AZ383" s="10" t="s">
        <v>5309</v>
      </c>
      <c r="BA383" s="7" t="s">
        <v>222</v>
      </c>
      <c r="BB383" s="17">
        <v>31962</v>
      </c>
      <c r="BC383" s="17" t="s">
        <v>96</v>
      </c>
      <c r="BD383" s="18" t="s">
        <v>5305</v>
      </c>
      <c r="BE383" s="7" t="s">
        <v>153</v>
      </c>
      <c r="BF383" s="7" t="s">
        <v>247</v>
      </c>
      <c r="BG383" s="7" t="s">
        <v>127</v>
      </c>
      <c r="BH383" s="7" t="s">
        <v>127</v>
      </c>
      <c r="BI383" s="19" t="s">
        <v>127</v>
      </c>
      <c r="BJ383" s="20" t="s">
        <v>1312</v>
      </c>
      <c r="BK383" s="21" t="s">
        <v>5310</v>
      </c>
      <c r="BL383" s="7" t="s">
        <v>5311</v>
      </c>
      <c r="BM383" s="22" t="s">
        <v>5312</v>
      </c>
      <c r="BN383" s="8" t="s">
        <v>94</v>
      </c>
      <c r="BO383" s="17">
        <v>31180</v>
      </c>
      <c r="BP383" s="17" t="s">
        <v>96</v>
      </c>
      <c r="BQ383" s="18" t="s">
        <v>5313</v>
      </c>
      <c r="BR383" s="7" t="s">
        <v>153</v>
      </c>
      <c r="BS383" s="7" t="s">
        <v>126</v>
      </c>
      <c r="BT383" s="7" t="s">
        <v>127</v>
      </c>
      <c r="BU383" s="8" t="s">
        <v>127</v>
      </c>
      <c r="BV383" s="23" t="s">
        <v>127</v>
      </c>
      <c r="BW383" s="24" t="s">
        <v>127</v>
      </c>
      <c r="BX383" s="21" t="s">
        <v>5314</v>
      </c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N383" s="25"/>
      <c r="CO383" s="25"/>
      <c r="CP383" s="25"/>
      <c r="CQ383" s="25"/>
      <c r="CR383" s="25"/>
      <c r="CS383" s="26"/>
    </row>
    <row r="384" spans="1:97" s="27" customFormat="1" ht="23.25" customHeight="1">
      <c r="A384" s="4">
        <v>279</v>
      </c>
      <c r="B384" s="6" t="s">
        <v>4837</v>
      </c>
      <c r="C384" s="6" t="s">
        <v>4837</v>
      </c>
      <c r="D384" s="6" t="s">
        <v>4837</v>
      </c>
      <c r="E384" s="6"/>
      <c r="F384" s="6"/>
      <c r="G384" s="6" t="s">
        <v>5912</v>
      </c>
      <c r="H384" s="5" t="s">
        <v>4839</v>
      </c>
      <c r="I384" s="6" t="s">
        <v>86</v>
      </c>
      <c r="J384" s="7" t="s">
        <v>5913</v>
      </c>
      <c r="K384" s="7" t="s">
        <v>5914</v>
      </c>
      <c r="L384" s="8"/>
      <c r="M384" s="5">
        <v>1921</v>
      </c>
      <c r="N384" s="5">
        <v>3162016821</v>
      </c>
      <c r="O384" s="9" t="s">
        <v>5915</v>
      </c>
      <c r="P384" s="10" t="s">
        <v>5916</v>
      </c>
      <c r="Q384" s="389" t="s">
        <v>5917</v>
      </c>
      <c r="R384" s="8" t="s">
        <v>7729</v>
      </c>
      <c r="S384" s="212" t="s">
        <v>12147</v>
      </c>
      <c r="T384" s="8" t="s">
        <v>5918</v>
      </c>
      <c r="U384" s="11" t="s">
        <v>172</v>
      </c>
      <c r="V384" s="12" t="s">
        <v>94</v>
      </c>
      <c r="W384" s="13">
        <v>42587</v>
      </c>
      <c r="X384" s="5" t="str">
        <f t="shared" ca="1" si="11"/>
        <v>10 Th, 1 Bln</v>
      </c>
      <c r="Y384" s="5"/>
      <c r="Z384" s="14"/>
      <c r="AA384" s="5" t="s">
        <v>96</v>
      </c>
      <c r="AB384" s="5" t="s">
        <v>97</v>
      </c>
      <c r="AC384" s="7" t="s">
        <v>5919</v>
      </c>
      <c r="AD384" s="131" t="s">
        <v>294</v>
      </c>
      <c r="AE384" s="131" t="s">
        <v>100</v>
      </c>
      <c r="AF384" s="7" t="s">
        <v>177</v>
      </c>
      <c r="AG384" s="7" t="s">
        <v>178</v>
      </c>
      <c r="AH384" s="7" t="s">
        <v>178</v>
      </c>
      <c r="AI384" s="7"/>
      <c r="AJ384" s="7" t="s">
        <v>103</v>
      </c>
      <c r="AK384" s="7" t="s">
        <v>386</v>
      </c>
      <c r="AL384" s="7" t="s">
        <v>4986</v>
      </c>
      <c r="AM384" s="15" t="s">
        <v>5920</v>
      </c>
      <c r="AN384" s="15" t="s">
        <v>5921</v>
      </c>
      <c r="AO384" s="8">
        <v>2</v>
      </c>
      <c r="AP384" s="8">
        <v>1</v>
      </c>
      <c r="AQ384" s="8"/>
      <c r="AR384" s="8"/>
      <c r="AS384" s="132" t="s">
        <v>873</v>
      </c>
      <c r="AT384" s="131" t="s">
        <v>1439</v>
      </c>
      <c r="AU384" s="132" t="s">
        <v>182</v>
      </c>
      <c r="AV384" s="16" t="s">
        <v>112</v>
      </c>
      <c r="AW384" s="56" t="s">
        <v>150</v>
      </c>
      <c r="AX384" s="56" t="s">
        <v>644</v>
      </c>
      <c r="AY384" s="7" t="s">
        <v>5922</v>
      </c>
      <c r="AZ384" s="10" t="s">
        <v>5923</v>
      </c>
      <c r="BA384" s="7" t="s">
        <v>2806</v>
      </c>
      <c r="BB384" s="17">
        <v>31828</v>
      </c>
      <c r="BC384" s="17" t="s">
        <v>96</v>
      </c>
      <c r="BD384" s="18" t="s">
        <v>5924</v>
      </c>
      <c r="BE384" s="7" t="s">
        <v>153</v>
      </c>
      <c r="BF384" s="7" t="s">
        <v>327</v>
      </c>
      <c r="BG384" s="7" t="s">
        <v>5925</v>
      </c>
      <c r="BH384" s="7" t="s">
        <v>5926</v>
      </c>
      <c r="BI384" s="19"/>
      <c r="BJ384" s="20" t="s">
        <v>5927</v>
      </c>
      <c r="BK384" s="21" t="s">
        <v>5928</v>
      </c>
      <c r="BL384" s="7" t="s">
        <v>5929</v>
      </c>
      <c r="BM384" s="22" t="s">
        <v>5930</v>
      </c>
      <c r="BN384" s="8" t="s">
        <v>603</v>
      </c>
      <c r="BO384" s="17">
        <v>32199</v>
      </c>
      <c r="BP384" s="17" t="s">
        <v>96</v>
      </c>
      <c r="BQ384" s="18" t="s">
        <v>5931</v>
      </c>
      <c r="BR384" s="7" t="s">
        <v>118</v>
      </c>
      <c r="BS384" s="7" t="s">
        <v>327</v>
      </c>
      <c r="BT384" s="7" t="s">
        <v>5925</v>
      </c>
      <c r="BU384" s="8" t="s">
        <v>5932</v>
      </c>
      <c r="BV384" s="23"/>
      <c r="BW384" s="24" t="s">
        <v>5933</v>
      </c>
      <c r="BX384" s="21"/>
      <c r="BY384" s="21" t="s">
        <v>5922</v>
      </c>
      <c r="BZ384" s="21" t="s">
        <v>435</v>
      </c>
      <c r="CA384" s="21">
        <v>31828</v>
      </c>
      <c r="CB384" s="21"/>
      <c r="CC384" s="21" t="s">
        <v>5924</v>
      </c>
      <c r="CD384" s="21" t="s">
        <v>153</v>
      </c>
      <c r="CE384" s="21" t="s">
        <v>5934</v>
      </c>
      <c r="CF384" s="21" t="s">
        <v>96</v>
      </c>
      <c r="CG384" s="21" t="s">
        <v>5935</v>
      </c>
      <c r="CH384" s="21" t="s">
        <v>294</v>
      </c>
      <c r="CI384" s="21" t="s">
        <v>100</v>
      </c>
      <c r="CJ384" s="21" t="s">
        <v>177</v>
      </c>
      <c r="CK384" s="21" t="s">
        <v>178</v>
      </c>
      <c r="CL384" s="21" t="s">
        <v>94</v>
      </c>
      <c r="CN384" s="25"/>
      <c r="CO384" s="25"/>
      <c r="CP384" s="25"/>
      <c r="CQ384" s="25"/>
      <c r="CR384" s="25"/>
      <c r="CS384" s="26"/>
    </row>
    <row r="385" spans="1:97" s="27" customFormat="1" ht="23.25" customHeight="1">
      <c r="A385" s="4">
        <v>280</v>
      </c>
      <c r="B385" s="6" t="s">
        <v>4837</v>
      </c>
      <c r="C385" s="6" t="s">
        <v>4837</v>
      </c>
      <c r="D385" s="6" t="s">
        <v>4837</v>
      </c>
      <c r="E385" s="6" t="s">
        <v>4837</v>
      </c>
      <c r="F385" s="6"/>
      <c r="G385" s="6" t="s">
        <v>5936</v>
      </c>
      <c r="H385" s="5" t="s">
        <v>4839</v>
      </c>
      <c r="I385" s="6" t="s">
        <v>86</v>
      </c>
      <c r="J385" s="7" t="s">
        <v>5937</v>
      </c>
      <c r="K385" s="7" t="s">
        <v>5938</v>
      </c>
      <c r="L385" s="8"/>
      <c r="M385" s="5">
        <v>1922</v>
      </c>
      <c r="N385" s="5">
        <v>3171789976</v>
      </c>
      <c r="O385" s="9" t="s">
        <v>5939</v>
      </c>
      <c r="P385" s="10" t="s">
        <v>5940</v>
      </c>
      <c r="Q385" s="389" t="s">
        <v>5941</v>
      </c>
      <c r="R385" s="8" t="s">
        <v>7729</v>
      </c>
      <c r="S385" s="212" t="s">
        <v>12147</v>
      </c>
      <c r="T385" s="8" t="s">
        <v>5942</v>
      </c>
      <c r="U385" s="11" t="s">
        <v>93</v>
      </c>
      <c r="V385" s="12" t="s">
        <v>395</v>
      </c>
      <c r="W385" s="13">
        <v>43061</v>
      </c>
      <c r="X385" s="5" t="str">
        <f t="shared" ca="1" si="11"/>
        <v>8 Th, 9 Bln</v>
      </c>
      <c r="Y385" s="5"/>
      <c r="Z385" s="14"/>
      <c r="AA385" s="5" t="s">
        <v>96</v>
      </c>
      <c r="AB385" s="5" t="s">
        <v>97</v>
      </c>
      <c r="AC385" s="7" t="s">
        <v>5943</v>
      </c>
      <c r="AD385" s="131" t="s">
        <v>293</v>
      </c>
      <c r="AE385" s="131" t="s">
        <v>137</v>
      </c>
      <c r="AF385" s="7" t="s">
        <v>942</v>
      </c>
      <c r="AG385" s="7" t="s">
        <v>178</v>
      </c>
      <c r="AH385" s="7" t="s">
        <v>178</v>
      </c>
      <c r="AI385" s="7"/>
      <c r="AJ385" s="7" t="s">
        <v>103</v>
      </c>
      <c r="AK385" s="7" t="s">
        <v>104</v>
      </c>
      <c r="AL385" s="7"/>
      <c r="AM385" s="15" t="s">
        <v>5944</v>
      </c>
      <c r="AN385" s="15" t="s">
        <v>5944</v>
      </c>
      <c r="AO385" s="8">
        <v>1</v>
      </c>
      <c r="AP385" s="8">
        <v>1</v>
      </c>
      <c r="AQ385" s="8"/>
      <c r="AR385" s="8"/>
      <c r="AS385" s="132" t="s">
        <v>1843</v>
      </c>
      <c r="AT385" s="131" t="s">
        <v>4958</v>
      </c>
      <c r="AU385" s="132" t="s">
        <v>149</v>
      </c>
      <c r="AV385" s="16" t="s">
        <v>112</v>
      </c>
      <c r="AW385" s="56" t="s">
        <v>549</v>
      </c>
      <c r="AX385" s="56" t="s">
        <v>114</v>
      </c>
      <c r="AY385" s="7" t="s">
        <v>5945</v>
      </c>
      <c r="AZ385" s="10" t="s">
        <v>5946</v>
      </c>
      <c r="BA385" s="7" t="s">
        <v>469</v>
      </c>
      <c r="BB385" s="17">
        <v>32900</v>
      </c>
      <c r="BC385" s="17" t="s">
        <v>96</v>
      </c>
      <c r="BD385" s="18" t="s">
        <v>5947</v>
      </c>
      <c r="BE385" s="7" t="s">
        <v>118</v>
      </c>
      <c r="BF385" s="7" t="s">
        <v>247</v>
      </c>
      <c r="BG385" s="7" t="s">
        <v>5948</v>
      </c>
      <c r="BH385" s="7" t="s">
        <v>5083</v>
      </c>
      <c r="BI385" s="19"/>
      <c r="BJ385" s="20">
        <v>15000000</v>
      </c>
      <c r="BK385" s="21"/>
      <c r="BL385" s="7" t="s">
        <v>5949</v>
      </c>
      <c r="BM385" s="22" t="s">
        <v>5950</v>
      </c>
      <c r="BN385" s="8" t="s">
        <v>435</v>
      </c>
      <c r="BO385" s="17">
        <v>32299</v>
      </c>
      <c r="BP385" s="17" t="s">
        <v>96</v>
      </c>
      <c r="BQ385" s="18" t="s">
        <v>5944</v>
      </c>
      <c r="BR385" s="7" t="s">
        <v>118</v>
      </c>
      <c r="BS385" s="7" t="s">
        <v>126</v>
      </c>
      <c r="BT385" s="7" t="s">
        <v>108</v>
      </c>
      <c r="BU385" s="8" t="s">
        <v>108</v>
      </c>
      <c r="BV385" s="23"/>
      <c r="BW385" s="24"/>
      <c r="BX385" s="21" t="s">
        <v>5951</v>
      </c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N385" s="25"/>
      <c r="CO385" s="25"/>
      <c r="CP385" s="25"/>
      <c r="CQ385" s="25"/>
      <c r="CR385" s="25"/>
      <c r="CS385" s="26"/>
    </row>
    <row r="386" spans="1:97" s="27" customFormat="1" ht="23.25" customHeight="1">
      <c r="A386" s="4">
        <v>307</v>
      </c>
      <c r="B386" s="6" t="s">
        <v>4837</v>
      </c>
      <c r="C386" s="6" t="s">
        <v>4837</v>
      </c>
      <c r="D386" s="6" t="s">
        <v>4837</v>
      </c>
      <c r="E386" s="6"/>
      <c r="F386" s="6"/>
      <c r="G386" s="6" t="s">
        <v>6414</v>
      </c>
      <c r="H386" s="5" t="s">
        <v>4839</v>
      </c>
      <c r="I386" s="6" t="s">
        <v>86</v>
      </c>
      <c r="J386" s="7" t="s">
        <v>6415</v>
      </c>
      <c r="K386" s="7" t="s">
        <v>6416</v>
      </c>
      <c r="L386" s="8"/>
      <c r="M386" s="5">
        <v>1925</v>
      </c>
      <c r="N386" s="5">
        <v>3172748464</v>
      </c>
      <c r="O386" s="9" t="s">
        <v>6417</v>
      </c>
      <c r="P386" s="10" t="s">
        <v>6418</v>
      </c>
      <c r="Q386" s="389" t="s">
        <v>6419</v>
      </c>
      <c r="R386" s="8" t="s">
        <v>7729</v>
      </c>
      <c r="S386" s="212" t="s">
        <v>12147</v>
      </c>
      <c r="T386" s="8" t="s">
        <v>6420</v>
      </c>
      <c r="U386" s="11" t="s">
        <v>93</v>
      </c>
      <c r="V386" s="12" t="s">
        <v>94</v>
      </c>
      <c r="W386" s="13">
        <v>42795</v>
      </c>
      <c r="X386" s="5" t="str">
        <f t="shared" ca="1" si="11"/>
        <v>9 Th, 6 Bln</v>
      </c>
      <c r="Y386" s="5"/>
      <c r="Z386" s="14"/>
      <c r="AA386" s="5" t="s">
        <v>96</v>
      </c>
      <c r="AB386" s="5" t="s">
        <v>97</v>
      </c>
      <c r="AC386" s="7" t="s">
        <v>6421</v>
      </c>
      <c r="AD386" s="131" t="s">
        <v>176</v>
      </c>
      <c r="AE386" s="131" t="s">
        <v>827</v>
      </c>
      <c r="AF386" s="7" t="s">
        <v>240</v>
      </c>
      <c r="AG386" s="7" t="s">
        <v>241</v>
      </c>
      <c r="AH386" s="7" t="s">
        <v>241</v>
      </c>
      <c r="AI386" s="7"/>
      <c r="AJ386" s="7" t="s">
        <v>568</v>
      </c>
      <c r="AK386" s="7" t="s">
        <v>179</v>
      </c>
      <c r="AL386" s="7" t="s">
        <v>6422</v>
      </c>
      <c r="AM386" s="15" t="s">
        <v>6423</v>
      </c>
      <c r="AN386" s="15" t="s">
        <v>6424</v>
      </c>
      <c r="AO386" s="8">
        <v>1</v>
      </c>
      <c r="AP386" s="8">
        <v>1</v>
      </c>
      <c r="AQ386" s="8" t="s">
        <v>127</v>
      </c>
      <c r="AR386" s="8" t="s">
        <v>127</v>
      </c>
      <c r="AS386" s="132" t="s">
        <v>2244</v>
      </c>
      <c r="AT386" s="131" t="s">
        <v>5190</v>
      </c>
      <c r="AU386" s="132" t="s">
        <v>149</v>
      </c>
      <c r="AV386" s="16" t="s">
        <v>112</v>
      </c>
      <c r="AW386" s="56" t="s">
        <v>150</v>
      </c>
      <c r="AX386" s="56" t="s">
        <v>1844</v>
      </c>
      <c r="AY386" s="7" t="s">
        <v>6425</v>
      </c>
      <c r="AZ386" s="10" t="s">
        <v>6426</v>
      </c>
      <c r="BA386" s="7" t="s">
        <v>94</v>
      </c>
      <c r="BB386" s="17">
        <v>32829</v>
      </c>
      <c r="BC386" s="17" t="s">
        <v>96</v>
      </c>
      <c r="BD386" s="18" t="s">
        <v>6427</v>
      </c>
      <c r="BE386" s="7" t="s">
        <v>118</v>
      </c>
      <c r="BF386" s="7" t="s">
        <v>6428</v>
      </c>
      <c r="BG386" s="7" t="s">
        <v>6429</v>
      </c>
      <c r="BH386" s="7" t="s">
        <v>6430</v>
      </c>
      <c r="BI386" s="19"/>
      <c r="BJ386" s="20" t="s">
        <v>6431</v>
      </c>
      <c r="BK386" s="21" t="s">
        <v>6432</v>
      </c>
      <c r="BL386" s="7" t="s">
        <v>6433</v>
      </c>
      <c r="BM386" s="22" t="s">
        <v>6434</v>
      </c>
      <c r="BN386" s="8" t="s">
        <v>1765</v>
      </c>
      <c r="BO386" s="17">
        <v>33843</v>
      </c>
      <c r="BP386" s="17" t="s">
        <v>96</v>
      </c>
      <c r="BQ386" s="18" t="s">
        <v>6424</v>
      </c>
      <c r="BR386" s="7" t="s">
        <v>118</v>
      </c>
      <c r="BS386" s="7" t="s">
        <v>6435</v>
      </c>
      <c r="BT386" s="7" t="s">
        <v>6436</v>
      </c>
      <c r="BU386" s="8" t="s">
        <v>6437</v>
      </c>
      <c r="BV386" s="23" t="s">
        <v>6423</v>
      </c>
      <c r="BW386" s="24" t="s">
        <v>1639</v>
      </c>
      <c r="BX386" s="21" t="s">
        <v>6438</v>
      </c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N386" s="25"/>
      <c r="CO386" s="25"/>
      <c r="CP386" s="25"/>
      <c r="CQ386" s="25"/>
      <c r="CR386" s="25"/>
      <c r="CS386" s="26"/>
    </row>
    <row r="387" spans="1:97" s="87" customFormat="1" ht="23.25" customHeight="1">
      <c r="A387" s="4">
        <v>309</v>
      </c>
      <c r="B387" s="61"/>
      <c r="C387" s="61"/>
      <c r="D387" s="61"/>
      <c r="E387" s="61"/>
      <c r="F387" s="61"/>
      <c r="G387" s="61" t="s">
        <v>6460</v>
      </c>
      <c r="H387" s="62" t="s">
        <v>6461</v>
      </c>
      <c r="I387" s="61" t="s">
        <v>4774</v>
      </c>
      <c r="J387" s="63" t="s">
        <v>6462</v>
      </c>
      <c r="K387" s="63" t="s">
        <v>6463</v>
      </c>
      <c r="L387" s="64"/>
      <c r="M387" s="62">
        <v>2075</v>
      </c>
      <c r="N387" s="66" t="s">
        <v>6464</v>
      </c>
      <c r="O387" s="65" t="s">
        <v>6465</v>
      </c>
      <c r="P387" s="66" t="s">
        <v>6466</v>
      </c>
      <c r="Q387" s="391" t="s">
        <v>6467</v>
      </c>
      <c r="R387" s="8" t="s">
        <v>7729</v>
      </c>
      <c r="S387" s="212" t="s">
        <v>12147</v>
      </c>
      <c r="T387" s="64" t="s">
        <v>6468</v>
      </c>
      <c r="U387" s="67" t="s">
        <v>93</v>
      </c>
      <c r="V387" s="68" t="s">
        <v>6469</v>
      </c>
      <c r="W387" s="69" t="s">
        <v>6470</v>
      </c>
      <c r="X387" s="62" t="s">
        <v>639</v>
      </c>
      <c r="Y387" s="62"/>
      <c r="Z387" s="14"/>
      <c r="AA387" s="62" t="s">
        <v>96</v>
      </c>
      <c r="AB387" s="62" t="s">
        <v>97</v>
      </c>
      <c r="AC387" s="70" t="s">
        <v>6471</v>
      </c>
      <c r="AD387" s="133"/>
      <c r="AE387" s="64"/>
      <c r="AF387" s="63" t="s">
        <v>942</v>
      </c>
      <c r="AG387" s="63" t="s">
        <v>178</v>
      </c>
      <c r="AH387" s="63" t="s">
        <v>178</v>
      </c>
      <c r="AI387" s="63"/>
      <c r="AJ387" s="63" t="s">
        <v>103</v>
      </c>
      <c r="AK387" s="63"/>
      <c r="AL387" s="71"/>
      <c r="AM387" s="71"/>
      <c r="AN387" s="88" t="s">
        <v>6472</v>
      </c>
      <c r="AO387" s="64">
        <v>1</v>
      </c>
      <c r="AP387" s="64">
        <v>0</v>
      </c>
      <c r="AQ387" s="64">
        <v>0</v>
      </c>
      <c r="AR387" s="134">
        <v>0</v>
      </c>
      <c r="AS387" s="133">
        <v>20</v>
      </c>
      <c r="AT387" s="134"/>
      <c r="AU387" s="134"/>
      <c r="AV387" s="73" t="s">
        <v>112</v>
      </c>
      <c r="AW387" s="135"/>
      <c r="AX387" s="63" t="s">
        <v>114</v>
      </c>
      <c r="AY387" s="74" t="s">
        <v>6473</v>
      </c>
      <c r="AZ387" s="77" t="s">
        <v>6474</v>
      </c>
      <c r="BA387" s="75" t="s">
        <v>6475</v>
      </c>
      <c r="BB387" s="75" t="s">
        <v>6476</v>
      </c>
      <c r="BC387" s="76" t="s">
        <v>96</v>
      </c>
      <c r="BD387" s="77" t="s">
        <v>6472</v>
      </c>
      <c r="BE387" s="63" t="s">
        <v>224</v>
      </c>
      <c r="BF387" s="63" t="s">
        <v>154</v>
      </c>
      <c r="BG387" s="63" t="s">
        <v>761</v>
      </c>
      <c r="BH387" s="78" t="s">
        <v>6477</v>
      </c>
      <c r="BI387" s="94" t="s">
        <v>6478</v>
      </c>
      <c r="BJ387" s="80">
        <v>8000000</v>
      </c>
      <c r="BK387" s="89" t="s">
        <v>6479</v>
      </c>
      <c r="BL387" s="82" t="s">
        <v>6480</v>
      </c>
      <c r="BM387" s="93" t="s">
        <v>6481</v>
      </c>
      <c r="BN387" s="145" t="s">
        <v>6469</v>
      </c>
      <c r="BO387" s="75" t="s">
        <v>6482</v>
      </c>
      <c r="BP387" s="76" t="s">
        <v>96</v>
      </c>
      <c r="BQ387" s="77" t="s">
        <v>6483</v>
      </c>
      <c r="BR387" s="63" t="s">
        <v>224</v>
      </c>
      <c r="BS387" s="63" t="s">
        <v>1380</v>
      </c>
      <c r="BT387" s="64" t="s">
        <v>761</v>
      </c>
      <c r="BU387" s="64" t="s">
        <v>6477</v>
      </c>
      <c r="BV387" s="79"/>
      <c r="BW387" s="83">
        <v>8000000</v>
      </c>
      <c r="BX387" s="90" t="s">
        <v>6484</v>
      </c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4"/>
      <c r="CN387" s="85"/>
      <c r="CO387" s="85"/>
      <c r="CP387" s="85"/>
      <c r="CQ387" s="85"/>
      <c r="CR387" s="85"/>
      <c r="CS387" s="86"/>
    </row>
    <row r="388" spans="1:97" s="27" customFormat="1" ht="23.25" customHeight="1">
      <c r="A388" s="4">
        <v>310</v>
      </c>
      <c r="B388" s="6" t="s">
        <v>4837</v>
      </c>
      <c r="C388" s="6" t="s">
        <v>4837</v>
      </c>
      <c r="D388" s="6" t="s">
        <v>4837</v>
      </c>
      <c r="E388" s="6"/>
      <c r="F388" s="6"/>
      <c r="G388" s="6" t="s">
        <v>6485</v>
      </c>
      <c r="H388" s="5" t="s">
        <v>4839</v>
      </c>
      <c r="I388" s="6" t="s">
        <v>86</v>
      </c>
      <c r="J388" s="7" t="s">
        <v>4373</v>
      </c>
      <c r="K388" s="7" t="s">
        <v>6486</v>
      </c>
      <c r="L388" s="8"/>
      <c r="M388" s="5">
        <v>1927</v>
      </c>
      <c r="N388" s="5">
        <v>3161287055</v>
      </c>
      <c r="O388" s="9" t="s">
        <v>6487</v>
      </c>
      <c r="P388" s="10" t="s">
        <v>6488</v>
      </c>
      <c r="Q388" s="389" t="s">
        <v>6489</v>
      </c>
      <c r="R388" s="8" t="s">
        <v>7729</v>
      </c>
      <c r="S388" s="212" t="s">
        <v>12147</v>
      </c>
      <c r="T388" s="8" t="s">
        <v>6490</v>
      </c>
      <c r="U388" s="11" t="s">
        <v>172</v>
      </c>
      <c r="V388" s="12" t="s">
        <v>94</v>
      </c>
      <c r="W388" s="13">
        <v>42545</v>
      </c>
      <c r="X388" s="5" t="str">
        <f ca="1">""&amp;DATEDIF(W388,TODAY(),"y")&amp;" Th, "&amp;DATEDIF(W388,TODAY(),"ym")&amp;" Bln"</f>
        <v>10 Th, 2 Bln</v>
      </c>
      <c r="Y388" s="5"/>
      <c r="Z388" s="14"/>
      <c r="AA388" s="5" t="s">
        <v>96</v>
      </c>
      <c r="AB388" s="5" t="s">
        <v>97</v>
      </c>
      <c r="AC388" s="7" t="s">
        <v>6491</v>
      </c>
      <c r="AD388" s="131" t="s">
        <v>384</v>
      </c>
      <c r="AE388" s="131">
        <v>10</v>
      </c>
      <c r="AF388" s="7" t="s">
        <v>139</v>
      </c>
      <c r="AG388" s="7" t="s">
        <v>140</v>
      </c>
      <c r="AH388" s="7" t="s">
        <v>141</v>
      </c>
      <c r="AI388" s="7"/>
      <c r="AJ388" s="7" t="s">
        <v>1374</v>
      </c>
      <c r="AK388" s="7" t="s">
        <v>104</v>
      </c>
      <c r="AL388" s="7" t="s">
        <v>6492</v>
      </c>
      <c r="AM388" s="15"/>
      <c r="AN388" s="15" t="s">
        <v>6493</v>
      </c>
      <c r="AO388" s="8">
        <v>2</v>
      </c>
      <c r="AP388" s="8">
        <v>1</v>
      </c>
      <c r="AQ388" s="8" t="s">
        <v>127</v>
      </c>
      <c r="AR388" s="8" t="s">
        <v>127</v>
      </c>
      <c r="AS388" s="132" t="s">
        <v>2137</v>
      </c>
      <c r="AT388" s="131" t="s">
        <v>5211</v>
      </c>
      <c r="AU388" s="132" t="s">
        <v>182</v>
      </c>
      <c r="AV388" s="16" t="s">
        <v>112</v>
      </c>
      <c r="AW388" s="56" t="s">
        <v>549</v>
      </c>
      <c r="AX388" s="56" t="s">
        <v>1844</v>
      </c>
      <c r="AY388" s="7" t="s">
        <v>6494</v>
      </c>
      <c r="AZ388" s="10" t="s">
        <v>6495</v>
      </c>
      <c r="BA388" s="7" t="s">
        <v>94</v>
      </c>
      <c r="BB388" s="17">
        <v>27983</v>
      </c>
      <c r="BC388" s="17" t="s">
        <v>96</v>
      </c>
      <c r="BD388" s="18" t="s">
        <v>6496</v>
      </c>
      <c r="BE388" s="7" t="s">
        <v>216</v>
      </c>
      <c r="BF388" s="7" t="s">
        <v>276</v>
      </c>
      <c r="BG388" s="7" t="s">
        <v>6497</v>
      </c>
      <c r="BH388" s="7" t="s">
        <v>6498</v>
      </c>
      <c r="BI388" s="19"/>
      <c r="BJ388" s="20" t="s">
        <v>6499</v>
      </c>
      <c r="BK388" s="21"/>
      <c r="BL388" s="7" t="s">
        <v>6500</v>
      </c>
      <c r="BM388" s="22" t="s">
        <v>6501</v>
      </c>
      <c r="BN388" s="8" t="s">
        <v>94</v>
      </c>
      <c r="BO388" s="17">
        <v>34933</v>
      </c>
      <c r="BP388" s="17" t="s">
        <v>96</v>
      </c>
      <c r="BQ388" s="18" t="s">
        <v>6493</v>
      </c>
      <c r="BR388" s="7" t="s">
        <v>216</v>
      </c>
      <c r="BS388" s="7" t="s">
        <v>126</v>
      </c>
      <c r="BT388" s="7" t="s">
        <v>108</v>
      </c>
      <c r="BU388" s="8" t="s">
        <v>108</v>
      </c>
      <c r="BV388" s="23"/>
      <c r="BW388" s="24"/>
      <c r="BX388" s="21" t="s">
        <v>6502</v>
      </c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N388" s="25"/>
      <c r="CO388" s="25"/>
      <c r="CP388" s="25"/>
      <c r="CQ388" s="25"/>
      <c r="CR388" s="25"/>
      <c r="CS388" s="26"/>
    </row>
    <row r="389" spans="1:97" s="27" customFormat="1" ht="23.25" customHeight="1">
      <c r="A389" s="4">
        <v>344</v>
      </c>
      <c r="B389" s="61"/>
      <c r="C389" s="61"/>
      <c r="D389" s="61"/>
      <c r="E389" s="61"/>
      <c r="F389" s="61"/>
      <c r="G389" s="61"/>
      <c r="H389" s="62" t="s">
        <v>5048</v>
      </c>
      <c r="I389" s="61" t="s">
        <v>4774</v>
      </c>
      <c r="J389" s="63" t="s">
        <v>7053</v>
      </c>
      <c r="K389" s="63" t="s">
        <v>7054</v>
      </c>
      <c r="L389" s="64"/>
      <c r="M389" s="62">
        <v>2073</v>
      </c>
      <c r="N389" s="62">
        <v>3170951175</v>
      </c>
      <c r="O389" s="65" t="s">
        <v>7055</v>
      </c>
      <c r="P389" s="66" t="s">
        <v>7056</v>
      </c>
      <c r="Q389" s="391" t="s">
        <v>13434</v>
      </c>
      <c r="R389" s="8" t="s">
        <v>7729</v>
      </c>
      <c r="S389" s="212" t="s">
        <v>12147</v>
      </c>
      <c r="T389" s="64" t="s">
        <v>7057</v>
      </c>
      <c r="U389" s="67" t="s">
        <v>172</v>
      </c>
      <c r="V389" s="68" t="s">
        <v>544</v>
      </c>
      <c r="W389" s="69" t="s">
        <v>7058</v>
      </c>
      <c r="X389" s="62" t="str">
        <f ca="1">""&amp;DATEDIF(Z389,TODAY(),"y")&amp;" Th, "&amp;DATEDIF(Z389,TODAY(),"ym")&amp;" Bln"</f>
        <v>9 Th, 6 Bln</v>
      </c>
      <c r="Y389" s="62"/>
      <c r="Z389" s="14">
        <v>42800</v>
      </c>
      <c r="AA389" s="62" t="s">
        <v>737</v>
      </c>
      <c r="AB389" s="62"/>
      <c r="AC389" s="70" t="s">
        <v>7059</v>
      </c>
      <c r="AD389" s="133">
        <v>3</v>
      </c>
      <c r="AE389" s="64">
        <v>6</v>
      </c>
      <c r="AF389" s="63" t="s">
        <v>2799</v>
      </c>
      <c r="AG389" s="63" t="s">
        <v>547</v>
      </c>
      <c r="AH389" s="63" t="s">
        <v>178</v>
      </c>
      <c r="AI389" s="63"/>
      <c r="AJ389" s="63" t="s">
        <v>568</v>
      </c>
      <c r="AK389" s="63"/>
      <c r="AL389" s="71">
        <v>2</v>
      </c>
      <c r="AM389" s="71"/>
      <c r="AN389" s="72"/>
      <c r="AO389" s="64">
        <v>1</v>
      </c>
      <c r="AP389" s="64">
        <v>2</v>
      </c>
      <c r="AQ389" s="64"/>
      <c r="AR389" s="134"/>
      <c r="AS389" s="133"/>
      <c r="AT389" s="134"/>
      <c r="AU389" s="134" t="s">
        <v>111</v>
      </c>
      <c r="AV389" s="73"/>
      <c r="AW389" s="135"/>
      <c r="AX389" s="63"/>
      <c r="AY389" s="74" t="s">
        <v>7060</v>
      </c>
      <c r="AZ389" s="63" t="s">
        <v>7061</v>
      </c>
      <c r="BA389" s="75" t="s">
        <v>3587</v>
      </c>
      <c r="BB389" s="75" t="s">
        <v>7062</v>
      </c>
      <c r="BC389" s="76" t="s">
        <v>737</v>
      </c>
      <c r="BD389" s="77" t="s">
        <v>7063</v>
      </c>
      <c r="BE389" s="63" t="s">
        <v>7064</v>
      </c>
      <c r="BF389" s="63" t="s">
        <v>5215</v>
      </c>
      <c r="BG389" s="63" t="s">
        <v>7065</v>
      </c>
      <c r="BH389" s="78"/>
      <c r="BI389" s="79"/>
      <c r="BJ389" s="80">
        <v>10000000</v>
      </c>
      <c r="BK389" s="81" t="s">
        <v>7066</v>
      </c>
      <c r="BL389" s="82" t="s">
        <v>7067</v>
      </c>
      <c r="BM389" s="77" t="s">
        <v>7068</v>
      </c>
      <c r="BN389" s="145" t="s">
        <v>544</v>
      </c>
      <c r="BO389" s="75">
        <v>33184</v>
      </c>
      <c r="BP389" s="76" t="s">
        <v>737</v>
      </c>
      <c r="BQ389" s="77" t="s">
        <v>7069</v>
      </c>
      <c r="BR389" s="63" t="s">
        <v>118</v>
      </c>
      <c r="BS389" s="63" t="s">
        <v>5215</v>
      </c>
      <c r="BT389" s="64" t="s">
        <v>7070</v>
      </c>
      <c r="BU389" s="64" t="s">
        <v>7071</v>
      </c>
      <c r="BV389" s="79"/>
      <c r="BW389" s="83">
        <v>6000000</v>
      </c>
      <c r="BX389" s="83" t="s">
        <v>7072</v>
      </c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4"/>
      <c r="CN389" s="25"/>
      <c r="CO389" s="25"/>
      <c r="CP389" s="25"/>
      <c r="CQ389" s="25"/>
      <c r="CR389" s="25"/>
      <c r="CS389" s="26"/>
    </row>
    <row r="390" spans="1:97" s="27" customFormat="1" ht="23.25" customHeight="1">
      <c r="A390" s="4">
        <v>283</v>
      </c>
      <c r="B390" s="6" t="s">
        <v>4837</v>
      </c>
      <c r="C390" s="6"/>
      <c r="D390" s="6" t="s">
        <v>4837</v>
      </c>
      <c r="E390" s="6"/>
      <c r="F390" s="6"/>
      <c r="G390" s="6"/>
      <c r="H390" s="5" t="s">
        <v>4839</v>
      </c>
      <c r="I390" s="6" t="s">
        <v>86</v>
      </c>
      <c r="J390" s="7" t="s">
        <v>166</v>
      </c>
      <c r="K390" s="7" t="s">
        <v>1993</v>
      </c>
      <c r="L390" s="8"/>
      <c r="M390" s="5">
        <v>1934</v>
      </c>
      <c r="N390" s="5">
        <v>3171233761</v>
      </c>
      <c r="O390" s="9" t="s">
        <v>5979</v>
      </c>
      <c r="P390" s="10" t="s">
        <v>5980</v>
      </c>
      <c r="Q390" s="389" t="s">
        <v>13427</v>
      </c>
      <c r="R390" s="8" t="s">
        <v>7729</v>
      </c>
      <c r="S390" s="212" t="s">
        <v>12147</v>
      </c>
      <c r="T390" s="8" t="s">
        <v>2909</v>
      </c>
      <c r="U390" s="11" t="s">
        <v>93</v>
      </c>
      <c r="V390" s="12" t="s">
        <v>94</v>
      </c>
      <c r="W390" s="13">
        <v>42846</v>
      </c>
      <c r="X390" s="5" t="str">
        <f t="shared" ref="X390:X398" ca="1" si="12">""&amp;DATEDIF(W390,TODAY(),"y")&amp;" Th, "&amp;DATEDIF(W390,TODAY(),"ym")&amp;" Bln"</f>
        <v>9 Th, 4 Bln</v>
      </c>
      <c r="Y390" s="5"/>
      <c r="Z390" s="14"/>
      <c r="AA390" s="5" t="s">
        <v>96</v>
      </c>
      <c r="AB390" s="5" t="s">
        <v>97</v>
      </c>
      <c r="AC390" s="7" t="s">
        <v>4206</v>
      </c>
      <c r="AD390" s="131" t="s">
        <v>827</v>
      </c>
      <c r="AE390" s="131" t="s">
        <v>966</v>
      </c>
      <c r="AF390" s="7" t="s">
        <v>615</v>
      </c>
      <c r="AG390" s="7" t="s">
        <v>178</v>
      </c>
      <c r="AH390" s="7" t="s">
        <v>178</v>
      </c>
      <c r="AI390" s="7"/>
      <c r="AJ390" s="7" t="s">
        <v>103</v>
      </c>
      <c r="AK390" s="7" t="s">
        <v>179</v>
      </c>
      <c r="AL390" s="7" t="s">
        <v>4986</v>
      </c>
      <c r="AM390" s="15" t="s">
        <v>4207</v>
      </c>
      <c r="AN390" s="15" t="s">
        <v>4208</v>
      </c>
      <c r="AO390" s="8">
        <v>3</v>
      </c>
      <c r="AP390" s="8">
        <v>3</v>
      </c>
      <c r="AQ390" s="8" t="s">
        <v>127</v>
      </c>
      <c r="AR390" s="8" t="s">
        <v>127</v>
      </c>
      <c r="AS390" s="132" t="s">
        <v>5981</v>
      </c>
      <c r="AT390" s="131" t="s">
        <v>5211</v>
      </c>
      <c r="AU390" s="132" t="s">
        <v>182</v>
      </c>
      <c r="AV390" s="16" t="s">
        <v>112</v>
      </c>
      <c r="AW390" s="56" t="s">
        <v>392</v>
      </c>
      <c r="AX390" s="56" t="s">
        <v>114</v>
      </c>
      <c r="AY390" s="7" t="s">
        <v>4209</v>
      </c>
      <c r="AZ390" s="10" t="s">
        <v>4210</v>
      </c>
      <c r="BA390" s="7" t="s">
        <v>1208</v>
      </c>
      <c r="BB390" s="17">
        <v>29315</v>
      </c>
      <c r="BC390" s="17" t="s">
        <v>96</v>
      </c>
      <c r="BD390" s="18" t="s">
        <v>4211</v>
      </c>
      <c r="BE390" s="7" t="s">
        <v>118</v>
      </c>
      <c r="BF390" s="7" t="s">
        <v>327</v>
      </c>
      <c r="BG390" s="7" t="s">
        <v>5982</v>
      </c>
      <c r="BH390" s="7" t="s">
        <v>5983</v>
      </c>
      <c r="BI390" s="19" t="s">
        <v>5984</v>
      </c>
      <c r="BJ390" s="20" t="s">
        <v>607</v>
      </c>
      <c r="BK390" s="21" t="s">
        <v>5985</v>
      </c>
      <c r="BL390" s="7" t="s">
        <v>4216</v>
      </c>
      <c r="BM390" s="22" t="s">
        <v>4217</v>
      </c>
      <c r="BN390" s="8" t="s">
        <v>395</v>
      </c>
      <c r="BO390" s="17">
        <v>29806</v>
      </c>
      <c r="BP390" s="17" t="s">
        <v>96</v>
      </c>
      <c r="BQ390" s="18" t="s">
        <v>4208</v>
      </c>
      <c r="BR390" s="7" t="s">
        <v>118</v>
      </c>
      <c r="BS390" s="7" t="s">
        <v>471</v>
      </c>
      <c r="BT390" s="7" t="s">
        <v>4218</v>
      </c>
      <c r="BU390" s="8" t="s">
        <v>5986</v>
      </c>
      <c r="BV390" s="23" t="s">
        <v>5987</v>
      </c>
      <c r="BW390" s="24" t="s">
        <v>556</v>
      </c>
      <c r="BX390" s="21" t="s">
        <v>4220</v>
      </c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N390" s="25"/>
      <c r="CO390" s="25"/>
      <c r="CP390" s="25"/>
      <c r="CQ390" s="25"/>
      <c r="CR390" s="25"/>
      <c r="CS390" s="26"/>
    </row>
    <row r="391" spans="1:97" s="27" customFormat="1" ht="23.25" customHeight="1">
      <c r="A391" s="4">
        <v>312</v>
      </c>
      <c r="B391" s="6" t="s">
        <v>4837</v>
      </c>
      <c r="C391" s="6" t="s">
        <v>4837</v>
      </c>
      <c r="D391" s="6" t="s">
        <v>4837</v>
      </c>
      <c r="E391" s="6"/>
      <c r="F391" s="6"/>
      <c r="G391" s="6" t="s">
        <v>6521</v>
      </c>
      <c r="H391" s="5" t="s">
        <v>4839</v>
      </c>
      <c r="I391" s="6" t="s">
        <v>86</v>
      </c>
      <c r="J391" s="7" t="s">
        <v>6522</v>
      </c>
      <c r="K391" s="7" t="s">
        <v>6523</v>
      </c>
      <c r="L391" s="8"/>
      <c r="M391" s="5">
        <v>1936</v>
      </c>
      <c r="N391" s="5" t="s">
        <v>6524</v>
      </c>
      <c r="O391" s="9" t="s">
        <v>6525</v>
      </c>
      <c r="P391" s="10" t="s">
        <v>6526</v>
      </c>
      <c r="Q391" s="389" t="s">
        <v>6527</v>
      </c>
      <c r="R391" s="8" t="s">
        <v>7729</v>
      </c>
      <c r="S391" s="212" t="s">
        <v>12147</v>
      </c>
      <c r="T391" s="8" t="s">
        <v>6528</v>
      </c>
      <c r="U391" s="11" t="s">
        <v>93</v>
      </c>
      <c r="V391" s="12" t="s">
        <v>94</v>
      </c>
      <c r="W391" s="13">
        <v>42653</v>
      </c>
      <c r="X391" s="5" t="str">
        <f t="shared" ca="1" si="12"/>
        <v>9 Th, 11 Bln</v>
      </c>
      <c r="Y391" s="5"/>
      <c r="Z391" s="14"/>
      <c r="AA391" s="5" t="s">
        <v>96</v>
      </c>
      <c r="AB391" s="5" t="s">
        <v>97</v>
      </c>
      <c r="AC391" s="7" t="s">
        <v>6529</v>
      </c>
      <c r="AD391" s="131" t="s">
        <v>294</v>
      </c>
      <c r="AE391" s="131" t="s">
        <v>100</v>
      </c>
      <c r="AF391" s="7" t="s">
        <v>1155</v>
      </c>
      <c r="AG391" s="7" t="s">
        <v>732</v>
      </c>
      <c r="AH391" s="7" t="s">
        <v>141</v>
      </c>
      <c r="AI391" s="7"/>
      <c r="AJ391" s="7" t="s">
        <v>142</v>
      </c>
      <c r="AK391" s="7" t="s">
        <v>104</v>
      </c>
      <c r="AL391" s="7" t="s">
        <v>4915</v>
      </c>
      <c r="AM391" s="15" t="s">
        <v>6530</v>
      </c>
      <c r="AN391" s="15" t="s">
        <v>6530</v>
      </c>
      <c r="AO391" s="8">
        <v>3</v>
      </c>
      <c r="AP391" s="8">
        <v>2</v>
      </c>
      <c r="AQ391" s="8" t="s">
        <v>127</v>
      </c>
      <c r="AR391" s="8" t="s">
        <v>127</v>
      </c>
      <c r="AS391" s="132" t="s">
        <v>5786</v>
      </c>
      <c r="AT391" s="131" t="s">
        <v>1266</v>
      </c>
      <c r="AU391" s="132" t="s">
        <v>111</v>
      </c>
      <c r="AV391" s="16" t="s">
        <v>112</v>
      </c>
      <c r="AW391" s="56" t="s">
        <v>150</v>
      </c>
      <c r="AX391" s="56" t="s">
        <v>6531</v>
      </c>
      <c r="AY391" s="7" t="s">
        <v>6532</v>
      </c>
      <c r="AZ391" s="10" t="s">
        <v>6533</v>
      </c>
      <c r="BA391" s="7" t="s">
        <v>4043</v>
      </c>
      <c r="BB391" s="17">
        <v>27998</v>
      </c>
      <c r="BC391" s="17" t="s">
        <v>96</v>
      </c>
      <c r="BD391" s="18" t="s">
        <v>6534</v>
      </c>
      <c r="BE391" s="7" t="s">
        <v>224</v>
      </c>
      <c r="BF391" s="7" t="s">
        <v>6535</v>
      </c>
      <c r="BG391" s="7" t="s">
        <v>226</v>
      </c>
      <c r="BH391" s="7" t="s">
        <v>6536</v>
      </c>
      <c r="BI391" s="19" t="s">
        <v>127</v>
      </c>
      <c r="BJ391" s="20">
        <v>5000000</v>
      </c>
      <c r="BK391" s="21" t="s">
        <v>6537</v>
      </c>
      <c r="BL391" s="7" t="s">
        <v>6538</v>
      </c>
      <c r="BM391" s="22" t="s">
        <v>6539</v>
      </c>
      <c r="BN391" s="8" t="s">
        <v>1527</v>
      </c>
      <c r="BO391" s="17">
        <v>28230</v>
      </c>
      <c r="BP391" s="17" t="s">
        <v>96</v>
      </c>
      <c r="BQ391" s="18" t="s">
        <v>6530</v>
      </c>
      <c r="BR391" s="7" t="s">
        <v>153</v>
      </c>
      <c r="BS391" s="7" t="s">
        <v>6540</v>
      </c>
      <c r="BT391" s="7" t="s">
        <v>6541</v>
      </c>
      <c r="BU391" s="8" t="s">
        <v>6542</v>
      </c>
      <c r="BV391" s="23" t="s">
        <v>127</v>
      </c>
      <c r="BW391" s="24" t="s">
        <v>127</v>
      </c>
      <c r="BX391" s="21" t="s">
        <v>6543</v>
      </c>
      <c r="BY391" s="21" t="s">
        <v>127</v>
      </c>
      <c r="BZ391" s="21" t="s">
        <v>127</v>
      </c>
      <c r="CA391" s="21"/>
      <c r="CB391" s="21"/>
      <c r="CC391" s="21" t="s">
        <v>127</v>
      </c>
      <c r="CD391" s="21"/>
      <c r="CE391" s="21" t="s">
        <v>127</v>
      </c>
      <c r="CF391" s="21"/>
      <c r="CG391" s="21" t="s">
        <v>127</v>
      </c>
      <c r="CH391" s="21" t="s">
        <v>127</v>
      </c>
      <c r="CI391" s="21" t="s">
        <v>127</v>
      </c>
      <c r="CJ391" s="21" t="s">
        <v>127</v>
      </c>
      <c r="CK391" s="21" t="s">
        <v>127</v>
      </c>
      <c r="CL391" s="21" t="s">
        <v>127</v>
      </c>
      <c r="CN391" s="25"/>
      <c r="CO391" s="25"/>
      <c r="CP391" s="25"/>
      <c r="CQ391" s="25"/>
      <c r="CR391" s="25"/>
      <c r="CS391" s="26"/>
    </row>
    <row r="392" spans="1:97" s="27" customFormat="1" ht="23.25" customHeight="1">
      <c r="A392" s="4">
        <v>257</v>
      </c>
      <c r="B392" s="6" t="s">
        <v>4837</v>
      </c>
      <c r="C392" s="6" t="s">
        <v>4837</v>
      </c>
      <c r="D392" s="6" t="s">
        <v>4837</v>
      </c>
      <c r="E392" s="6"/>
      <c r="F392" s="6"/>
      <c r="G392" s="6" t="s">
        <v>5480</v>
      </c>
      <c r="H392" s="5" t="s">
        <v>4839</v>
      </c>
      <c r="I392" s="6" t="s">
        <v>86</v>
      </c>
      <c r="J392" s="7" t="s">
        <v>166</v>
      </c>
      <c r="K392" s="7" t="s">
        <v>1993</v>
      </c>
      <c r="L392" s="8"/>
      <c r="M392" s="5">
        <v>1833</v>
      </c>
      <c r="N392" s="5" t="s">
        <v>5481</v>
      </c>
      <c r="O392" s="9" t="s">
        <v>5482</v>
      </c>
      <c r="P392" s="10" t="s">
        <v>5483</v>
      </c>
      <c r="Q392" s="389" t="s">
        <v>5484</v>
      </c>
      <c r="R392" s="8" t="s">
        <v>8304</v>
      </c>
      <c r="S392" s="212" t="s">
        <v>12148</v>
      </c>
      <c r="T392" s="8" t="s">
        <v>5485</v>
      </c>
      <c r="U392" s="11" t="s">
        <v>93</v>
      </c>
      <c r="V392" s="12" t="s">
        <v>94</v>
      </c>
      <c r="W392" s="13">
        <v>42671</v>
      </c>
      <c r="X392" s="5" t="str">
        <f t="shared" ca="1" si="12"/>
        <v>9 Th, 10 Bln</v>
      </c>
      <c r="Y392" s="5"/>
      <c r="Z392" s="14"/>
      <c r="AA392" s="5" t="s">
        <v>96</v>
      </c>
      <c r="AB392" s="5" t="s">
        <v>97</v>
      </c>
      <c r="AC392" s="7" t="s">
        <v>5486</v>
      </c>
      <c r="AD392" s="131" t="s">
        <v>239</v>
      </c>
      <c r="AE392" s="131" t="s">
        <v>2589</v>
      </c>
      <c r="AF392" s="7" t="s">
        <v>5487</v>
      </c>
      <c r="AG392" s="7" t="s">
        <v>3503</v>
      </c>
      <c r="AH392" s="7" t="s">
        <v>141</v>
      </c>
      <c r="AI392" s="7"/>
      <c r="AJ392" s="7" t="s">
        <v>1374</v>
      </c>
      <c r="AK392" s="7" t="s">
        <v>179</v>
      </c>
      <c r="AL392" s="7" t="s">
        <v>5208</v>
      </c>
      <c r="AM392" s="15"/>
      <c r="AN392" s="15" t="s">
        <v>5488</v>
      </c>
      <c r="AO392" s="8">
        <v>2</v>
      </c>
      <c r="AP392" s="8">
        <v>1</v>
      </c>
      <c r="AQ392" s="8">
        <v>0</v>
      </c>
      <c r="AR392" s="8">
        <v>0</v>
      </c>
      <c r="AS392" s="132" t="s">
        <v>873</v>
      </c>
      <c r="AT392" s="131" t="s">
        <v>272</v>
      </c>
      <c r="AU392" s="132" t="s">
        <v>149</v>
      </c>
      <c r="AV392" s="16" t="s">
        <v>112</v>
      </c>
      <c r="AW392" s="56" t="s">
        <v>150</v>
      </c>
      <c r="AX392" s="56" t="s">
        <v>114</v>
      </c>
      <c r="AY392" s="7" t="s">
        <v>5489</v>
      </c>
      <c r="AZ392" s="10" t="s">
        <v>5490</v>
      </c>
      <c r="BA392" s="7" t="s">
        <v>94</v>
      </c>
      <c r="BB392" s="17">
        <v>29852</v>
      </c>
      <c r="BC392" s="17" t="s">
        <v>96</v>
      </c>
      <c r="BD392" s="18" t="s">
        <v>5488</v>
      </c>
      <c r="BE392" s="7" t="s">
        <v>153</v>
      </c>
      <c r="BF392" s="7" t="s">
        <v>247</v>
      </c>
      <c r="BG392" s="7" t="s">
        <v>5491</v>
      </c>
      <c r="BH392" s="7" t="s">
        <v>5492</v>
      </c>
      <c r="BI392" s="19" t="s">
        <v>5493</v>
      </c>
      <c r="BJ392" s="20" t="s">
        <v>3517</v>
      </c>
      <c r="BK392" s="21" t="s">
        <v>5494</v>
      </c>
      <c r="BL392" s="7" t="s">
        <v>5495</v>
      </c>
      <c r="BM392" s="22" t="s">
        <v>5496</v>
      </c>
      <c r="BN392" s="8" t="s">
        <v>603</v>
      </c>
      <c r="BO392" s="17">
        <v>32220</v>
      </c>
      <c r="BP392" s="17" t="s">
        <v>96</v>
      </c>
      <c r="BQ392" s="18" t="s">
        <v>5497</v>
      </c>
      <c r="BR392" s="7" t="s">
        <v>118</v>
      </c>
      <c r="BS392" s="7" t="s">
        <v>980</v>
      </c>
      <c r="BT392" s="7" t="s">
        <v>5498</v>
      </c>
      <c r="BU392" s="8" t="s">
        <v>5499</v>
      </c>
      <c r="BV392" s="23" t="s">
        <v>5500</v>
      </c>
      <c r="BW392" s="24" t="s">
        <v>3517</v>
      </c>
      <c r="BX392" s="21" t="s">
        <v>127</v>
      </c>
      <c r="BY392" s="21" t="s">
        <v>5501</v>
      </c>
      <c r="BZ392" s="21" t="s">
        <v>5502</v>
      </c>
      <c r="CA392" s="21">
        <v>19994</v>
      </c>
      <c r="CB392" s="21"/>
      <c r="CC392" s="21" t="s">
        <v>5503</v>
      </c>
      <c r="CD392" s="21" t="s">
        <v>118</v>
      </c>
      <c r="CE392" s="21" t="s">
        <v>5504</v>
      </c>
      <c r="CF392" s="21" t="s">
        <v>96</v>
      </c>
      <c r="CG392" s="21" t="s">
        <v>5505</v>
      </c>
      <c r="CH392" s="21" t="s">
        <v>2589</v>
      </c>
      <c r="CI392" s="21" t="s">
        <v>265</v>
      </c>
      <c r="CJ392" s="21" t="s">
        <v>5506</v>
      </c>
      <c r="CK392" s="21" t="s">
        <v>5046</v>
      </c>
      <c r="CL392" s="21" t="s">
        <v>5047</v>
      </c>
      <c r="CN392" s="25"/>
      <c r="CO392" s="25"/>
      <c r="CP392" s="25"/>
      <c r="CQ392" s="25"/>
      <c r="CR392" s="25"/>
      <c r="CS392" s="26"/>
    </row>
    <row r="393" spans="1:97" s="27" customFormat="1" ht="23.25" customHeight="1">
      <c r="A393" s="4">
        <v>286</v>
      </c>
      <c r="B393" s="6" t="s">
        <v>4837</v>
      </c>
      <c r="C393" s="6" t="s">
        <v>4837</v>
      </c>
      <c r="D393" s="6" t="s">
        <v>4837</v>
      </c>
      <c r="E393" s="6"/>
      <c r="F393" s="6"/>
      <c r="G393" s="6" t="s">
        <v>6022</v>
      </c>
      <c r="H393" s="5" t="s">
        <v>4839</v>
      </c>
      <c r="I393" s="6" t="s">
        <v>86</v>
      </c>
      <c r="J393" s="7" t="s">
        <v>166</v>
      </c>
      <c r="K393" s="7" t="s">
        <v>1993</v>
      </c>
      <c r="L393" s="8"/>
      <c r="M393" s="5">
        <v>1834</v>
      </c>
      <c r="N393" s="5">
        <v>3167774553</v>
      </c>
      <c r="O393" s="9">
        <v>3573011310220010</v>
      </c>
      <c r="P393" s="10" t="s">
        <v>6023</v>
      </c>
      <c r="Q393" s="389" t="s">
        <v>6024</v>
      </c>
      <c r="R393" s="8" t="s">
        <v>8304</v>
      </c>
      <c r="S393" s="212" t="s">
        <v>12148</v>
      </c>
      <c r="T393" s="8" t="s">
        <v>6026</v>
      </c>
      <c r="U393" s="11" t="s">
        <v>172</v>
      </c>
      <c r="V393" s="12" t="s">
        <v>94</v>
      </c>
      <c r="W393" s="13">
        <v>42696</v>
      </c>
      <c r="X393" s="5" t="str">
        <f t="shared" ca="1" si="12"/>
        <v>9 Th, 9 Bln</v>
      </c>
      <c r="Y393" s="5"/>
      <c r="Z393" s="14"/>
      <c r="AA393" s="5" t="s">
        <v>96</v>
      </c>
      <c r="AB393" s="5" t="s">
        <v>97</v>
      </c>
      <c r="AC393" s="7" t="s">
        <v>6027</v>
      </c>
      <c r="AD393" s="131">
        <v>11</v>
      </c>
      <c r="AE393" s="131" t="s">
        <v>294</v>
      </c>
      <c r="AF393" s="7" t="s">
        <v>240</v>
      </c>
      <c r="AG393" s="7" t="s">
        <v>241</v>
      </c>
      <c r="AH393" s="7" t="s">
        <v>241</v>
      </c>
      <c r="AI393" s="7"/>
      <c r="AJ393" s="7" t="s">
        <v>103</v>
      </c>
      <c r="AK393" s="7" t="s">
        <v>104</v>
      </c>
      <c r="AL393" s="7" t="s">
        <v>5386</v>
      </c>
      <c r="AM393" s="15" t="s">
        <v>127</v>
      </c>
      <c r="AN393" s="15" t="s">
        <v>6028</v>
      </c>
      <c r="AO393" s="8">
        <v>1</v>
      </c>
      <c r="AP393" s="8">
        <v>0</v>
      </c>
      <c r="AQ393" s="8">
        <v>0</v>
      </c>
      <c r="AR393" s="8">
        <v>0</v>
      </c>
      <c r="AS393" s="132" t="s">
        <v>4957</v>
      </c>
      <c r="AT393" s="131" t="s">
        <v>1266</v>
      </c>
      <c r="AU393" s="132" t="s">
        <v>182</v>
      </c>
      <c r="AV393" s="16" t="s">
        <v>112</v>
      </c>
      <c r="AW393" s="56" t="s">
        <v>392</v>
      </c>
      <c r="AX393" s="56" t="s">
        <v>183</v>
      </c>
      <c r="AY393" s="7" t="s">
        <v>6029</v>
      </c>
      <c r="AZ393" s="10" t="s">
        <v>6030</v>
      </c>
      <c r="BA393" s="7" t="s">
        <v>94</v>
      </c>
      <c r="BB393" s="17">
        <v>32221</v>
      </c>
      <c r="BC393" s="17" t="s">
        <v>96</v>
      </c>
      <c r="BD393" s="18" t="s">
        <v>127</v>
      </c>
      <c r="BE393" s="7" t="s">
        <v>118</v>
      </c>
      <c r="BF393" s="7" t="s">
        <v>4594</v>
      </c>
      <c r="BG393" s="7" t="s">
        <v>6031</v>
      </c>
      <c r="BH393" s="7" t="s">
        <v>1777</v>
      </c>
      <c r="BI393" s="19" t="s">
        <v>127</v>
      </c>
      <c r="BJ393" s="20" t="s">
        <v>6032</v>
      </c>
      <c r="BK393" s="21" t="s">
        <v>127</v>
      </c>
      <c r="BL393" s="7" t="s">
        <v>6033</v>
      </c>
      <c r="BM393" s="22" t="s">
        <v>6034</v>
      </c>
      <c r="BN393" s="8" t="s">
        <v>94</v>
      </c>
      <c r="BO393" s="17">
        <v>31866</v>
      </c>
      <c r="BP393" s="17" t="s">
        <v>96</v>
      </c>
      <c r="BQ393" s="18" t="s">
        <v>6028</v>
      </c>
      <c r="BR393" s="7" t="s">
        <v>118</v>
      </c>
      <c r="BS393" s="7" t="s">
        <v>6035</v>
      </c>
      <c r="BT393" s="7" t="s">
        <v>768</v>
      </c>
      <c r="BU393" s="8" t="s">
        <v>6036</v>
      </c>
      <c r="BV393" s="23" t="s">
        <v>3829</v>
      </c>
      <c r="BW393" s="24" t="s">
        <v>1296</v>
      </c>
      <c r="BX393" s="21" t="s">
        <v>6037</v>
      </c>
      <c r="BY393" s="21" t="s">
        <v>6038</v>
      </c>
      <c r="BZ393" s="21" t="s">
        <v>94</v>
      </c>
      <c r="CA393" s="21">
        <v>33717</v>
      </c>
      <c r="CB393" s="21"/>
      <c r="CC393" s="21" t="s">
        <v>6039</v>
      </c>
      <c r="CD393" s="21" t="s">
        <v>118</v>
      </c>
      <c r="CE393" s="21" t="s">
        <v>276</v>
      </c>
      <c r="CF393" s="21" t="s">
        <v>96</v>
      </c>
      <c r="CG393" s="21" t="s">
        <v>6040</v>
      </c>
      <c r="CH393" s="21" t="s">
        <v>293</v>
      </c>
      <c r="CI393" s="21" t="s">
        <v>99</v>
      </c>
      <c r="CJ393" s="21" t="s">
        <v>6041</v>
      </c>
      <c r="CK393" s="21" t="s">
        <v>6042</v>
      </c>
      <c r="CL393" s="21" t="s">
        <v>395</v>
      </c>
      <c r="CN393" s="25"/>
      <c r="CO393" s="25"/>
      <c r="CP393" s="25"/>
      <c r="CQ393" s="25"/>
      <c r="CR393" s="25"/>
      <c r="CS393" s="26"/>
    </row>
    <row r="394" spans="1:97" s="27" customFormat="1" ht="23.25" customHeight="1">
      <c r="A394" s="4">
        <v>229</v>
      </c>
      <c r="B394" s="6" t="s">
        <v>4837</v>
      </c>
      <c r="C394" s="6" t="s">
        <v>4837</v>
      </c>
      <c r="D394" s="6" t="s">
        <v>4837</v>
      </c>
      <c r="E394" s="6"/>
      <c r="F394" s="6"/>
      <c r="G394" s="6" t="s">
        <v>4929</v>
      </c>
      <c r="H394" s="5" t="s">
        <v>4839</v>
      </c>
      <c r="I394" s="6" t="s">
        <v>86</v>
      </c>
      <c r="J394" s="7" t="s">
        <v>4907</v>
      </c>
      <c r="K394" s="7" t="s">
        <v>884</v>
      </c>
      <c r="L394" s="8"/>
      <c r="M394" s="5">
        <v>1841</v>
      </c>
      <c r="N394" s="5">
        <v>3168435196</v>
      </c>
      <c r="O394" s="9" t="s">
        <v>4930</v>
      </c>
      <c r="P394" s="10" t="s">
        <v>4931</v>
      </c>
      <c r="Q394" s="389" t="s">
        <v>4932</v>
      </c>
      <c r="R394" s="8" t="s">
        <v>8304</v>
      </c>
      <c r="S394" s="212" t="s">
        <v>12148</v>
      </c>
      <c r="T394" s="8" t="s">
        <v>4933</v>
      </c>
      <c r="U394" s="11" t="s">
        <v>93</v>
      </c>
      <c r="V394" s="12" t="s">
        <v>511</v>
      </c>
      <c r="W394" s="13">
        <v>42591</v>
      </c>
      <c r="X394" s="5" t="str">
        <f t="shared" ca="1" si="12"/>
        <v>10 Th, 1 Bln</v>
      </c>
      <c r="Y394" s="5"/>
      <c r="Z394" s="14"/>
      <c r="AA394" s="5" t="s">
        <v>96</v>
      </c>
      <c r="AB394" s="5" t="s">
        <v>97</v>
      </c>
      <c r="AC394" s="7" t="s">
        <v>4934</v>
      </c>
      <c r="AD394" s="131" t="s">
        <v>137</v>
      </c>
      <c r="AE394" s="131">
        <v>18</v>
      </c>
      <c r="AF394" s="7" t="s">
        <v>1395</v>
      </c>
      <c r="AG394" s="7" t="s">
        <v>140</v>
      </c>
      <c r="AH394" s="7" t="s">
        <v>141</v>
      </c>
      <c r="AI394" s="7"/>
      <c r="AJ394" s="7" t="s">
        <v>4846</v>
      </c>
      <c r="AK394" s="7" t="s">
        <v>104</v>
      </c>
      <c r="AL394" s="7" t="s">
        <v>4935</v>
      </c>
      <c r="AM394" s="15"/>
      <c r="AN394" s="15" t="s">
        <v>4936</v>
      </c>
      <c r="AO394" s="8">
        <v>1</v>
      </c>
      <c r="AP394" s="8">
        <v>1</v>
      </c>
      <c r="AQ394" s="8">
        <v>0</v>
      </c>
      <c r="AR394" s="8">
        <v>0</v>
      </c>
      <c r="AS394" s="132" t="s">
        <v>4937</v>
      </c>
      <c r="AT394" s="131" t="s">
        <v>4938</v>
      </c>
      <c r="AU394" s="132" t="s">
        <v>111</v>
      </c>
      <c r="AV394" s="16" t="s">
        <v>112</v>
      </c>
      <c r="AW394" s="56" t="s">
        <v>392</v>
      </c>
      <c r="AX394" s="56" t="s">
        <v>114</v>
      </c>
      <c r="AY394" s="7" t="s">
        <v>4939</v>
      </c>
      <c r="AZ394" s="10" t="s">
        <v>4940</v>
      </c>
      <c r="BA394" s="7" t="s">
        <v>4941</v>
      </c>
      <c r="BB394" s="17">
        <v>34262</v>
      </c>
      <c r="BC394" s="17" t="s">
        <v>96</v>
      </c>
      <c r="BD394" s="18" t="s">
        <v>4942</v>
      </c>
      <c r="BE394" s="7" t="s">
        <v>118</v>
      </c>
      <c r="BF394" s="7" t="s">
        <v>332</v>
      </c>
      <c r="BG394" s="7" t="s">
        <v>4943</v>
      </c>
      <c r="BH394" s="7" t="s">
        <v>4944</v>
      </c>
      <c r="BI394" s="19"/>
      <c r="BJ394" s="20" t="s">
        <v>250</v>
      </c>
      <c r="BK394" s="21" t="s">
        <v>4945</v>
      </c>
      <c r="BL394" s="7" t="s">
        <v>4946</v>
      </c>
      <c r="BM394" s="22" t="s">
        <v>4947</v>
      </c>
      <c r="BN394" s="8" t="s">
        <v>511</v>
      </c>
      <c r="BO394" s="17">
        <v>34932</v>
      </c>
      <c r="BP394" s="17" t="s">
        <v>96</v>
      </c>
      <c r="BQ394" s="18" t="s">
        <v>4936</v>
      </c>
      <c r="BR394" s="7" t="s">
        <v>153</v>
      </c>
      <c r="BS394" s="7" t="s">
        <v>154</v>
      </c>
      <c r="BT394" s="7" t="s">
        <v>155</v>
      </c>
      <c r="BU394" s="8" t="s">
        <v>4948</v>
      </c>
      <c r="BV394" s="23"/>
      <c r="BW394" s="24" t="s">
        <v>250</v>
      </c>
      <c r="BX394" s="21" t="s">
        <v>4949</v>
      </c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N394" s="25"/>
      <c r="CO394" s="25"/>
      <c r="CP394" s="25"/>
      <c r="CQ394" s="25"/>
      <c r="CR394" s="25"/>
      <c r="CS394" s="26"/>
    </row>
    <row r="395" spans="1:97" s="27" customFormat="1" ht="23.25" customHeight="1">
      <c r="A395" s="4">
        <v>259</v>
      </c>
      <c r="B395" s="6" t="s">
        <v>4837</v>
      </c>
      <c r="C395" s="6" t="s">
        <v>4837</v>
      </c>
      <c r="D395" s="6" t="s">
        <v>4837</v>
      </c>
      <c r="E395" s="6"/>
      <c r="F395" s="6"/>
      <c r="G395" s="6" t="s">
        <v>5536</v>
      </c>
      <c r="H395" s="5" t="s">
        <v>4839</v>
      </c>
      <c r="I395" s="6" t="s">
        <v>86</v>
      </c>
      <c r="J395" s="7" t="s">
        <v>561</v>
      </c>
      <c r="K395" s="7" t="s">
        <v>5537</v>
      </c>
      <c r="L395" s="8"/>
      <c r="M395" s="5">
        <v>1846</v>
      </c>
      <c r="N395" s="5">
        <v>3162713616</v>
      </c>
      <c r="O395" s="9" t="s">
        <v>5538</v>
      </c>
      <c r="P395" s="10" t="s">
        <v>5539</v>
      </c>
      <c r="Q395" s="389" t="s">
        <v>5540</v>
      </c>
      <c r="R395" s="8" t="s">
        <v>8304</v>
      </c>
      <c r="S395" s="212" t="s">
        <v>12148</v>
      </c>
      <c r="T395" s="8" t="s">
        <v>4885</v>
      </c>
      <c r="U395" s="11" t="s">
        <v>93</v>
      </c>
      <c r="V395" s="12" t="s">
        <v>94</v>
      </c>
      <c r="W395" s="13">
        <v>42384</v>
      </c>
      <c r="X395" s="5" t="str">
        <f t="shared" ca="1" si="12"/>
        <v>10 Th, 8 Bln</v>
      </c>
      <c r="Y395" s="5"/>
      <c r="Z395" s="14"/>
      <c r="AA395" s="5" t="s">
        <v>96</v>
      </c>
      <c r="AB395" s="5" t="s">
        <v>97</v>
      </c>
      <c r="AC395" s="7" t="s">
        <v>5541</v>
      </c>
      <c r="AD395" s="131">
        <v>7</v>
      </c>
      <c r="AE395" s="131">
        <v>5</v>
      </c>
      <c r="AF395" s="7" t="s">
        <v>942</v>
      </c>
      <c r="AG395" s="7" t="s">
        <v>178</v>
      </c>
      <c r="AH395" s="7" t="s">
        <v>178</v>
      </c>
      <c r="AI395" s="7"/>
      <c r="AJ395" s="7" t="s">
        <v>103</v>
      </c>
      <c r="AK395" s="7" t="s">
        <v>104</v>
      </c>
      <c r="AL395" s="7" t="s">
        <v>4986</v>
      </c>
      <c r="AM395" s="15"/>
      <c r="AN395" s="15" t="s">
        <v>5542</v>
      </c>
      <c r="AO395" s="8">
        <v>2</v>
      </c>
      <c r="AP395" s="8">
        <v>2</v>
      </c>
      <c r="AQ395" s="8">
        <v>0</v>
      </c>
      <c r="AR395" s="8">
        <v>0</v>
      </c>
      <c r="AS395" s="132" t="s">
        <v>5543</v>
      </c>
      <c r="AT395" s="131" t="s">
        <v>1266</v>
      </c>
      <c r="AU395" s="132" t="s">
        <v>182</v>
      </c>
      <c r="AV395" s="16" t="s">
        <v>112</v>
      </c>
      <c r="AW395" s="56" t="s">
        <v>392</v>
      </c>
      <c r="AX395" s="56" t="s">
        <v>114</v>
      </c>
      <c r="AY395" s="7" t="s">
        <v>5544</v>
      </c>
      <c r="AZ395" s="10" t="s">
        <v>5545</v>
      </c>
      <c r="BA395" s="7" t="s">
        <v>5546</v>
      </c>
      <c r="BB395" s="17">
        <v>32619</v>
      </c>
      <c r="BC395" s="17" t="s">
        <v>96</v>
      </c>
      <c r="BD395" s="18" t="s">
        <v>5542</v>
      </c>
      <c r="BE395" s="7" t="s">
        <v>118</v>
      </c>
      <c r="BF395" s="7" t="s">
        <v>1571</v>
      </c>
      <c r="BG395" s="7" t="s">
        <v>5547</v>
      </c>
      <c r="BH395" s="7" t="s">
        <v>5548</v>
      </c>
      <c r="BI395" s="19"/>
      <c r="BJ395" s="20" t="s">
        <v>5549</v>
      </c>
      <c r="BK395" s="21" t="s">
        <v>5550</v>
      </c>
      <c r="BL395" s="7" t="s">
        <v>5551</v>
      </c>
      <c r="BM395" s="22" t="s">
        <v>5552</v>
      </c>
      <c r="BN395" s="8" t="s">
        <v>603</v>
      </c>
      <c r="BO395" s="17">
        <v>34469</v>
      </c>
      <c r="BP395" s="17" t="s">
        <v>96</v>
      </c>
      <c r="BQ395" s="18" t="s">
        <v>5553</v>
      </c>
      <c r="BR395" s="7" t="s">
        <v>216</v>
      </c>
      <c r="BS395" s="7" t="s">
        <v>126</v>
      </c>
      <c r="BT395" s="7" t="s">
        <v>108</v>
      </c>
      <c r="BU395" s="8" t="s">
        <v>108</v>
      </c>
      <c r="BV395" s="23"/>
      <c r="BW395" s="24"/>
      <c r="BX395" s="21" t="s">
        <v>5554</v>
      </c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N395" s="25"/>
      <c r="CO395" s="25"/>
      <c r="CP395" s="25"/>
      <c r="CQ395" s="25"/>
      <c r="CR395" s="25"/>
      <c r="CS395" s="26"/>
    </row>
    <row r="396" spans="1:97" s="27" customFormat="1" ht="23.25" customHeight="1">
      <c r="A396" s="4">
        <v>321</v>
      </c>
      <c r="B396" s="6" t="s">
        <v>4837</v>
      </c>
      <c r="C396" s="6" t="s">
        <v>4837</v>
      </c>
      <c r="D396" s="6" t="s">
        <v>4837</v>
      </c>
      <c r="E396" s="6"/>
      <c r="F396" s="6"/>
      <c r="G396" s="6" t="s">
        <v>6666</v>
      </c>
      <c r="H396" s="5" t="s">
        <v>4839</v>
      </c>
      <c r="I396" s="6" t="s">
        <v>86</v>
      </c>
      <c r="J396" s="7" t="s">
        <v>166</v>
      </c>
      <c r="K396" s="7" t="s">
        <v>1993</v>
      </c>
      <c r="L396" s="8"/>
      <c r="M396" s="5">
        <v>1853</v>
      </c>
      <c r="N396" s="5">
        <v>3162786833</v>
      </c>
      <c r="O396" s="9" t="s">
        <v>6667</v>
      </c>
      <c r="P396" s="10" t="s">
        <v>6668</v>
      </c>
      <c r="Q396" s="389" t="s">
        <v>6669</v>
      </c>
      <c r="R396" s="8" t="s">
        <v>8304</v>
      </c>
      <c r="S396" s="212" t="s">
        <v>12148</v>
      </c>
      <c r="T396" s="8" t="s">
        <v>6670</v>
      </c>
      <c r="U396" s="11" t="s">
        <v>93</v>
      </c>
      <c r="V396" s="12" t="s">
        <v>94</v>
      </c>
      <c r="W396" s="13">
        <v>42578</v>
      </c>
      <c r="X396" s="5" t="str">
        <f t="shared" ca="1" si="12"/>
        <v>10 Th, 1 Bln</v>
      </c>
      <c r="Y396" s="5"/>
      <c r="Z396" s="14"/>
      <c r="AA396" s="5" t="s">
        <v>96</v>
      </c>
      <c r="AB396" s="5" t="s">
        <v>97</v>
      </c>
      <c r="AC396" s="7" t="s">
        <v>6671</v>
      </c>
      <c r="AD396" s="131" t="s">
        <v>99</v>
      </c>
      <c r="AE396" s="131" t="s">
        <v>207</v>
      </c>
      <c r="AF396" s="7" t="s">
        <v>521</v>
      </c>
      <c r="AG396" s="7" t="s">
        <v>178</v>
      </c>
      <c r="AH396" s="7" t="s">
        <v>178</v>
      </c>
      <c r="AI396" s="7"/>
      <c r="AJ396" s="7" t="s">
        <v>103</v>
      </c>
      <c r="AK396" s="7" t="s">
        <v>104</v>
      </c>
      <c r="AL396" s="7" t="s">
        <v>4915</v>
      </c>
      <c r="AM396" s="15" t="s">
        <v>6672</v>
      </c>
      <c r="AN396" s="15" t="s">
        <v>6672</v>
      </c>
      <c r="AO396" s="8">
        <v>1</v>
      </c>
      <c r="AP396" s="8">
        <v>1</v>
      </c>
      <c r="AQ396" s="8">
        <v>0</v>
      </c>
      <c r="AR396" s="8">
        <v>0</v>
      </c>
      <c r="AS396" s="132" t="s">
        <v>2383</v>
      </c>
      <c r="AT396" s="131" t="s">
        <v>272</v>
      </c>
      <c r="AU396" s="132" t="s">
        <v>498</v>
      </c>
      <c r="AV396" s="16" t="s">
        <v>112</v>
      </c>
      <c r="AW396" s="56" t="s">
        <v>150</v>
      </c>
      <c r="AX396" s="56" t="s">
        <v>114</v>
      </c>
      <c r="AY396" s="7" t="s">
        <v>6673</v>
      </c>
      <c r="AZ396" s="10" t="s">
        <v>6674</v>
      </c>
      <c r="BA396" s="7" t="s">
        <v>94</v>
      </c>
      <c r="BB396" s="17">
        <v>32502</v>
      </c>
      <c r="BC396" s="17" t="s">
        <v>96</v>
      </c>
      <c r="BD396" s="18" t="s">
        <v>6675</v>
      </c>
      <c r="BE396" s="7" t="s">
        <v>118</v>
      </c>
      <c r="BF396" s="7" t="s">
        <v>276</v>
      </c>
      <c r="BG396" s="7" t="s">
        <v>6676</v>
      </c>
      <c r="BH396" s="7" t="s">
        <v>6677</v>
      </c>
      <c r="BI396" s="19" t="s">
        <v>6678</v>
      </c>
      <c r="BJ396" s="20" t="s">
        <v>190</v>
      </c>
      <c r="BK396" s="21" t="s">
        <v>6679</v>
      </c>
      <c r="BL396" s="7" t="s">
        <v>6680</v>
      </c>
      <c r="BM396" s="22" t="s">
        <v>6681</v>
      </c>
      <c r="BN396" s="8" t="s">
        <v>502</v>
      </c>
      <c r="BO396" s="17">
        <v>32304</v>
      </c>
      <c r="BP396" s="17" t="s">
        <v>96</v>
      </c>
      <c r="BQ396" s="18" t="s">
        <v>6672</v>
      </c>
      <c r="BR396" s="7" t="s">
        <v>118</v>
      </c>
      <c r="BS396" s="7" t="s">
        <v>126</v>
      </c>
      <c r="BT396" s="7" t="s">
        <v>162</v>
      </c>
      <c r="BU396" s="8" t="s">
        <v>162</v>
      </c>
      <c r="BV396" s="23"/>
      <c r="BW396" s="24"/>
      <c r="BX396" s="21" t="s">
        <v>6682</v>
      </c>
      <c r="BY396" s="21"/>
      <c r="BZ396" s="21"/>
      <c r="CA396" s="21"/>
      <c r="CB396" s="21"/>
      <c r="CC396" s="21"/>
      <c r="CD396" s="21"/>
      <c r="CE396" s="21" t="s">
        <v>127</v>
      </c>
      <c r="CF396" s="21"/>
      <c r="CG396" s="21" t="s">
        <v>162</v>
      </c>
      <c r="CH396" s="21"/>
      <c r="CI396" s="21"/>
      <c r="CJ396" s="21"/>
      <c r="CK396" s="21"/>
      <c r="CL396" s="21" t="s">
        <v>162</v>
      </c>
      <c r="CN396" s="25"/>
      <c r="CO396" s="25"/>
      <c r="CP396" s="25"/>
      <c r="CQ396" s="25"/>
      <c r="CR396" s="25"/>
      <c r="CS396" s="26"/>
    </row>
    <row r="397" spans="1:97" s="27" customFormat="1" ht="23.25" customHeight="1">
      <c r="A397" s="4">
        <v>234</v>
      </c>
      <c r="B397" s="6" t="s">
        <v>4837</v>
      </c>
      <c r="C397" s="6" t="s">
        <v>4837</v>
      </c>
      <c r="D397" s="6" t="s">
        <v>4837</v>
      </c>
      <c r="E397" s="6"/>
      <c r="F397" s="6"/>
      <c r="G397" s="6" t="s">
        <v>5025</v>
      </c>
      <c r="H397" s="5" t="s">
        <v>4839</v>
      </c>
      <c r="I397" s="6" t="s">
        <v>86</v>
      </c>
      <c r="J397" s="7" t="s">
        <v>166</v>
      </c>
      <c r="K397" s="7" t="s">
        <v>1993</v>
      </c>
      <c r="L397" s="8"/>
      <c r="M397" s="5">
        <v>1856</v>
      </c>
      <c r="N397" s="5">
        <v>3161317214</v>
      </c>
      <c r="O397" s="9" t="s">
        <v>5026</v>
      </c>
      <c r="P397" s="10" t="s">
        <v>5027</v>
      </c>
      <c r="Q397" s="389" t="s">
        <v>5028</v>
      </c>
      <c r="R397" s="8" t="s">
        <v>8304</v>
      </c>
      <c r="S397" s="212" t="s">
        <v>12148</v>
      </c>
      <c r="T397" s="8" t="s">
        <v>4185</v>
      </c>
      <c r="U397" s="11" t="s">
        <v>172</v>
      </c>
      <c r="V397" s="12" t="s">
        <v>94</v>
      </c>
      <c r="W397" s="13">
        <v>42620</v>
      </c>
      <c r="X397" s="5" t="str">
        <f t="shared" ca="1" si="12"/>
        <v>10 Th, 0 Bln</v>
      </c>
      <c r="Y397" s="5"/>
      <c r="Z397" s="14"/>
      <c r="AA397" s="5" t="s">
        <v>96</v>
      </c>
      <c r="AB397" s="5" t="s">
        <v>97</v>
      </c>
      <c r="AC397" s="7" t="s">
        <v>5029</v>
      </c>
      <c r="AD397" s="131" t="s">
        <v>239</v>
      </c>
      <c r="AE397" s="131" t="s">
        <v>358</v>
      </c>
      <c r="AF397" s="7" t="s">
        <v>521</v>
      </c>
      <c r="AG397" s="7" t="s">
        <v>178</v>
      </c>
      <c r="AH397" s="7" t="s">
        <v>178</v>
      </c>
      <c r="AI397" s="7"/>
      <c r="AJ397" s="7" t="s">
        <v>103</v>
      </c>
      <c r="AK397" s="7" t="s">
        <v>104</v>
      </c>
      <c r="AL397" s="7" t="s">
        <v>5030</v>
      </c>
      <c r="AM397" s="15" t="s">
        <v>5031</v>
      </c>
      <c r="AN397" s="15" t="s">
        <v>5031</v>
      </c>
      <c r="AO397" s="8">
        <v>1</v>
      </c>
      <c r="AP397" s="8">
        <v>1</v>
      </c>
      <c r="AQ397" s="8">
        <v>0</v>
      </c>
      <c r="AR397" s="8">
        <v>0</v>
      </c>
      <c r="AS397" s="132" t="s">
        <v>109</v>
      </c>
      <c r="AT397" s="131" t="s">
        <v>1266</v>
      </c>
      <c r="AU397" s="132" t="s">
        <v>182</v>
      </c>
      <c r="AV397" s="16" t="s">
        <v>112</v>
      </c>
      <c r="AW397" s="56" t="s">
        <v>5032</v>
      </c>
      <c r="AX397" s="56" t="s">
        <v>4708</v>
      </c>
      <c r="AY397" s="7" t="s">
        <v>5033</v>
      </c>
      <c r="AZ397" s="10" t="s">
        <v>5034</v>
      </c>
      <c r="BA397" s="7" t="s">
        <v>1208</v>
      </c>
      <c r="BB397" s="17">
        <v>32824</v>
      </c>
      <c r="BC397" s="17" t="s">
        <v>96</v>
      </c>
      <c r="BD397" s="18" t="s">
        <v>5035</v>
      </c>
      <c r="BE397" s="7" t="s">
        <v>118</v>
      </c>
      <c r="BF397" s="7" t="s">
        <v>247</v>
      </c>
      <c r="BG397" s="7" t="s">
        <v>5036</v>
      </c>
      <c r="BH397" s="7" t="s">
        <v>127</v>
      </c>
      <c r="BI397" s="19" t="s">
        <v>127</v>
      </c>
      <c r="BJ397" s="20" t="s">
        <v>983</v>
      </c>
      <c r="BK397" s="21" t="s">
        <v>5037</v>
      </c>
      <c r="BL397" s="7" t="s">
        <v>5038</v>
      </c>
      <c r="BM397" s="22" t="s">
        <v>5039</v>
      </c>
      <c r="BN397" s="8" t="s">
        <v>2004</v>
      </c>
      <c r="BO397" s="17">
        <v>32921</v>
      </c>
      <c r="BP397" s="17" t="s">
        <v>96</v>
      </c>
      <c r="BQ397" s="18" t="s">
        <v>5031</v>
      </c>
      <c r="BR397" s="7" t="s">
        <v>118</v>
      </c>
      <c r="BS397" s="7" t="s">
        <v>126</v>
      </c>
      <c r="BT397" s="7" t="s">
        <v>127</v>
      </c>
      <c r="BU397" s="8" t="s">
        <v>127</v>
      </c>
      <c r="BV397" s="23" t="s">
        <v>127</v>
      </c>
      <c r="BW397" s="24"/>
      <c r="BX397" s="21" t="s">
        <v>5040</v>
      </c>
      <c r="BY397" s="21" t="s">
        <v>5041</v>
      </c>
      <c r="BZ397" s="21" t="s">
        <v>5042</v>
      </c>
      <c r="CA397" s="21">
        <v>32824</v>
      </c>
      <c r="CB397" s="21"/>
      <c r="CC397" s="21" t="s">
        <v>5035</v>
      </c>
      <c r="CD397" s="21" t="s">
        <v>118</v>
      </c>
      <c r="CE397" s="21" t="s">
        <v>5043</v>
      </c>
      <c r="CF397" s="21" t="s">
        <v>96</v>
      </c>
      <c r="CG397" s="21" t="s">
        <v>5044</v>
      </c>
      <c r="CH397" s="21" t="s">
        <v>239</v>
      </c>
      <c r="CI397" s="21" t="s">
        <v>358</v>
      </c>
      <c r="CJ397" s="21" t="s">
        <v>5045</v>
      </c>
      <c r="CK397" s="21" t="s">
        <v>5046</v>
      </c>
      <c r="CL397" s="21" t="s">
        <v>5047</v>
      </c>
      <c r="CN397" s="25"/>
      <c r="CO397" s="25"/>
      <c r="CP397" s="25"/>
      <c r="CQ397" s="25"/>
      <c r="CR397" s="25"/>
      <c r="CS397" s="26"/>
    </row>
    <row r="398" spans="1:97" s="27" customFormat="1" ht="23.25" customHeight="1">
      <c r="A398" s="4">
        <v>322</v>
      </c>
      <c r="B398" s="6" t="s">
        <v>4837</v>
      </c>
      <c r="C398" s="6" t="s">
        <v>4837</v>
      </c>
      <c r="D398" s="6" t="s">
        <v>4837</v>
      </c>
      <c r="E398" s="6"/>
      <c r="F398" s="6"/>
      <c r="G398" s="6" t="s">
        <v>6683</v>
      </c>
      <c r="H398" s="5" t="s">
        <v>4839</v>
      </c>
      <c r="I398" s="6" t="s">
        <v>86</v>
      </c>
      <c r="J398" s="7" t="s">
        <v>6684</v>
      </c>
      <c r="K398" s="7" t="s">
        <v>6685</v>
      </c>
      <c r="L398" s="8"/>
      <c r="M398" s="5">
        <v>1859</v>
      </c>
      <c r="N398" s="5">
        <v>3161311226</v>
      </c>
      <c r="O398" s="9" t="s">
        <v>6686</v>
      </c>
      <c r="P398" s="10" t="s">
        <v>6687</v>
      </c>
      <c r="Q398" s="389" t="s">
        <v>6688</v>
      </c>
      <c r="R398" s="8" t="s">
        <v>8304</v>
      </c>
      <c r="S398" s="212" t="s">
        <v>12148</v>
      </c>
      <c r="T398" s="8" t="s">
        <v>6689</v>
      </c>
      <c r="U398" s="11" t="s">
        <v>172</v>
      </c>
      <c r="V398" s="12" t="s">
        <v>6690</v>
      </c>
      <c r="W398" s="13">
        <v>42533</v>
      </c>
      <c r="X398" s="5" t="str">
        <f t="shared" ca="1" si="12"/>
        <v>10 Th, 3 Bln</v>
      </c>
      <c r="Y398" s="5"/>
      <c r="Z398" s="14"/>
      <c r="AA398" s="5" t="s">
        <v>96</v>
      </c>
      <c r="AB398" s="5" t="s">
        <v>97</v>
      </c>
      <c r="AC398" s="7" t="s">
        <v>6691</v>
      </c>
      <c r="AD398" s="131" t="s">
        <v>207</v>
      </c>
      <c r="AE398" s="131">
        <v>12</v>
      </c>
      <c r="AF398" s="7" t="s">
        <v>437</v>
      </c>
      <c r="AG398" s="7" t="s">
        <v>178</v>
      </c>
      <c r="AH398" s="7" t="s">
        <v>178</v>
      </c>
      <c r="AI398" s="7"/>
      <c r="AJ398" s="7" t="s">
        <v>103</v>
      </c>
      <c r="AK398" s="7" t="s">
        <v>104</v>
      </c>
      <c r="AL398" s="7" t="s">
        <v>4915</v>
      </c>
      <c r="AM398" s="15" t="s">
        <v>6692</v>
      </c>
      <c r="AN398" s="15" t="s">
        <v>6693</v>
      </c>
      <c r="AO398" s="8">
        <v>1</v>
      </c>
      <c r="AP398" s="8">
        <v>0</v>
      </c>
      <c r="AQ398" s="8">
        <v>0</v>
      </c>
      <c r="AR398" s="8">
        <v>0</v>
      </c>
      <c r="AS398" s="132" t="s">
        <v>109</v>
      </c>
      <c r="AT398" s="131" t="s">
        <v>5307</v>
      </c>
      <c r="AU398" s="132" t="s">
        <v>182</v>
      </c>
      <c r="AV398" s="16" t="s">
        <v>112</v>
      </c>
      <c r="AW398" s="56"/>
      <c r="AX398" s="56" t="s">
        <v>114</v>
      </c>
      <c r="AY398" s="7" t="s">
        <v>6694</v>
      </c>
      <c r="AZ398" s="10" t="s">
        <v>6695</v>
      </c>
      <c r="BA398" s="7" t="s">
        <v>2004</v>
      </c>
      <c r="BB398" s="17">
        <v>33414</v>
      </c>
      <c r="BC398" s="17" t="s">
        <v>96</v>
      </c>
      <c r="BD398" s="18" t="s">
        <v>6692</v>
      </c>
      <c r="BE398" s="7" t="s">
        <v>118</v>
      </c>
      <c r="BF398" s="7" t="s">
        <v>247</v>
      </c>
      <c r="BG398" s="7" t="s">
        <v>6696</v>
      </c>
      <c r="BH398" s="7" t="s">
        <v>6697</v>
      </c>
      <c r="BI398" s="19" t="s">
        <v>6692</v>
      </c>
      <c r="BJ398" s="20" t="s">
        <v>190</v>
      </c>
      <c r="BK398" s="21" t="s">
        <v>6698</v>
      </c>
      <c r="BL398" s="7" t="s">
        <v>6699</v>
      </c>
      <c r="BM398" s="22" t="s">
        <v>6700</v>
      </c>
      <c r="BN398" s="8" t="s">
        <v>6690</v>
      </c>
      <c r="BO398" s="17">
        <v>33407</v>
      </c>
      <c r="BP398" s="17" t="s">
        <v>96</v>
      </c>
      <c r="BQ398" s="18" t="s">
        <v>6693</v>
      </c>
      <c r="BR398" s="7" t="s">
        <v>118</v>
      </c>
      <c r="BS398" s="7" t="s">
        <v>247</v>
      </c>
      <c r="BT398" s="7" t="s">
        <v>6701</v>
      </c>
      <c r="BU398" s="8" t="s">
        <v>6702</v>
      </c>
      <c r="BV398" s="23" t="s">
        <v>6693</v>
      </c>
      <c r="BW398" s="24" t="s">
        <v>983</v>
      </c>
      <c r="BX398" s="21" t="s">
        <v>6703</v>
      </c>
      <c r="BY398" s="21" t="s">
        <v>6704</v>
      </c>
      <c r="BZ398" s="21" t="s">
        <v>6705</v>
      </c>
      <c r="CA398" s="21">
        <v>25019</v>
      </c>
      <c r="CB398" s="21"/>
      <c r="CC398" s="21" t="s">
        <v>6706</v>
      </c>
      <c r="CD398" s="21" t="s">
        <v>216</v>
      </c>
      <c r="CE398" s="21" t="s">
        <v>5043</v>
      </c>
      <c r="CF398" s="21" t="s">
        <v>96</v>
      </c>
      <c r="CG398" s="21" t="s">
        <v>6707</v>
      </c>
      <c r="CH398" s="21"/>
      <c r="CI398" s="21"/>
      <c r="CJ398" s="21"/>
      <c r="CK398" s="21" t="s">
        <v>6708</v>
      </c>
      <c r="CL398" s="21" t="s">
        <v>6709</v>
      </c>
      <c r="CN398" s="25"/>
      <c r="CO398" s="25"/>
      <c r="CP398" s="25"/>
      <c r="CQ398" s="25"/>
      <c r="CR398" s="25"/>
      <c r="CS398" s="26"/>
    </row>
    <row r="399" spans="1:97" s="226" customFormat="1" ht="21" customHeight="1">
      <c r="A399" s="175">
        <v>263</v>
      </c>
      <c r="B399" s="178"/>
      <c r="C399" s="178"/>
      <c r="D399" s="178"/>
      <c r="E399" s="178"/>
      <c r="F399" s="178"/>
      <c r="G399" s="178"/>
      <c r="H399" s="224"/>
      <c r="I399" s="61" t="s">
        <v>4774</v>
      </c>
      <c r="J399" s="218" t="s">
        <v>4801</v>
      </c>
      <c r="K399" s="218" t="s">
        <v>4802</v>
      </c>
      <c r="L399" s="178"/>
      <c r="M399" s="62">
        <v>2208</v>
      </c>
      <c r="N399" s="219" t="s">
        <v>5626</v>
      </c>
      <c r="O399" s="219" t="s">
        <v>5627</v>
      </c>
      <c r="P399" s="219" t="s">
        <v>5628</v>
      </c>
      <c r="Q399" s="216" t="s">
        <v>4803</v>
      </c>
      <c r="R399" s="8" t="s">
        <v>8304</v>
      </c>
      <c r="S399" s="212" t="s">
        <v>12148</v>
      </c>
      <c r="T399" s="178" t="s">
        <v>4804</v>
      </c>
      <c r="U399" s="178" t="s">
        <v>172</v>
      </c>
      <c r="V399" s="178" t="s">
        <v>1456</v>
      </c>
      <c r="W399" s="178" t="s">
        <v>5629</v>
      </c>
      <c r="X399" s="62" t="s">
        <v>11401</v>
      </c>
      <c r="Y399" s="62" t="s">
        <v>95</v>
      </c>
      <c r="Z399" s="178"/>
      <c r="AA399" s="178" t="s">
        <v>96</v>
      </c>
      <c r="AB399" s="178" t="s">
        <v>97</v>
      </c>
      <c r="AC399" s="218" t="s">
        <v>4805</v>
      </c>
      <c r="AD399" s="178">
        <v>1</v>
      </c>
      <c r="AE399" s="178">
        <v>6</v>
      </c>
      <c r="AF399" s="218" t="s">
        <v>4806</v>
      </c>
      <c r="AG399" s="218" t="s">
        <v>1456</v>
      </c>
      <c r="AH399" s="218" t="s">
        <v>141</v>
      </c>
      <c r="AI399" s="218"/>
      <c r="AJ399" s="218" t="s">
        <v>1456</v>
      </c>
      <c r="AK399" s="178"/>
      <c r="AL399" s="216"/>
      <c r="AM399" s="218"/>
      <c r="AN399" s="221" t="s">
        <v>4833</v>
      </c>
      <c r="AO399" s="178">
        <v>1</v>
      </c>
      <c r="AP399" s="178"/>
      <c r="AQ399" s="178"/>
      <c r="AR399" s="178"/>
      <c r="AS399" s="178">
        <v>28</v>
      </c>
      <c r="AT399" s="178">
        <v>120</v>
      </c>
      <c r="AU399" s="178"/>
      <c r="AV399" s="178"/>
      <c r="AW399" s="218"/>
      <c r="AX399" s="218" t="s">
        <v>114</v>
      </c>
      <c r="AY399" s="218" t="s">
        <v>4807</v>
      </c>
      <c r="AZ399" s="222" t="s">
        <v>5630</v>
      </c>
      <c r="BA399" s="178" t="s">
        <v>1456</v>
      </c>
      <c r="BB399" s="216" t="s">
        <v>5631</v>
      </c>
      <c r="BC399" s="216" t="s">
        <v>96</v>
      </c>
      <c r="BD399" s="222" t="s">
        <v>5632</v>
      </c>
      <c r="BE399" s="178" t="s">
        <v>118</v>
      </c>
      <c r="BF399" s="178" t="s">
        <v>471</v>
      </c>
      <c r="BG399" s="178" t="s">
        <v>4808</v>
      </c>
      <c r="BH399" s="216" t="s">
        <v>4809</v>
      </c>
      <c r="BI399" s="216"/>
      <c r="BJ399" s="225">
        <v>25000000</v>
      </c>
      <c r="BK399" s="178"/>
      <c r="BL399" s="218" t="s">
        <v>4810</v>
      </c>
      <c r="BM399" s="221" t="s">
        <v>5633</v>
      </c>
      <c r="BN399" s="178" t="s">
        <v>2639</v>
      </c>
      <c r="BO399" s="218" t="s">
        <v>5634</v>
      </c>
      <c r="BP399" s="216" t="s">
        <v>96</v>
      </c>
      <c r="BQ399" s="219" t="s">
        <v>4833</v>
      </c>
      <c r="BR399" s="216" t="s">
        <v>4811</v>
      </c>
      <c r="BS399" s="178"/>
      <c r="BT399" s="216"/>
      <c r="BU399" s="216"/>
      <c r="BV399" s="178"/>
      <c r="BW399" s="178"/>
      <c r="BX399" s="178"/>
      <c r="BY399" s="178"/>
      <c r="BZ399" s="178"/>
      <c r="CA399" s="178"/>
      <c r="CB399" s="178"/>
      <c r="CC399" s="178"/>
      <c r="CD399" s="178"/>
      <c r="CE399" s="178"/>
      <c r="CF399" s="178"/>
      <c r="CG399" s="178"/>
      <c r="CH399" s="178"/>
      <c r="CI399" s="178"/>
      <c r="CJ399" s="178"/>
      <c r="CK399" s="178"/>
      <c r="CL399" s="178"/>
    </row>
    <row r="400" spans="1:97" s="27" customFormat="1" ht="23.25" customHeight="1">
      <c r="A400" s="4">
        <v>238</v>
      </c>
      <c r="B400" s="6" t="s">
        <v>4837</v>
      </c>
      <c r="C400" s="6" t="s">
        <v>4837</v>
      </c>
      <c r="D400" s="6" t="s">
        <v>4837</v>
      </c>
      <c r="E400" s="6"/>
      <c r="F400" s="6"/>
      <c r="G400" s="6" t="s">
        <v>5109</v>
      </c>
      <c r="H400" s="5" t="s">
        <v>4839</v>
      </c>
      <c r="I400" s="6" t="s">
        <v>86</v>
      </c>
      <c r="J400" s="7" t="s">
        <v>5110</v>
      </c>
      <c r="K400" s="7" t="s">
        <v>5111</v>
      </c>
      <c r="L400" s="8"/>
      <c r="M400" s="5">
        <v>1870</v>
      </c>
      <c r="N400" s="5" t="s">
        <v>5112</v>
      </c>
      <c r="O400" s="9" t="s">
        <v>5113</v>
      </c>
      <c r="P400" s="10" t="s">
        <v>5114</v>
      </c>
      <c r="Q400" s="389" t="s">
        <v>5115</v>
      </c>
      <c r="R400" s="8" t="s">
        <v>8304</v>
      </c>
      <c r="S400" s="212" t="s">
        <v>12148</v>
      </c>
      <c r="T400" s="8" t="s">
        <v>5116</v>
      </c>
      <c r="U400" s="11" t="s">
        <v>172</v>
      </c>
      <c r="V400" s="12" t="s">
        <v>94</v>
      </c>
      <c r="W400" s="13">
        <v>42868</v>
      </c>
      <c r="X400" s="5" t="str">
        <f t="shared" ref="X400:X413" ca="1" si="13">""&amp;DATEDIF(W400,TODAY(),"y")&amp;" Th, "&amp;DATEDIF(W400,TODAY(),"ym")&amp;" Bln"</f>
        <v>9 Th, 4 Bln</v>
      </c>
      <c r="Y400" s="5"/>
      <c r="Z400" s="14"/>
      <c r="AA400" s="5" t="s">
        <v>96</v>
      </c>
      <c r="AB400" s="5" t="s">
        <v>97</v>
      </c>
      <c r="AC400" s="7" t="s">
        <v>5117</v>
      </c>
      <c r="AD400" s="131" t="s">
        <v>207</v>
      </c>
      <c r="AE400" s="131">
        <v>14</v>
      </c>
      <c r="AF400" s="7" t="s">
        <v>178</v>
      </c>
      <c r="AG400" s="7" t="s">
        <v>178</v>
      </c>
      <c r="AH400" s="7" t="s">
        <v>178</v>
      </c>
      <c r="AI400" s="7"/>
      <c r="AJ400" s="7" t="s">
        <v>568</v>
      </c>
      <c r="AK400" s="7" t="s">
        <v>179</v>
      </c>
      <c r="AL400" s="7" t="s">
        <v>5118</v>
      </c>
      <c r="AM400" s="15" t="s">
        <v>5119</v>
      </c>
      <c r="AN400" s="15" t="s">
        <v>5120</v>
      </c>
      <c r="AO400" s="8">
        <v>1</v>
      </c>
      <c r="AP400" s="8">
        <v>1</v>
      </c>
      <c r="AQ400" s="8" t="s">
        <v>127</v>
      </c>
      <c r="AR400" s="8" t="s">
        <v>127</v>
      </c>
      <c r="AS400" s="132" t="s">
        <v>2137</v>
      </c>
      <c r="AT400" s="131" t="s">
        <v>1266</v>
      </c>
      <c r="AU400" s="132" t="s">
        <v>111</v>
      </c>
      <c r="AV400" s="16" t="s">
        <v>112</v>
      </c>
      <c r="AW400" s="56" t="s">
        <v>113</v>
      </c>
      <c r="AX400" s="56" t="s">
        <v>427</v>
      </c>
      <c r="AY400" s="7" t="s">
        <v>5121</v>
      </c>
      <c r="AZ400" s="10" t="s">
        <v>5122</v>
      </c>
      <c r="BA400" s="7" t="s">
        <v>2004</v>
      </c>
      <c r="BB400" s="17">
        <v>34730</v>
      </c>
      <c r="BC400" s="17" t="s">
        <v>96</v>
      </c>
      <c r="BD400" s="18" t="s">
        <v>5123</v>
      </c>
      <c r="BE400" s="7" t="s">
        <v>118</v>
      </c>
      <c r="BF400" s="7" t="s">
        <v>276</v>
      </c>
      <c r="BG400" s="7" t="s">
        <v>5124</v>
      </c>
      <c r="BH400" s="7" t="s">
        <v>5125</v>
      </c>
      <c r="BI400" s="19"/>
      <c r="BJ400" s="20" t="s">
        <v>190</v>
      </c>
      <c r="BK400" s="21" t="s">
        <v>5126</v>
      </c>
      <c r="BL400" s="7" t="s">
        <v>5127</v>
      </c>
      <c r="BM400" s="22" t="s">
        <v>5128</v>
      </c>
      <c r="BN400" s="8" t="s">
        <v>544</v>
      </c>
      <c r="BO400" s="17">
        <v>34697</v>
      </c>
      <c r="BP400" s="17" t="s">
        <v>96</v>
      </c>
      <c r="BQ400" s="18" t="s">
        <v>5123</v>
      </c>
      <c r="BR400" s="7" t="s">
        <v>118</v>
      </c>
      <c r="BS400" s="7" t="s">
        <v>126</v>
      </c>
      <c r="BT400" s="7" t="s">
        <v>127</v>
      </c>
      <c r="BU400" s="8" t="s">
        <v>127</v>
      </c>
      <c r="BV400" s="23" t="s">
        <v>127</v>
      </c>
      <c r="BW400" s="24" t="s">
        <v>127</v>
      </c>
      <c r="BX400" s="21" t="s">
        <v>5129</v>
      </c>
      <c r="BY400" s="21" t="s">
        <v>127</v>
      </c>
      <c r="BZ400" s="21" t="s">
        <v>127</v>
      </c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N400" s="25"/>
      <c r="CO400" s="25"/>
      <c r="CP400" s="25"/>
      <c r="CQ400" s="25"/>
      <c r="CR400" s="25"/>
      <c r="CS400" s="26"/>
    </row>
    <row r="401" spans="1:97" s="27" customFormat="1" ht="23.25" customHeight="1">
      <c r="A401" s="4">
        <v>265</v>
      </c>
      <c r="B401" s="6" t="s">
        <v>4837</v>
      </c>
      <c r="C401" s="6" t="s">
        <v>4837</v>
      </c>
      <c r="D401" s="6" t="s">
        <v>4837</v>
      </c>
      <c r="E401" s="6"/>
      <c r="F401" s="6"/>
      <c r="G401" s="6" t="s">
        <v>5657</v>
      </c>
      <c r="H401" s="5" t="s">
        <v>4839</v>
      </c>
      <c r="I401" s="6" t="s">
        <v>86</v>
      </c>
      <c r="J401" s="7" t="s">
        <v>657</v>
      </c>
      <c r="K401" s="7" t="s">
        <v>5658</v>
      </c>
      <c r="L401" s="8"/>
      <c r="M401" s="5">
        <v>1871</v>
      </c>
      <c r="N401" s="5" t="s">
        <v>5659</v>
      </c>
      <c r="O401" s="9" t="s">
        <v>5660</v>
      </c>
      <c r="P401" s="10" t="s">
        <v>5661</v>
      </c>
      <c r="Q401" s="389" t="s">
        <v>5662</v>
      </c>
      <c r="R401" s="8" t="s">
        <v>8304</v>
      </c>
      <c r="S401" s="212" t="s">
        <v>12148</v>
      </c>
      <c r="T401" s="8" t="s">
        <v>5663</v>
      </c>
      <c r="U401" s="11" t="s">
        <v>93</v>
      </c>
      <c r="V401" s="12" t="s">
        <v>2016</v>
      </c>
      <c r="W401" s="13">
        <v>42834</v>
      </c>
      <c r="X401" s="5" t="str">
        <f t="shared" ca="1" si="13"/>
        <v>9 Th, 5 Bln</v>
      </c>
      <c r="Y401" s="5"/>
      <c r="Z401" s="14"/>
      <c r="AA401" s="5" t="s">
        <v>96</v>
      </c>
      <c r="AB401" s="5" t="s">
        <v>97</v>
      </c>
      <c r="AC401" s="7" t="s">
        <v>5664</v>
      </c>
      <c r="AD401" s="131" t="s">
        <v>99</v>
      </c>
      <c r="AE401" s="131">
        <v>16</v>
      </c>
      <c r="AF401" s="7" t="s">
        <v>1395</v>
      </c>
      <c r="AG401" s="7" t="s">
        <v>140</v>
      </c>
      <c r="AH401" s="7" t="s">
        <v>141</v>
      </c>
      <c r="AI401" s="7"/>
      <c r="AJ401" s="7" t="s">
        <v>1374</v>
      </c>
      <c r="AK401" s="7" t="s">
        <v>179</v>
      </c>
      <c r="AL401" s="7" t="s">
        <v>5665</v>
      </c>
      <c r="AM401" s="15"/>
      <c r="AN401" s="15" t="s">
        <v>5666</v>
      </c>
      <c r="AO401" s="8">
        <v>1</v>
      </c>
      <c r="AP401" s="8">
        <v>0</v>
      </c>
      <c r="AQ401" s="8">
        <v>0</v>
      </c>
      <c r="AR401" s="8">
        <v>0</v>
      </c>
      <c r="AS401" s="132" t="s">
        <v>2383</v>
      </c>
      <c r="AT401" s="131" t="s">
        <v>5168</v>
      </c>
      <c r="AU401" s="132" t="s">
        <v>182</v>
      </c>
      <c r="AV401" s="16" t="s">
        <v>112</v>
      </c>
      <c r="AW401" s="56"/>
      <c r="AX401" s="56" t="s">
        <v>114</v>
      </c>
      <c r="AY401" s="7" t="s">
        <v>5667</v>
      </c>
      <c r="AZ401" s="10" t="s">
        <v>5668</v>
      </c>
      <c r="BA401" s="7" t="s">
        <v>395</v>
      </c>
      <c r="BB401" s="17">
        <v>31274</v>
      </c>
      <c r="BC401" s="17" t="s">
        <v>96</v>
      </c>
      <c r="BD401" s="18" t="s">
        <v>5666</v>
      </c>
      <c r="BE401" s="7" t="s">
        <v>118</v>
      </c>
      <c r="BF401" s="7" t="s">
        <v>980</v>
      </c>
      <c r="BG401" s="7" t="s">
        <v>5669</v>
      </c>
      <c r="BH401" s="7" t="s">
        <v>5670</v>
      </c>
      <c r="BI401" s="19" t="s">
        <v>127</v>
      </c>
      <c r="BJ401" s="20" t="s">
        <v>190</v>
      </c>
      <c r="BK401" s="21" t="s">
        <v>5671</v>
      </c>
      <c r="BL401" s="7" t="s">
        <v>5672</v>
      </c>
      <c r="BM401" s="22">
        <v>3372055805890010</v>
      </c>
      <c r="BN401" s="8" t="s">
        <v>395</v>
      </c>
      <c r="BO401" s="17">
        <v>32646</v>
      </c>
      <c r="BP401" s="17" t="s">
        <v>96</v>
      </c>
      <c r="BQ401" s="18" t="s">
        <v>5673</v>
      </c>
      <c r="BR401" s="7" t="s">
        <v>118</v>
      </c>
      <c r="BS401" s="7" t="s">
        <v>2493</v>
      </c>
      <c r="BT401" s="7" t="s">
        <v>5669</v>
      </c>
      <c r="BU401" s="8" t="s">
        <v>5674</v>
      </c>
      <c r="BV401" s="23" t="s">
        <v>127</v>
      </c>
      <c r="BW401" s="24" t="s">
        <v>556</v>
      </c>
      <c r="BX401" s="21" t="s">
        <v>5675</v>
      </c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N401" s="25"/>
      <c r="CO401" s="25"/>
      <c r="CP401" s="25"/>
      <c r="CQ401" s="25"/>
      <c r="CR401" s="25"/>
      <c r="CS401" s="26"/>
    </row>
    <row r="402" spans="1:97" s="87" customFormat="1" ht="28.5" customHeight="1">
      <c r="A402" s="4">
        <v>239</v>
      </c>
      <c r="B402" s="61"/>
      <c r="C402" s="61"/>
      <c r="D402" s="61"/>
      <c r="E402" s="61"/>
      <c r="F402" s="61"/>
      <c r="G402" s="61" t="s">
        <v>5130</v>
      </c>
      <c r="H402" s="62" t="s">
        <v>5131</v>
      </c>
      <c r="I402" s="61" t="s">
        <v>4774</v>
      </c>
      <c r="J402" s="63" t="s">
        <v>5132</v>
      </c>
      <c r="K402" s="63" t="s">
        <v>5133</v>
      </c>
      <c r="L402" s="64"/>
      <c r="M402" s="62">
        <v>2078</v>
      </c>
      <c r="N402" s="62">
        <v>3166782100</v>
      </c>
      <c r="O402" s="65" t="s">
        <v>5134</v>
      </c>
      <c r="P402" s="66" t="s">
        <v>5135</v>
      </c>
      <c r="Q402" s="391" t="s">
        <v>5136</v>
      </c>
      <c r="R402" s="8" t="s">
        <v>8304</v>
      </c>
      <c r="S402" s="212" t="s">
        <v>12148</v>
      </c>
      <c r="T402" s="64" t="s">
        <v>5137</v>
      </c>
      <c r="U402" s="67" t="s">
        <v>172</v>
      </c>
      <c r="V402" s="68" t="s">
        <v>94</v>
      </c>
      <c r="W402" s="69">
        <v>42647</v>
      </c>
      <c r="X402" s="62" t="str">
        <f t="shared" ca="1" si="13"/>
        <v>9 Th, 11 Bln</v>
      </c>
      <c r="Y402" s="62"/>
      <c r="Z402" s="14"/>
      <c r="AA402" s="62" t="s">
        <v>96</v>
      </c>
      <c r="AB402" s="62" t="s">
        <v>97</v>
      </c>
      <c r="AC402" s="70" t="s">
        <v>5138</v>
      </c>
      <c r="AD402" s="133">
        <v>3</v>
      </c>
      <c r="AE402" s="64">
        <v>1</v>
      </c>
      <c r="AF402" s="63" t="s">
        <v>1976</v>
      </c>
      <c r="AG402" s="63" t="s">
        <v>140</v>
      </c>
      <c r="AH402" s="63" t="s">
        <v>141</v>
      </c>
      <c r="AI402" s="63">
        <v>65152</v>
      </c>
      <c r="AJ402" s="63" t="s">
        <v>1374</v>
      </c>
      <c r="AK402" s="63" t="s">
        <v>104</v>
      </c>
      <c r="AL402" s="71">
        <v>5</v>
      </c>
      <c r="AM402" s="71"/>
      <c r="AN402" s="88" t="s">
        <v>5139</v>
      </c>
      <c r="AO402" s="64">
        <v>1</v>
      </c>
      <c r="AP402" s="64">
        <v>1</v>
      </c>
      <c r="AQ402" s="64">
        <v>0</v>
      </c>
      <c r="AR402" s="134">
        <v>0</v>
      </c>
      <c r="AS402" s="133"/>
      <c r="AT402" s="134"/>
      <c r="AU402" s="134"/>
      <c r="AV402" s="73" t="s">
        <v>112</v>
      </c>
      <c r="AW402" s="135" t="s">
        <v>113</v>
      </c>
      <c r="AX402" s="63" t="s">
        <v>183</v>
      </c>
      <c r="AY402" s="74" t="s">
        <v>5140</v>
      </c>
      <c r="AZ402" s="77" t="s">
        <v>5141</v>
      </c>
      <c r="BA402" s="75" t="s">
        <v>5142</v>
      </c>
      <c r="BB402" s="75" t="s">
        <v>5143</v>
      </c>
      <c r="BC402" s="76" t="s">
        <v>96</v>
      </c>
      <c r="BD402" s="77" t="s">
        <v>5139</v>
      </c>
      <c r="BE402" s="63" t="s">
        <v>118</v>
      </c>
      <c r="BF402" s="63" t="s">
        <v>276</v>
      </c>
      <c r="BG402" s="63" t="s">
        <v>5144</v>
      </c>
      <c r="BH402" s="78"/>
      <c r="BI402" s="79"/>
      <c r="BJ402" s="80">
        <v>8000000</v>
      </c>
      <c r="BK402" s="89" t="s">
        <v>5145</v>
      </c>
      <c r="BL402" s="82" t="s">
        <v>5146</v>
      </c>
      <c r="BM402" s="77" t="s">
        <v>5147</v>
      </c>
      <c r="BN402" s="145" t="s">
        <v>519</v>
      </c>
      <c r="BO402" s="75" t="s">
        <v>5148</v>
      </c>
      <c r="BP402" s="76" t="s">
        <v>96</v>
      </c>
      <c r="BQ402" s="77" t="s">
        <v>5149</v>
      </c>
      <c r="BR402" s="63" t="s">
        <v>118</v>
      </c>
      <c r="BS402" s="63" t="s">
        <v>5150</v>
      </c>
      <c r="BT402" s="63" t="s">
        <v>5151</v>
      </c>
      <c r="BU402" s="64"/>
      <c r="BV402" s="79"/>
      <c r="BW402" s="83">
        <v>1000000</v>
      </c>
      <c r="BX402" s="90" t="s">
        <v>5152</v>
      </c>
      <c r="BY402" s="83" t="s">
        <v>5153</v>
      </c>
      <c r="BZ402" s="83" t="s">
        <v>222</v>
      </c>
      <c r="CA402" s="83" t="s">
        <v>5154</v>
      </c>
      <c r="CB402" s="83" t="s">
        <v>4817</v>
      </c>
      <c r="CC402" s="91" t="s">
        <v>5155</v>
      </c>
      <c r="CD402" s="83" t="s">
        <v>118</v>
      </c>
      <c r="CE402" s="83" t="s">
        <v>5156</v>
      </c>
      <c r="CF402" s="83" t="s">
        <v>96</v>
      </c>
      <c r="CG402" s="83" t="s">
        <v>5157</v>
      </c>
      <c r="CH402" s="83">
        <v>3</v>
      </c>
      <c r="CI402" s="83">
        <v>1</v>
      </c>
      <c r="CJ402" s="83" t="s">
        <v>1976</v>
      </c>
      <c r="CK402" s="83" t="s">
        <v>140</v>
      </c>
      <c r="CL402" s="87" t="s">
        <v>142</v>
      </c>
      <c r="CN402" s="85"/>
      <c r="CO402" s="85"/>
      <c r="CP402" s="85"/>
      <c r="CQ402" s="85"/>
      <c r="CR402" s="85"/>
      <c r="CS402" s="86"/>
    </row>
    <row r="403" spans="1:97" s="27" customFormat="1" ht="23.25" customHeight="1">
      <c r="A403" s="4">
        <v>269</v>
      </c>
      <c r="B403" s="6" t="s">
        <v>4837</v>
      </c>
      <c r="C403" s="6" t="s">
        <v>4837</v>
      </c>
      <c r="D403" s="6" t="s">
        <v>4837</v>
      </c>
      <c r="E403" s="6"/>
      <c r="F403" s="6"/>
      <c r="G403" s="6" t="s">
        <v>5733</v>
      </c>
      <c r="H403" s="5" t="s">
        <v>4839</v>
      </c>
      <c r="I403" s="6" t="s">
        <v>86</v>
      </c>
      <c r="J403" s="7" t="s">
        <v>513</v>
      </c>
      <c r="K403" s="7" t="s">
        <v>4855</v>
      </c>
      <c r="L403" s="8"/>
      <c r="M403" s="5">
        <v>1888</v>
      </c>
      <c r="N403" s="5" t="s">
        <v>5734</v>
      </c>
      <c r="O403" s="9" t="s">
        <v>5735</v>
      </c>
      <c r="P403" s="10" t="s">
        <v>5736</v>
      </c>
      <c r="Q403" s="389" t="s">
        <v>5737</v>
      </c>
      <c r="R403" s="8" t="s">
        <v>8304</v>
      </c>
      <c r="S403" s="212" t="s">
        <v>12148</v>
      </c>
      <c r="T403" s="8" t="s">
        <v>5738</v>
      </c>
      <c r="U403" s="11" t="s">
        <v>172</v>
      </c>
      <c r="V403" s="12" t="s">
        <v>519</v>
      </c>
      <c r="W403" s="13">
        <v>42507</v>
      </c>
      <c r="X403" s="5" t="str">
        <f t="shared" ca="1" si="13"/>
        <v>10 Th, 3 Bln</v>
      </c>
      <c r="Y403" s="5"/>
      <c r="Z403" s="14"/>
      <c r="AA403" s="5" t="s">
        <v>96</v>
      </c>
      <c r="AB403" s="5" t="s">
        <v>97</v>
      </c>
      <c r="AC403" s="7" t="s">
        <v>5739</v>
      </c>
      <c r="AD403" s="131">
        <v>10</v>
      </c>
      <c r="AE403" s="131" t="s">
        <v>384</v>
      </c>
      <c r="AF403" s="7" t="s">
        <v>139</v>
      </c>
      <c r="AG403" s="7" t="s">
        <v>140</v>
      </c>
      <c r="AH403" s="7" t="s">
        <v>141</v>
      </c>
      <c r="AI403" s="7"/>
      <c r="AJ403" s="7" t="s">
        <v>142</v>
      </c>
      <c r="AK403" s="7" t="s">
        <v>104</v>
      </c>
      <c r="AL403" s="7" t="s">
        <v>4915</v>
      </c>
      <c r="AM403" s="15" t="s">
        <v>5740</v>
      </c>
      <c r="AN403" s="15" t="s">
        <v>5740</v>
      </c>
      <c r="AO403" s="8">
        <v>1</v>
      </c>
      <c r="AP403" s="8">
        <v>2</v>
      </c>
      <c r="AQ403" s="8"/>
      <c r="AR403" s="8"/>
      <c r="AS403" s="132" t="s">
        <v>5741</v>
      </c>
      <c r="AT403" s="131" t="s">
        <v>2384</v>
      </c>
      <c r="AU403" s="132" t="s">
        <v>182</v>
      </c>
      <c r="AV403" s="16" t="s">
        <v>112</v>
      </c>
      <c r="AW403" s="56" t="s">
        <v>113</v>
      </c>
      <c r="AX403" s="56" t="s">
        <v>114</v>
      </c>
      <c r="AY403" s="7" t="s">
        <v>5742</v>
      </c>
      <c r="AZ403" s="10" t="s">
        <v>5743</v>
      </c>
      <c r="BA403" s="7" t="s">
        <v>395</v>
      </c>
      <c r="BB403" s="17">
        <v>33149</v>
      </c>
      <c r="BC403" s="17" t="s">
        <v>96</v>
      </c>
      <c r="BD403" s="18" t="s">
        <v>5744</v>
      </c>
      <c r="BE403" s="7" t="s">
        <v>118</v>
      </c>
      <c r="BF403" s="7" t="s">
        <v>327</v>
      </c>
      <c r="BG403" s="7" t="s">
        <v>5745</v>
      </c>
      <c r="BH403" s="7" t="s">
        <v>5746</v>
      </c>
      <c r="BI403" s="19"/>
      <c r="BJ403" s="20" t="s">
        <v>1639</v>
      </c>
      <c r="BK403" s="21" t="s">
        <v>5747</v>
      </c>
      <c r="BL403" s="7" t="s">
        <v>5748</v>
      </c>
      <c r="BM403" s="22" t="s">
        <v>5749</v>
      </c>
      <c r="BN403" s="8" t="s">
        <v>519</v>
      </c>
      <c r="BO403" s="17">
        <v>33391</v>
      </c>
      <c r="BP403" s="17" t="s">
        <v>96</v>
      </c>
      <c r="BQ403" s="18" t="s">
        <v>5740</v>
      </c>
      <c r="BR403" s="7" t="s">
        <v>118</v>
      </c>
      <c r="BS403" s="7" t="s">
        <v>503</v>
      </c>
      <c r="BT403" s="7" t="s">
        <v>5750</v>
      </c>
      <c r="BU403" s="8" t="s">
        <v>5751</v>
      </c>
      <c r="BV403" s="23"/>
      <c r="BW403" s="24" t="s">
        <v>5752</v>
      </c>
      <c r="BX403" s="21" t="s">
        <v>5753</v>
      </c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N403" s="25"/>
      <c r="CO403" s="25"/>
      <c r="CP403" s="25"/>
      <c r="CQ403" s="25"/>
      <c r="CR403" s="25"/>
      <c r="CS403" s="26"/>
    </row>
    <row r="404" spans="1:97" s="27" customFormat="1" ht="23.25" customHeight="1">
      <c r="A404" s="4">
        <v>244</v>
      </c>
      <c r="B404" s="6" t="s">
        <v>4837</v>
      </c>
      <c r="C404" s="6" t="s">
        <v>4837</v>
      </c>
      <c r="D404" s="6" t="s">
        <v>4837</v>
      </c>
      <c r="E404" s="6"/>
      <c r="F404" s="6"/>
      <c r="G404" s="6" t="s">
        <v>5236</v>
      </c>
      <c r="H404" s="5" t="s">
        <v>4839</v>
      </c>
      <c r="I404" s="6" t="s">
        <v>86</v>
      </c>
      <c r="J404" s="7" t="s">
        <v>5237</v>
      </c>
      <c r="K404" s="7" t="s">
        <v>5238</v>
      </c>
      <c r="L404" s="8"/>
      <c r="M404" s="5">
        <v>1895</v>
      </c>
      <c r="N404" s="5">
        <v>3165622595</v>
      </c>
      <c r="O404" s="9" t="s">
        <v>5239</v>
      </c>
      <c r="P404" s="10" t="s">
        <v>5240</v>
      </c>
      <c r="Q404" s="389" t="s">
        <v>5241</v>
      </c>
      <c r="R404" s="8" t="s">
        <v>8304</v>
      </c>
      <c r="S404" s="212" t="s">
        <v>12148</v>
      </c>
      <c r="T404" s="8" t="s">
        <v>5242</v>
      </c>
      <c r="U404" s="11" t="s">
        <v>172</v>
      </c>
      <c r="V404" s="12" t="s">
        <v>603</v>
      </c>
      <c r="W404" s="13">
        <v>42621</v>
      </c>
      <c r="X404" s="5" t="str">
        <f t="shared" ca="1" si="13"/>
        <v>10 Th, 0 Bln</v>
      </c>
      <c r="Y404" s="5"/>
      <c r="Z404" s="14"/>
      <c r="AA404" s="5" t="s">
        <v>96</v>
      </c>
      <c r="AB404" s="5" t="s">
        <v>97</v>
      </c>
      <c r="AC404" s="7" t="s">
        <v>5243</v>
      </c>
      <c r="AD404" s="131" t="s">
        <v>293</v>
      </c>
      <c r="AE404" s="131">
        <v>0</v>
      </c>
      <c r="AF404" s="7" t="s">
        <v>139</v>
      </c>
      <c r="AG404" s="7" t="s">
        <v>140</v>
      </c>
      <c r="AH404" s="7" t="s">
        <v>141</v>
      </c>
      <c r="AI404" s="7"/>
      <c r="AJ404" s="7" t="s">
        <v>1374</v>
      </c>
      <c r="AK404" s="7" t="s">
        <v>104</v>
      </c>
      <c r="AL404" s="7" t="s">
        <v>5244</v>
      </c>
      <c r="AM404" s="15"/>
      <c r="AN404" s="15" t="s">
        <v>5245</v>
      </c>
      <c r="AO404" s="8">
        <v>1</v>
      </c>
      <c r="AP404" s="8">
        <v>1</v>
      </c>
      <c r="AQ404" s="8">
        <v>0</v>
      </c>
      <c r="AR404" s="8">
        <v>0</v>
      </c>
      <c r="AS404" s="132" t="s">
        <v>5246</v>
      </c>
      <c r="AT404" s="131" t="s">
        <v>4958</v>
      </c>
      <c r="AU404" s="132" t="s">
        <v>182</v>
      </c>
      <c r="AV404" s="16" t="s">
        <v>112</v>
      </c>
      <c r="AW404" s="56" t="s">
        <v>344</v>
      </c>
      <c r="AX404" s="56" t="s">
        <v>114</v>
      </c>
      <c r="AY404" s="7" t="s">
        <v>5247</v>
      </c>
      <c r="AZ404" s="10" t="s">
        <v>5248</v>
      </c>
      <c r="BA404" s="7" t="s">
        <v>603</v>
      </c>
      <c r="BB404" s="17">
        <v>33066</v>
      </c>
      <c r="BC404" s="17" t="s">
        <v>96</v>
      </c>
      <c r="BD404" s="18" t="s">
        <v>5249</v>
      </c>
      <c r="BE404" s="7" t="s">
        <v>118</v>
      </c>
      <c r="BF404" s="7" t="s">
        <v>276</v>
      </c>
      <c r="BG404" s="7" t="s">
        <v>5250</v>
      </c>
      <c r="BH404" s="7" t="s">
        <v>5251</v>
      </c>
      <c r="BI404" s="19"/>
      <c r="BJ404" s="20" t="s">
        <v>818</v>
      </c>
      <c r="BK404" s="21" t="s">
        <v>5252</v>
      </c>
      <c r="BL404" s="7" t="s">
        <v>5253</v>
      </c>
      <c r="BM404" s="22" t="s">
        <v>5254</v>
      </c>
      <c r="BN404" s="8" t="s">
        <v>4941</v>
      </c>
      <c r="BO404" s="17">
        <v>33758</v>
      </c>
      <c r="BP404" s="17" t="s">
        <v>96</v>
      </c>
      <c r="BQ404" s="18" t="s">
        <v>5245</v>
      </c>
      <c r="BR404" s="7" t="s">
        <v>118</v>
      </c>
      <c r="BS404" s="7" t="s">
        <v>195</v>
      </c>
      <c r="BT404" s="7" t="s">
        <v>2903</v>
      </c>
      <c r="BU404" s="8" t="s">
        <v>5255</v>
      </c>
      <c r="BV404" s="23"/>
      <c r="BW404" s="24" t="s">
        <v>190</v>
      </c>
      <c r="BX404" s="21" t="s">
        <v>5256</v>
      </c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N404" s="25"/>
      <c r="CO404" s="25"/>
      <c r="CP404" s="25"/>
      <c r="CQ404" s="25"/>
      <c r="CR404" s="25"/>
      <c r="CS404" s="26"/>
    </row>
    <row r="405" spans="1:97" s="27" customFormat="1" ht="23.25" customHeight="1">
      <c r="A405" s="4">
        <v>300</v>
      </c>
      <c r="B405" s="6" t="s">
        <v>4837</v>
      </c>
      <c r="C405" s="6" t="s">
        <v>4837</v>
      </c>
      <c r="D405" s="6" t="s">
        <v>4837</v>
      </c>
      <c r="E405" s="6"/>
      <c r="F405" s="6"/>
      <c r="G405" s="6" t="s">
        <v>6284</v>
      </c>
      <c r="H405" s="5" t="s">
        <v>4839</v>
      </c>
      <c r="I405" s="6" t="s">
        <v>86</v>
      </c>
      <c r="J405" s="7" t="s">
        <v>561</v>
      </c>
      <c r="K405" s="7" t="s">
        <v>6285</v>
      </c>
      <c r="L405" s="8"/>
      <c r="M405" s="5">
        <v>1896</v>
      </c>
      <c r="N405" s="5">
        <v>3163212642</v>
      </c>
      <c r="O405" s="9" t="s">
        <v>6286</v>
      </c>
      <c r="P405" s="10" t="s">
        <v>6287</v>
      </c>
      <c r="Q405" s="389" t="s">
        <v>13430</v>
      </c>
      <c r="R405" s="8" t="s">
        <v>8304</v>
      </c>
      <c r="S405" s="212" t="s">
        <v>12148</v>
      </c>
      <c r="T405" s="8" t="s">
        <v>6288</v>
      </c>
      <c r="U405" s="11" t="s">
        <v>172</v>
      </c>
      <c r="V405" s="12" t="s">
        <v>444</v>
      </c>
      <c r="W405" s="13">
        <v>42728</v>
      </c>
      <c r="X405" s="5" t="str">
        <f t="shared" ca="1" si="13"/>
        <v>9 Th, 8 Bln</v>
      </c>
      <c r="Y405" s="5"/>
      <c r="Z405" s="14"/>
      <c r="AA405" s="5" t="s">
        <v>96</v>
      </c>
      <c r="AB405" s="5" t="s">
        <v>97</v>
      </c>
      <c r="AC405" s="7" t="s">
        <v>6289</v>
      </c>
      <c r="AD405" s="131" t="s">
        <v>2459</v>
      </c>
      <c r="AE405" s="131" t="s">
        <v>2459</v>
      </c>
      <c r="AF405" s="7" t="s">
        <v>731</v>
      </c>
      <c r="AG405" s="7" t="s">
        <v>140</v>
      </c>
      <c r="AH405" s="7" t="s">
        <v>141</v>
      </c>
      <c r="AI405" s="7"/>
      <c r="AJ405" s="7" t="s">
        <v>1374</v>
      </c>
      <c r="AK405" s="7" t="s">
        <v>179</v>
      </c>
      <c r="AL405" s="7" t="s">
        <v>4986</v>
      </c>
      <c r="AM405" s="15" t="s">
        <v>6290</v>
      </c>
      <c r="AN405" s="15" t="s">
        <v>6290</v>
      </c>
      <c r="AO405" s="8">
        <v>2</v>
      </c>
      <c r="AP405" s="8">
        <v>1</v>
      </c>
      <c r="AQ405" s="8">
        <v>0</v>
      </c>
      <c r="AR405" s="8">
        <v>0</v>
      </c>
      <c r="AS405" s="132" t="s">
        <v>2137</v>
      </c>
      <c r="AT405" s="131" t="s">
        <v>6291</v>
      </c>
      <c r="AU405" s="132" t="s">
        <v>149</v>
      </c>
      <c r="AV405" s="16" t="s">
        <v>112</v>
      </c>
      <c r="AW405" s="56"/>
      <c r="AX405" s="56" t="s">
        <v>114</v>
      </c>
      <c r="AY405" s="7" t="s">
        <v>6292</v>
      </c>
      <c r="AZ405" s="10" t="s">
        <v>6293</v>
      </c>
      <c r="BA405" s="7" t="s">
        <v>444</v>
      </c>
      <c r="BB405" s="17">
        <v>31240</v>
      </c>
      <c r="BC405" s="17" t="s">
        <v>96</v>
      </c>
      <c r="BD405" s="18" t="s">
        <v>6294</v>
      </c>
      <c r="BE405" s="7" t="s">
        <v>118</v>
      </c>
      <c r="BF405" s="7" t="s">
        <v>471</v>
      </c>
      <c r="BG405" s="7" t="s">
        <v>6295</v>
      </c>
      <c r="BH405" s="7" t="s">
        <v>6296</v>
      </c>
      <c r="BI405" s="19" t="s">
        <v>6297</v>
      </c>
      <c r="BJ405" s="20">
        <v>19500000</v>
      </c>
      <c r="BK405" s="21" t="s">
        <v>6298</v>
      </c>
      <c r="BL405" s="7" t="s">
        <v>6299</v>
      </c>
      <c r="BM405" s="22" t="s">
        <v>6300</v>
      </c>
      <c r="BN405" s="8" t="s">
        <v>444</v>
      </c>
      <c r="BO405" s="17">
        <v>31778</v>
      </c>
      <c r="BP405" s="17" t="s">
        <v>96</v>
      </c>
      <c r="BQ405" s="18" t="s">
        <v>6301</v>
      </c>
      <c r="BR405" s="7" t="s">
        <v>153</v>
      </c>
      <c r="BS405" s="7" t="s">
        <v>154</v>
      </c>
      <c r="BT405" s="7" t="s">
        <v>768</v>
      </c>
      <c r="BU405" s="8" t="s">
        <v>6302</v>
      </c>
      <c r="BV405" s="23" t="s">
        <v>6303</v>
      </c>
      <c r="BW405" s="24">
        <v>4500000</v>
      </c>
      <c r="BX405" s="21" t="s">
        <v>6304</v>
      </c>
      <c r="BY405" s="21" t="s">
        <v>6305</v>
      </c>
      <c r="BZ405" s="21" t="s">
        <v>6306</v>
      </c>
      <c r="CA405" s="21">
        <v>31240</v>
      </c>
      <c r="CB405" s="21"/>
      <c r="CC405" s="21" t="s">
        <v>6294</v>
      </c>
      <c r="CD405" s="21" t="s">
        <v>118</v>
      </c>
      <c r="CE405" s="21" t="s">
        <v>6307</v>
      </c>
      <c r="CF405" s="21" t="s">
        <v>96</v>
      </c>
      <c r="CG405" s="21" t="s">
        <v>6308</v>
      </c>
      <c r="CH405" s="21" t="s">
        <v>2459</v>
      </c>
      <c r="CI405" s="21" t="s">
        <v>2459</v>
      </c>
      <c r="CJ405" s="21" t="s">
        <v>6309</v>
      </c>
      <c r="CK405" s="21" t="s">
        <v>6310</v>
      </c>
      <c r="CL405" s="21" t="s">
        <v>5535</v>
      </c>
      <c r="CN405" s="25"/>
      <c r="CO405" s="25"/>
      <c r="CP405" s="25"/>
      <c r="CQ405" s="25"/>
      <c r="CR405" s="25"/>
      <c r="CS405" s="26"/>
    </row>
    <row r="406" spans="1:97" s="27" customFormat="1" ht="23.25" customHeight="1">
      <c r="A406" s="4">
        <v>301</v>
      </c>
      <c r="B406" s="6" t="s">
        <v>4837</v>
      </c>
      <c r="C406" s="6" t="s">
        <v>4837</v>
      </c>
      <c r="D406" s="6" t="s">
        <v>4837</v>
      </c>
      <c r="E406" s="6"/>
      <c r="F406" s="6"/>
      <c r="G406" s="6" t="s">
        <v>6311</v>
      </c>
      <c r="H406" s="5" t="s">
        <v>4839</v>
      </c>
      <c r="I406" s="6" t="s">
        <v>86</v>
      </c>
      <c r="J406" s="7" t="s">
        <v>6312</v>
      </c>
      <c r="K406" s="7" t="s">
        <v>6313</v>
      </c>
      <c r="L406" s="8"/>
      <c r="M406" s="5">
        <v>1898</v>
      </c>
      <c r="N406" s="5" t="s">
        <v>6314</v>
      </c>
      <c r="O406" s="9" t="s">
        <v>6315</v>
      </c>
      <c r="P406" s="10" t="s">
        <v>6316</v>
      </c>
      <c r="Q406" s="389" t="s">
        <v>13429</v>
      </c>
      <c r="R406" s="8" t="s">
        <v>8304</v>
      </c>
      <c r="S406" s="212" t="s">
        <v>12148</v>
      </c>
      <c r="T406" s="8" t="s">
        <v>6317</v>
      </c>
      <c r="U406" s="11" t="s">
        <v>93</v>
      </c>
      <c r="V406" s="12" t="s">
        <v>6318</v>
      </c>
      <c r="W406" s="13">
        <v>42542</v>
      </c>
      <c r="X406" s="5" t="str">
        <f t="shared" ca="1" si="13"/>
        <v>10 Th, 2 Bln</v>
      </c>
      <c r="Y406" s="5"/>
      <c r="Z406" s="14"/>
      <c r="AA406" s="5" t="s">
        <v>96</v>
      </c>
      <c r="AB406" s="5" t="s">
        <v>97</v>
      </c>
      <c r="AC406" s="7" t="s">
        <v>6319</v>
      </c>
      <c r="AD406" s="131" t="s">
        <v>293</v>
      </c>
      <c r="AE406" s="131" t="s">
        <v>546</v>
      </c>
      <c r="AF406" s="7" t="s">
        <v>6320</v>
      </c>
      <c r="AG406" s="7" t="s">
        <v>547</v>
      </c>
      <c r="AH406" s="7" t="s">
        <v>178</v>
      </c>
      <c r="AI406" s="7"/>
      <c r="AJ406" s="7" t="s">
        <v>103</v>
      </c>
      <c r="AK406" s="7" t="s">
        <v>179</v>
      </c>
      <c r="AL406" s="7" t="s">
        <v>6321</v>
      </c>
      <c r="AM406" s="15"/>
      <c r="AN406" s="15" t="s">
        <v>6322</v>
      </c>
      <c r="AO406" s="8">
        <v>1</v>
      </c>
      <c r="AP406" s="8">
        <v>1</v>
      </c>
      <c r="AQ406" s="8"/>
      <c r="AR406" s="8"/>
      <c r="AS406" s="132" t="s">
        <v>6323</v>
      </c>
      <c r="AT406" s="131" t="s">
        <v>1266</v>
      </c>
      <c r="AU406" s="132" t="s">
        <v>182</v>
      </c>
      <c r="AV406" s="16" t="s">
        <v>212</v>
      </c>
      <c r="AW406" s="56" t="s">
        <v>392</v>
      </c>
      <c r="AX406" s="56" t="s">
        <v>6324</v>
      </c>
      <c r="AY406" s="7" t="s">
        <v>6325</v>
      </c>
      <c r="AZ406" s="10" t="s">
        <v>6326</v>
      </c>
      <c r="BA406" s="7" t="s">
        <v>6318</v>
      </c>
      <c r="BB406" s="17">
        <v>31007</v>
      </c>
      <c r="BC406" s="17" t="s">
        <v>96</v>
      </c>
      <c r="BD406" s="18" t="s">
        <v>6327</v>
      </c>
      <c r="BE406" s="7" t="s">
        <v>118</v>
      </c>
      <c r="BF406" s="7" t="s">
        <v>6328</v>
      </c>
      <c r="BG406" s="7" t="s">
        <v>6329</v>
      </c>
      <c r="BH406" s="7" t="s">
        <v>6330</v>
      </c>
      <c r="BI406" s="19" t="s">
        <v>6331</v>
      </c>
      <c r="BJ406" s="20">
        <v>20000000</v>
      </c>
      <c r="BK406" s="21" t="s">
        <v>6332</v>
      </c>
      <c r="BL406" s="7" t="s">
        <v>6333</v>
      </c>
      <c r="BM406" s="22" t="s">
        <v>6334</v>
      </c>
      <c r="BN406" s="8" t="s">
        <v>6335</v>
      </c>
      <c r="BO406" s="17">
        <v>33136</v>
      </c>
      <c r="BP406" s="17" t="s">
        <v>96</v>
      </c>
      <c r="BQ406" s="18" t="s">
        <v>6322</v>
      </c>
      <c r="BR406" s="7" t="s">
        <v>118</v>
      </c>
      <c r="BS406" s="7" t="s">
        <v>582</v>
      </c>
      <c r="BT406" s="7" t="s">
        <v>147</v>
      </c>
      <c r="BU406" s="8" t="s">
        <v>147</v>
      </c>
      <c r="BV406" s="23"/>
      <c r="BW406" s="24">
        <v>0</v>
      </c>
      <c r="BX406" s="21" t="s">
        <v>6336</v>
      </c>
      <c r="BY406" s="21" t="s">
        <v>6337</v>
      </c>
      <c r="BZ406" s="21" t="s">
        <v>6338</v>
      </c>
      <c r="CA406" s="21">
        <v>23042</v>
      </c>
      <c r="CB406" s="21"/>
      <c r="CC406" s="21" t="s">
        <v>6339</v>
      </c>
      <c r="CD406" s="21" t="s">
        <v>216</v>
      </c>
      <c r="CE406" s="21" t="s">
        <v>6340</v>
      </c>
      <c r="CF406" s="21" t="s">
        <v>96</v>
      </c>
      <c r="CG406" s="21" t="s">
        <v>6341</v>
      </c>
      <c r="CH406" s="21" t="s">
        <v>293</v>
      </c>
      <c r="CI406" s="21" t="s">
        <v>546</v>
      </c>
      <c r="CJ406" s="21" t="s">
        <v>6342</v>
      </c>
      <c r="CK406" s="21" t="s">
        <v>6123</v>
      </c>
      <c r="CL406" s="21" t="s">
        <v>6343</v>
      </c>
      <c r="CN406" s="25"/>
      <c r="CO406" s="25"/>
      <c r="CP406" s="25"/>
      <c r="CQ406" s="25"/>
      <c r="CR406" s="25"/>
      <c r="CS406" s="26"/>
    </row>
    <row r="407" spans="1:97" s="27" customFormat="1" ht="23.25" customHeight="1">
      <c r="A407" s="4">
        <v>272</v>
      </c>
      <c r="B407" s="28" t="s">
        <v>4837</v>
      </c>
      <c r="C407" s="28" t="s">
        <v>4837</v>
      </c>
      <c r="D407" s="28" t="s">
        <v>4837</v>
      </c>
      <c r="E407" s="28"/>
      <c r="F407" s="28" t="s">
        <v>4837</v>
      </c>
      <c r="G407" s="28" t="s">
        <v>5780</v>
      </c>
      <c r="H407" s="29" t="s">
        <v>4839</v>
      </c>
      <c r="I407" s="28" t="s">
        <v>86</v>
      </c>
      <c r="J407" s="30" t="s">
        <v>166</v>
      </c>
      <c r="K407" s="30" t="s">
        <v>1993</v>
      </c>
      <c r="L407" s="31"/>
      <c r="M407" s="29">
        <v>1900</v>
      </c>
      <c r="N407" s="29">
        <v>3169086747</v>
      </c>
      <c r="O407" s="92" t="s">
        <v>5781</v>
      </c>
      <c r="P407" s="32" t="s">
        <v>5782</v>
      </c>
      <c r="Q407" s="390" t="s">
        <v>5783</v>
      </c>
      <c r="R407" s="8" t="s">
        <v>8304</v>
      </c>
      <c r="S407" s="212" t="s">
        <v>12148</v>
      </c>
      <c r="T407" s="31" t="s">
        <v>2156</v>
      </c>
      <c r="U407" s="33" t="s">
        <v>93</v>
      </c>
      <c r="V407" s="34" t="s">
        <v>4601</v>
      </c>
      <c r="W407" s="35">
        <v>42453</v>
      </c>
      <c r="X407" s="31" t="str">
        <f t="shared" ca="1" si="13"/>
        <v>10 Th, 5 Bln</v>
      </c>
      <c r="Y407" s="31"/>
      <c r="Z407" s="36"/>
      <c r="AA407" s="31" t="s">
        <v>96</v>
      </c>
      <c r="AB407" s="31" t="s">
        <v>97</v>
      </c>
      <c r="AC407" s="30" t="s">
        <v>5784</v>
      </c>
      <c r="AD407" s="129" t="s">
        <v>966</v>
      </c>
      <c r="AE407" s="129" t="s">
        <v>967</v>
      </c>
      <c r="AF407" s="30" t="s">
        <v>3957</v>
      </c>
      <c r="AG407" s="30" t="s">
        <v>3503</v>
      </c>
      <c r="AH407" s="30" t="s">
        <v>141</v>
      </c>
      <c r="AI407" s="30"/>
      <c r="AJ407" s="30" t="s">
        <v>1374</v>
      </c>
      <c r="AK407" s="30" t="s">
        <v>3958</v>
      </c>
      <c r="AL407" s="30" t="s">
        <v>5785</v>
      </c>
      <c r="AM407" s="37"/>
      <c r="AN407" s="37" t="s">
        <v>3959</v>
      </c>
      <c r="AO407" s="31">
        <v>2</v>
      </c>
      <c r="AP407" s="31">
        <v>2</v>
      </c>
      <c r="AQ407" s="31">
        <v>0</v>
      </c>
      <c r="AR407" s="31">
        <v>0</v>
      </c>
      <c r="AS407" s="130" t="s">
        <v>5786</v>
      </c>
      <c r="AT407" s="129" t="s">
        <v>1266</v>
      </c>
      <c r="AU407" s="130" t="s">
        <v>149</v>
      </c>
      <c r="AV407" s="38" t="s">
        <v>112</v>
      </c>
      <c r="AW407" s="123" t="s">
        <v>392</v>
      </c>
      <c r="AX407" s="123" t="s">
        <v>114</v>
      </c>
      <c r="AY407" s="30" t="s">
        <v>5787</v>
      </c>
      <c r="AZ407" s="32" t="s">
        <v>3962</v>
      </c>
      <c r="BA407" s="30" t="s">
        <v>3963</v>
      </c>
      <c r="BB407" s="39">
        <v>30858</v>
      </c>
      <c r="BC407" s="39" t="s">
        <v>96</v>
      </c>
      <c r="BD407" s="40" t="s">
        <v>3964</v>
      </c>
      <c r="BE407" s="30" t="s">
        <v>118</v>
      </c>
      <c r="BF407" s="30" t="s">
        <v>3965</v>
      </c>
      <c r="BG407" s="30" t="s">
        <v>3967</v>
      </c>
      <c r="BH407" s="30" t="s">
        <v>5788</v>
      </c>
      <c r="BI407" s="41"/>
      <c r="BJ407" s="42" t="s">
        <v>190</v>
      </c>
      <c r="BK407" s="43"/>
      <c r="BL407" s="30" t="s">
        <v>3968</v>
      </c>
      <c r="BM407" s="44" t="s">
        <v>3969</v>
      </c>
      <c r="BN407" s="125" t="s">
        <v>971</v>
      </c>
      <c r="BO407" s="39">
        <v>31630</v>
      </c>
      <c r="BP407" s="39" t="s">
        <v>96</v>
      </c>
      <c r="BQ407" s="40" t="s">
        <v>3959</v>
      </c>
      <c r="BR407" s="30" t="s">
        <v>118</v>
      </c>
      <c r="BS407" s="30" t="s">
        <v>195</v>
      </c>
      <c r="BT407" s="30" t="s">
        <v>5789</v>
      </c>
      <c r="BU407" s="30" t="s">
        <v>5790</v>
      </c>
      <c r="BV407" s="45"/>
      <c r="BW407" s="46" t="s">
        <v>983</v>
      </c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N407" s="25"/>
      <c r="CO407" s="25"/>
      <c r="CP407" s="25"/>
      <c r="CQ407" s="25"/>
      <c r="CR407" s="25"/>
      <c r="CS407" s="26"/>
    </row>
    <row r="408" spans="1:97" s="27" customFormat="1" ht="23.25" customHeight="1">
      <c r="A408" s="4">
        <v>273</v>
      </c>
      <c r="B408" s="6" t="s">
        <v>4837</v>
      </c>
      <c r="C408" s="6" t="s">
        <v>4837</v>
      </c>
      <c r="D408" s="6" t="s">
        <v>4837</v>
      </c>
      <c r="E408" s="6"/>
      <c r="F408" s="6"/>
      <c r="G408" s="6" t="s">
        <v>5791</v>
      </c>
      <c r="H408" s="5" t="s">
        <v>4839</v>
      </c>
      <c r="I408" s="6" t="s">
        <v>86</v>
      </c>
      <c r="J408" s="7" t="s">
        <v>5223</v>
      </c>
      <c r="K408" s="7" t="s">
        <v>2995</v>
      </c>
      <c r="L408" s="8"/>
      <c r="M408" s="5">
        <v>1903</v>
      </c>
      <c r="N408" s="5">
        <v>3168167823</v>
      </c>
      <c r="O408" s="9" t="s">
        <v>5792</v>
      </c>
      <c r="P408" s="10" t="s">
        <v>5793</v>
      </c>
      <c r="Q408" s="389" t="s">
        <v>5794</v>
      </c>
      <c r="R408" s="8" t="s">
        <v>8304</v>
      </c>
      <c r="S408" s="212" t="s">
        <v>12148</v>
      </c>
      <c r="T408" s="8" t="s">
        <v>5795</v>
      </c>
      <c r="U408" s="11" t="s">
        <v>172</v>
      </c>
      <c r="V408" s="12" t="s">
        <v>2999</v>
      </c>
      <c r="W408" s="13">
        <v>42580</v>
      </c>
      <c r="X408" s="5" t="str">
        <f t="shared" ca="1" si="13"/>
        <v>10 Th, 1 Bln</v>
      </c>
      <c r="Y408" s="5"/>
      <c r="Z408" s="14"/>
      <c r="AA408" s="5" t="s">
        <v>96</v>
      </c>
      <c r="AB408" s="5" t="s">
        <v>97</v>
      </c>
      <c r="AC408" s="7" t="s">
        <v>5796</v>
      </c>
      <c r="AD408" s="131" t="s">
        <v>137</v>
      </c>
      <c r="AE408" s="131">
        <v>12</v>
      </c>
      <c r="AF408" s="7" t="s">
        <v>686</v>
      </c>
      <c r="AG408" s="7" t="s">
        <v>687</v>
      </c>
      <c r="AH408" s="7" t="s">
        <v>141</v>
      </c>
      <c r="AI408" s="7"/>
      <c r="AJ408" s="7" t="s">
        <v>1374</v>
      </c>
      <c r="AK408" s="7" t="s">
        <v>386</v>
      </c>
      <c r="AL408" s="7" t="s">
        <v>5797</v>
      </c>
      <c r="AM408" s="15"/>
      <c r="AN408" s="15" t="s">
        <v>3001</v>
      </c>
      <c r="AO408" s="8">
        <v>1</v>
      </c>
      <c r="AP408" s="8">
        <v>1</v>
      </c>
      <c r="AQ408" s="8">
        <v>0</v>
      </c>
      <c r="AR408" s="8">
        <v>0</v>
      </c>
      <c r="AS408" s="132" t="s">
        <v>873</v>
      </c>
      <c r="AT408" s="131" t="s">
        <v>272</v>
      </c>
      <c r="AU408" s="132" t="s">
        <v>182</v>
      </c>
      <c r="AV408" s="16" t="s">
        <v>112</v>
      </c>
      <c r="AW408" s="56" t="s">
        <v>643</v>
      </c>
      <c r="AX408" s="56" t="s">
        <v>114</v>
      </c>
      <c r="AY408" s="7" t="s">
        <v>3003</v>
      </c>
      <c r="AZ408" s="10" t="s">
        <v>3004</v>
      </c>
      <c r="BA408" s="7" t="s">
        <v>94</v>
      </c>
      <c r="BB408" s="17">
        <v>33081</v>
      </c>
      <c r="BC408" s="17" t="s">
        <v>96</v>
      </c>
      <c r="BD408" s="18" t="s">
        <v>3001</v>
      </c>
      <c r="BE408" s="7" t="s">
        <v>118</v>
      </c>
      <c r="BF408" s="7" t="s">
        <v>4594</v>
      </c>
      <c r="BG408" s="7" t="s">
        <v>5798</v>
      </c>
      <c r="BH408" s="7" t="s">
        <v>5799</v>
      </c>
      <c r="BI408" s="19" t="s">
        <v>5800</v>
      </c>
      <c r="BJ408" s="20">
        <v>8000000</v>
      </c>
      <c r="BK408" s="21" t="s">
        <v>3008</v>
      </c>
      <c r="BL408" s="7" t="s">
        <v>3009</v>
      </c>
      <c r="BM408" s="22" t="s">
        <v>3010</v>
      </c>
      <c r="BN408" s="8" t="s">
        <v>537</v>
      </c>
      <c r="BO408" s="17">
        <v>32015</v>
      </c>
      <c r="BP408" s="17" t="s">
        <v>96</v>
      </c>
      <c r="BQ408" s="18" t="s">
        <v>3011</v>
      </c>
      <c r="BR408" s="7" t="s">
        <v>118</v>
      </c>
      <c r="BS408" s="7" t="s">
        <v>790</v>
      </c>
      <c r="BT408" s="7" t="s">
        <v>127</v>
      </c>
      <c r="BU408" s="8" t="s">
        <v>127</v>
      </c>
      <c r="BV408" s="23" t="s">
        <v>127</v>
      </c>
      <c r="BW408" s="24">
        <v>0</v>
      </c>
      <c r="BX408" s="21" t="s">
        <v>3012</v>
      </c>
      <c r="BY408" s="21" t="s">
        <v>3013</v>
      </c>
      <c r="BZ408" s="21" t="s">
        <v>94</v>
      </c>
      <c r="CA408" s="21">
        <v>34508</v>
      </c>
      <c r="CB408" s="21"/>
      <c r="CC408" s="21" t="s">
        <v>3014</v>
      </c>
      <c r="CD408" s="21" t="s">
        <v>216</v>
      </c>
      <c r="CE408" s="21" t="s">
        <v>5801</v>
      </c>
      <c r="CF408" s="21" t="s">
        <v>96</v>
      </c>
      <c r="CG408" s="21" t="s">
        <v>5802</v>
      </c>
      <c r="CH408" s="21" t="s">
        <v>384</v>
      </c>
      <c r="CI408" s="21" t="s">
        <v>137</v>
      </c>
      <c r="CJ408" s="21" t="s">
        <v>295</v>
      </c>
      <c r="CK408" s="21" t="s">
        <v>178</v>
      </c>
      <c r="CL408" s="21" t="s">
        <v>94</v>
      </c>
      <c r="CN408" s="25"/>
      <c r="CO408" s="25"/>
      <c r="CP408" s="25"/>
      <c r="CQ408" s="25"/>
      <c r="CR408" s="25"/>
      <c r="CS408" s="26"/>
    </row>
    <row r="409" spans="1:97" s="27" customFormat="1" ht="23.25" customHeight="1">
      <c r="A409" s="4">
        <v>303</v>
      </c>
      <c r="B409" s="28" t="s">
        <v>4837</v>
      </c>
      <c r="C409" s="28" t="s">
        <v>4837</v>
      </c>
      <c r="D409" s="28" t="s">
        <v>4837</v>
      </c>
      <c r="E409" s="28"/>
      <c r="F409" s="28"/>
      <c r="G409" s="28" t="s">
        <v>6357</v>
      </c>
      <c r="H409" s="29" t="s">
        <v>4839</v>
      </c>
      <c r="I409" s="28" t="s">
        <v>86</v>
      </c>
      <c r="J409" s="30" t="s">
        <v>657</v>
      </c>
      <c r="K409" s="30" t="s">
        <v>5658</v>
      </c>
      <c r="L409" s="31"/>
      <c r="M409" s="29">
        <v>1905</v>
      </c>
      <c r="N409" s="29">
        <v>3165014011</v>
      </c>
      <c r="O409" s="92" t="s">
        <v>6358</v>
      </c>
      <c r="P409" s="32" t="s">
        <v>6359</v>
      </c>
      <c r="Q409" s="390" t="s">
        <v>6360</v>
      </c>
      <c r="R409" s="8" t="s">
        <v>8304</v>
      </c>
      <c r="S409" s="212" t="s">
        <v>12148</v>
      </c>
      <c r="T409" s="31" t="s">
        <v>171</v>
      </c>
      <c r="U409" s="33" t="s">
        <v>172</v>
      </c>
      <c r="V409" s="34" t="s">
        <v>94</v>
      </c>
      <c r="W409" s="35">
        <v>42414</v>
      </c>
      <c r="X409" s="31" t="str">
        <f t="shared" ca="1" si="13"/>
        <v>10 Th, 7 Bln</v>
      </c>
      <c r="Y409" s="31"/>
      <c r="Z409" s="36"/>
      <c r="AA409" s="31" t="s">
        <v>96</v>
      </c>
      <c r="AB409" s="31" t="s">
        <v>97</v>
      </c>
      <c r="AC409" s="30" t="s">
        <v>6361</v>
      </c>
      <c r="AD409" s="129" t="s">
        <v>546</v>
      </c>
      <c r="AE409" s="129" t="s">
        <v>293</v>
      </c>
      <c r="AF409" s="30" t="s">
        <v>139</v>
      </c>
      <c r="AG409" s="30" t="s">
        <v>140</v>
      </c>
      <c r="AH409" s="30" t="s">
        <v>141</v>
      </c>
      <c r="AI409" s="30"/>
      <c r="AJ409" s="30" t="s">
        <v>142</v>
      </c>
      <c r="AK409" s="30" t="s">
        <v>179</v>
      </c>
      <c r="AL409" s="30" t="s">
        <v>5208</v>
      </c>
      <c r="AM409" s="37" t="s">
        <v>6362</v>
      </c>
      <c r="AN409" s="37" t="s">
        <v>6363</v>
      </c>
      <c r="AO409" s="31">
        <v>1</v>
      </c>
      <c r="AP409" s="31">
        <v>0</v>
      </c>
      <c r="AQ409" s="31">
        <v>0</v>
      </c>
      <c r="AR409" s="31">
        <v>0</v>
      </c>
      <c r="AS409" s="130" t="s">
        <v>6364</v>
      </c>
      <c r="AT409" s="129" t="s">
        <v>6365</v>
      </c>
      <c r="AU409" s="130" t="s">
        <v>111</v>
      </c>
      <c r="AV409" s="38" t="s">
        <v>112</v>
      </c>
      <c r="AW409" s="123" t="s">
        <v>150</v>
      </c>
      <c r="AX409" s="123" t="s">
        <v>183</v>
      </c>
      <c r="AY409" s="30" t="s">
        <v>6366</v>
      </c>
      <c r="AZ409" s="32" t="s">
        <v>6367</v>
      </c>
      <c r="BA409" s="30" t="s">
        <v>94</v>
      </c>
      <c r="BB409" s="39">
        <v>29630</v>
      </c>
      <c r="BC409" s="39" t="s">
        <v>96</v>
      </c>
      <c r="BD409" s="40" t="s">
        <v>6363</v>
      </c>
      <c r="BE409" s="30" t="s">
        <v>118</v>
      </c>
      <c r="BF409" s="30" t="s">
        <v>327</v>
      </c>
      <c r="BG409" s="30" t="s">
        <v>6368</v>
      </c>
      <c r="BH409" s="30" t="s">
        <v>6369</v>
      </c>
      <c r="BI409" s="41" t="s">
        <v>127</v>
      </c>
      <c r="BJ409" s="42">
        <v>10000000</v>
      </c>
      <c r="BK409" s="43" t="s">
        <v>6370</v>
      </c>
      <c r="BL409" s="30" t="s">
        <v>6371</v>
      </c>
      <c r="BM409" s="44" t="s">
        <v>6372</v>
      </c>
      <c r="BN409" s="125" t="s">
        <v>94</v>
      </c>
      <c r="BO409" s="39">
        <v>31736</v>
      </c>
      <c r="BP409" s="39" t="s">
        <v>96</v>
      </c>
      <c r="BQ409" s="40" t="s">
        <v>127</v>
      </c>
      <c r="BR409" s="30" t="s">
        <v>118</v>
      </c>
      <c r="BS409" s="30" t="s">
        <v>127</v>
      </c>
      <c r="BT409" s="30" t="s">
        <v>127</v>
      </c>
      <c r="BU409" s="30" t="s">
        <v>127</v>
      </c>
      <c r="BV409" s="45" t="s">
        <v>127</v>
      </c>
      <c r="BW409" s="46" t="s">
        <v>127</v>
      </c>
      <c r="BX409" s="47" t="s">
        <v>127</v>
      </c>
      <c r="BY409" s="47" t="s">
        <v>127</v>
      </c>
      <c r="BZ409" s="47" t="s">
        <v>127</v>
      </c>
      <c r="CA409" s="47"/>
      <c r="CB409" s="47"/>
      <c r="CC409" s="47"/>
      <c r="CD409" s="47"/>
      <c r="CE409" s="47"/>
      <c r="CF409" s="47"/>
      <c r="CG409" s="47" t="s">
        <v>127</v>
      </c>
      <c r="CH409" s="47" t="s">
        <v>127</v>
      </c>
      <c r="CI409" s="47" t="s">
        <v>127</v>
      </c>
      <c r="CJ409" s="47" t="s">
        <v>127</v>
      </c>
      <c r="CK409" s="47" t="s">
        <v>127</v>
      </c>
      <c r="CL409" s="47" t="s">
        <v>127</v>
      </c>
      <c r="CN409" s="25"/>
      <c r="CO409" s="25"/>
      <c r="CP409" s="25"/>
      <c r="CQ409" s="25"/>
      <c r="CR409" s="25"/>
      <c r="CS409" s="26"/>
    </row>
    <row r="410" spans="1:97" s="27" customFormat="1" ht="23.25" customHeight="1">
      <c r="A410" s="4">
        <v>304</v>
      </c>
      <c r="B410" s="6" t="s">
        <v>4837</v>
      </c>
      <c r="C410" s="6" t="s">
        <v>4837</v>
      </c>
      <c r="D410" s="6" t="s">
        <v>4837</v>
      </c>
      <c r="E410" s="6" t="s">
        <v>4837</v>
      </c>
      <c r="F410" s="6"/>
      <c r="G410" s="6" t="s">
        <v>6373</v>
      </c>
      <c r="H410" s="5" t="s">
        <v>4839</v>
      </c>
      <c r="I410" s="6" t="s">
        <v>86</v>
      </c>
      <c r="J410" s="7" t="s">
        <v>1669</v>
      </c>
      <c r="K410" s="7" t="s">
        <v>6374</v>
      </c>
      <c r="L410" s="8"/>
      <c r="M410" s="5">
        <v>1913</v>
      </c>
      <c r="N410" s="5">
        <v>3173596226</v>
      </c>
      <c r="O410" s="9" t="s">
        <v>6375</v>
      </c>
      <c r="P410" s="10" t="s">
        <v>6376</v>
      </c>
      <c r="Q410" s="389" t="s">
        <v>6377</v>
      </c>
      <c r="R410" s="8" t="s">
        <v>8304</v>
      </c>
      <c r="S410" s="212" t="s">
        <v>12148</v>
      </c>
      <c r="T410" s="8" t="s">
        <v>6378</v>
      </c>
      <c r="U410" s="11" t="s">
        <v>172</v>
      </c>
      <c r="V410" s="12" t="s">
        <v>603</v>
      </c>
      <c r="W410" s="13">
        <v>42979</v>
      </c>
      <c r="X410" s="5" t="str">
        <f t="shared" ca="1" si="13"/>
        <v>9 Th, 0 Bln</v>
      </c>
      <c r="Y410" s="5"/>
      <c r="Z410" s="14"/>
      <c r="AA410" s="5" t="s">
        <v>96</v>
      </c>
      <c r="AB410" s="5" t="s">
        <v>97</v>
      </c>
      <c r="AC410" s="7" t="s">
        <v>6379</v>
      </c>
      <c r="AD410" s="131" t="s">
        <v>1281</v>
      </c>
      <c r="AE410" s="131" t="s">
        <v>239</v>
      </c>
      <c r="AF410" s="7" t="s">
        <v>409</v>
      </c>
      <c r="AG410" s="7" t="s">
        <v>410</v>
      </c>
      <c r="AH410" s="7" t="s">
        <v>141</v>
      </c>
      <c r="AI410" s="7"/>
      <c r="AJ410" s="7" t="s">
        <v>1374</v>
      </c>
      <c r="AK410" s="7" t="s">
        <v>179</v>
      </c>
      <c r="AL410" s="7" t="s">
        <v>5208</v>
      </c>
      <c r="AM410" s="15" t="s">
        <v>6380</v>
      </c>
      <c r="AN410" s="15" t="s">
        <v>6380</v>
      </c>
      <c r="AO410" s="8">
        <v>1</v>
      </c>
      <c r="AP410" s="8">
        <v>1</v>
      </c>
      <c r="AQ410" s="8">
        <v>0</v>
      </c>
      <c r="AR410" s="8">
        <v>0</v>
      </c>
      <c r="AS410" s="132" t="s">
        <v>4937</v>
      </c>
      <c r="AT410" s="131" t="s">
        <v>6381</v>
      </c>
      <c r="AU410" s="132" t="s">
        <v>182</v>
      </c>
      <c r="AV410" s="16" t="s">
        <v>112</v>
      </c>
      <c r="AW410" s="56" t="s">
        <v>113</v>
      </c>
      <c r="AX410" s="56" t="s">
        <v>183</v>
      </c>
      <c r="AY410" s="7" t="s">
        <v>6382</v>
      </c>
      <c r="AZ410" s="10" t="s">
        <v>6383</v>
      </c>
      <c r="BA410" s="7" t="s">
        <v>511</v>
      </c>
      <c r="BB410" s="17">
        <v>35963</v>
      </c>
      <c r="BC410" s="17" t="s">
        <v>96</v>
      </c>
      <c r="BD410" s="18" t="s">
        <v>6384</v>
      </c>
      <c r="BE410" s="7" t="s">
        <v>216</v>
      </c>
      <c r="BF410" s="7" t="s">
        <v>247</v>
      </c>
      <c r="BG410" s="7" t="s">
        <v>6385</v>
      </c>
      <c r="BH410" s="7" t="s">
        <v>6386</v>
      </c>
      <c r="BI410" s="19" t="s">
        <v>6387</v>
      </c>
      <c r="BJ410" s="20">
        <v>5000000</v>
      </c>
      <c r="BK410" s="21" t="s">
        <v>6388</v>
      </c>
      <c r="BL410" s="7" t="s">
        <v>6389</v>
      </c>
      <c r="BM410" s="22" t="s">
        <v>6390</v>
      </c>
      <c r="BN410" s="8" t="s">
        <v>603</v>
      </c>
      <c r="BO410" s="17">
        <v>35618</v>
      </c>
      <c r="BP410" s="17" t="s">
        <v>96</v>
      </c>
      <c r="BQ410" s="18" t="s">
        <v>6380</v>
      </c>
      <c r="BR410" s="7" t="s">
        <v>216</v>
      </c>
      <c r="BS410" s="7" t="s">
        <v>254</v>
      </c>
      <c r="BT410" s="7" t="s">
        <v>108</v>
      </c>
      <c r="BU410" s="8" t="s">
        <v>108</v>
      </c>
      <c r="BV410" s="23" t="s">
        <v>6380</v>
      </c>
      <c r="BW410" s="24"/>
      <c r="BX410" s="21" t="s">
        <v>6391</v>
      </c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N410" s="25"/>
      <c r="CO410" s="25"/>
      <c r="CP410" s="25"/>
      <c r="CQ410" s="25"/>
      <c r="CR410" s="25"/>
      <c r="CS410" s="26"/>
    </row>
    <row r="411" spans="1:97" s="27" customFormat="1" ht="23.25" customHeight="1">
      <c r="A411" s="4">
        <v>278</v>
      </c>
      <c r="B411" s="6" t="s">
        <v>4837</v>
      </c>
      <c r="C411" s="6" t="s">
        <v>4837</v>
      </c>
      <c r="D411" s="6" t="s">
        <v>4837</v>
      </c>
      <c r="E411" s="6"/>
      <c r="F411" s="6"/>
      <c r="G411" s="6" t="s">
        <v>5890</v>
      </c>
      <c r="H411" s="5" t="s">
        <v>4839</v>
      </c>
      <c r="I411" s="6" t="s">
        <v>86</v>
      </c>
      <c r="J411" s="7" t="s">
        <v>166</v>
      </c>
      <c r="K411" s="7" t="s">
        <v>5891</v>
      </c>
      <c r="L411" s="8"/>
      <c r="M411" s="5">
        <v>1915</v>
      </c>
      <c r="N411" s="5" t="s">
        <v>5892</v>
      </c>
      <c r="O411" s="9" t="s">
        <v>5893</v>
      </c>
      <c r="P411" s="10" t="s">
        <v>5894</v>
      </c>
      <c r="Q411" s="389" t="s">
        <v>5895</v>
      </c>
      <c r="R411" s="8" t="s">
        <v>8304</v>
      </c>
      <c r="S411" s="212" t="s">
        <v>12148</v>
      </c>
      <c r="T411" s="8" t="s">
        <v>5896</v>
      </c>
      <c r="U411" s="11" t="s">
        <v>172</v>
      </c>
      <c r="V411" s="12" t="s">
        <v>94</v>
      </c>
      <c r="W411" s="13">
        <v>42552</v>
      </c>
      <c r="X411" s="5" t="str">
        <f t="shared" ca="1" si="13"/>
        <v>10 Th, 2 Bln</v>
      </c>
      <c r="Y411" s="5"/>
      <c r="Z411" s="14"/>
      <c r="AA411" s="5" t="s">
        <v>96</v>
      </c>
      <c r="AB411" s="5" t="s">
        <v>97</v>
      </c>
      <c r="AC411" s="7" t="s">
        <v>5897</v>
      </c>
      <c r="AD411" s="131" t="s">
        <v>207</v>
      </c>
      <c r="AE411" s="131">
        <v>10</v>
      </c>
      <c r="AF411" s="7" t="s">
        <v>615</v>
      </c>
      <c r="AG411" s="7" t="s">
        <v>178</v>
      </c>
      <c r="AH411" s="7" t="s">
        <v>178</v>
      </c>
      <c r="AI411" s="7"/>
      <c r="AJ411" s="7" t="s">
        <v>103</v>
      </c>
      <c r="AK411" s="7" t="s">
        <v>104</v>
      </c>
      <c r="AL411" s="7" t="s">
        <v>5898</v>
      </c>
      <c r="AM411" s="15" t="s">
        <v>5899</v>
      </c>
      <c r="AN411" s="15" t="s">
        <v>5900</v>
      </c>
      <c r="AO411" s="8">
        <v>3</v>
      </c>
      <c r="AP411" s="8">
        <v>2</v>
      </c>
      <c r="AQ411" s="8">
        <v>0</v>
      </c>
      <c r="AR411" s="8">
        <v>0</v>
      </c>
      <c r="AS411" s="132" t="s">
        <v>873</v>
      </c>
      <c r="AT411" s="131" t="s">
        <v>2245</v>
      </c>
      <c r="AU411" s="132" t="s">
        <v>149</v>
      </c>
      <c r="AV411" s="16" t="s">
        <v>112</v>
      </c>
      <c r="AW411" s="56" t="s">
        <v>150</v>
      </c>
      <c r="AX411" s="56" t="s">
        <v>114</v>
      </c>
      <c r="AY411" s="7" t="s">
        <v>5901</v>
      </c>
      <c r="AZ411" s="10" t="s">
        <v>5902</v>
      </c>
      <c r="BA411" s="7" t="s">
        <v>5903</v>
      </c>
      <c r="BB411" s="17">
        <v>30231</v>
      </c>
      <c r="BC411" s="17" t="s">
        <v>96</v>
      </c>
      <c r="BD411" s="18" t="s">
        <v>5904</v>
      </c>
      <c r="BE411" s="7" t="s">
        <v>153</v>
      </c>
      <c r="BF411" s="7" t="s">
        <v>276</v>
      </c>
      <c r="BG411" s="7" t="s">
        <v>5905</v>
      </c>
      <c r="BH411" s="7" t="s">
        <v>5906</v>
      </c>
      <c r="BI411" s="19" t="s">
        <v>5907</v>
      </c>
      <c r="BJ411" s="20" t="s">
        <v>1727</v>
      </c>
      <c r="BK411" s="21" t="s">
        <v>5908</v>
      </c>
      <c r="BL411" s="7" t="s">
        <v>5909</v>
      </c>
      <c r="BM411" s="22" t="s">
        <v>5910</v>
      </c>
      <c r="BN411" s="8" t="s">
        <v>94</v>
      </c>
      <c r="BO411" s="17">
        <v>29134</v>
      </c>
      <c r="BP411" s="17" t="s">
        <v>96</v>
      </c>
      <c r="BQ411" s="18" t="s">
        <v>5900</v>
      </c>
      <c r="BR411" s="7" t="s">
        <v>118</v>
      </c>
      <c r="BS411" s="7" t="s">
        <v>276</v>
      </c>
      <c r="BT411" s="7" t="s">
        <v>5905</v>
      </c>
      <c r="BU411" s="8" t="s">
        <v>5906</v>
      </c>
      <c r="BV411" s="23" t="s">
        <v>5907</v>
      </c>
      <c r="BW411" s="24" t="s">
        <v>190</v>
      </c>
      <c r="BX411" s="21" t="s">
        <v>5911</v>
      </c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N411" s="25"/>
      <c r="CO411" s="25"/>
      <c r="CP411" s="25"/>
      <c r="CQ411" s="25"/>
      <c r="CR411" s="25"/>
      <c r="CS411" s="26"/>
    </row>
    <row r="412" spans="1:97" s="27" customFormat="1" ht="23.25" customHeight="1">
      <c r="A412" s="4">
        <v>305</v>
      </c>
      <c r="B412" s="6" t="s">
        <v>4837</v>
      </c>
      <c r="C412" s="6" t="s">
        <v>4837</v>
      </c>
      <c r="D412" s="6" t="s">
        <v>4837</v>
      </c>
      <c r="E412" s="6"/>
      <c r="F412" s="6"/>
      <c r="G412" s="6" t="s">
        <v>6392</v>
      </c>
      <c r="H412" s="5" t="s">
        <v>4839</v>
      </c>
      <c r="I412" s="6" t="s">
        <v>86</v>
      </c>
      <c r="J412" s="7" t="s">
        <v>5223</v>
      </c>
      <c r="K412" s="7" t="s">
        <v>6393</v>
      </c>
      <c r="L412" s="8"/>
      <c r="M412" s="5">
        <v>1916</v>
      </c>
      <c r="N412" s="5">
        <v>3166802782</v>
      </c>
      <c r="O412" s="9" t="s">
        <v>6394</v>
      </c>
      <c r="P412" s="10" t="s">
        <v>6395</v>
      </c>
      <c r="Q412" s="389" t="s">
        <v>6396</v>
      </c>
      <c r="R412" s="8" t="s">
        <v>8304</v>
      </c>
      <c r="S412" s="212" t="s">
        <v>12148</v>
      </c>
      <c r="T412" s="8" t="s">
        <v>3113</v>
      </c>
      <c r="U412" s="11" t="s">
        <v>172</v>
      </c>
      <c r="V412" s="12" t="s">
        <v>1967</v>
      </c>
      <c r="W412" s="13">
        <v>42646</v>
      </c>
      <c r="X412" s="5" t="str">
        <f t="shared" ca="1" si="13"/>
        <v>9 Th, 11 Bln</v>
      </c>
      <c r="Y412" s="5"/>
      <c r="Z412" s="14"/>
      <c r="AA412" s="5" t="s">
        <v>96</v>
      </c>
      <c r="AB412" s="5" t="s">
        <v>97</v>
      </c>
      <c r="AC412" s="7" t="s">
        <v>6397</v>
      </c>
      <c r="AD412" s="131" t="s">
        <v>1281</v>
      </c>
      <c r="AE412" s="131" t="s">
        <v>176</v>
      </c>
      <c r="AF412" s="7" t="s">
        <v>295</v>
      </c>
      <c r="AG412" s="7" t="s">
        <v>178</v>
      </c>
      <c r="AH412" s="7" t="s">
        <v>178</v>
      </c>
      <c r="AI412" s="7"/>
      <c r="AJ412" s="7" t="s">
        <v>103</v>
      </c>
      <c r="AK412" s="7" t="s">
        <v>179</v>
      </c>
      <c r="AL412" s="7" t="s">
        <v>6398</v>
      </c>
      <c r="AM412" s="15"/>
      <c r="AN412" s="15" t="s">
        <v>6399</v>
      </c>
      <c r="AO412" s="8">
        <v>1</v>
      </c>
      <c r="AP412" s="8">
        <v>1</v>
      </c>
      <c r="AQ412" s="8"/>
      <c r="AR412" s="8"/>
      <c r="AS412" s="132" t="s">
        <v>6400</v>
      </c>
      <c r="AT412" s="131" t="s">
        <v>2245</v>
      </c>
      <c r="AU412" s="132" t="s">
        <v>149</v>
      </c>
      <c r="AV412" s="16" t="s">
        <v>112</v>
      </c>
      <c r="AW412" s="56"/>
      <c r="AX412" s="56" t="s">
        <v>114</v>
      </c>
      <c r="AY412" s="7" t="s">
        <v>6401</v>
      </c>
      <c r="AZ412" s="10" t="s">
        <v>6402</v>
      </c>
      <c r="BA412" s="7" t="s">
        <v>2004</v>
      </c>
      <c r="BB412" s="17">
        <v>31796</v>
      </c>
      <c r="BC412" s="17" t="s">
        <v>96</v>
      </c>
      <c r="BD412" s="18" t="s">
        <v>6403</v>
      </c>
      <c r="BE412" s="7" t="s">
        <v>216</v>
      </c>
      <c r="BF412" s="7" t="s">
        <v>247</v>
      </c>
      <c r="BG412" s="7" t="s">
        <v>127</v>
      </c>
      <c r="BH412" s="7" t="s">
        <v>127</v>
      </c>
      <c r="BI412" s="19"/>
      <c r="BJ412" s="20" t="s">
        <v>983</v>
      </c>
      <c r="BK412" s="21"/>
      <c r="BL412" s="7" t="s">
        <v>6404</v>
      </c>
      <c r="BM412" s="22" t="s">
        <v>6405</v>
      </c>
      <c r="BN412" s="8" t="s">
        <v>94</v>
      </c>
      <c r="BO412" s="17">
        <v>32130</v>
      </c>
      <c r="BP412" s="17" t="s">
        <v>96</v>
      </c>
      <c r="BQ412" s="18" t="s">
        <v>6399</v>
      </c>
      <c r="BR412" s="7" t="s">
        <v>118</v>
      </c>
      <c r="BS412" s="7" t="s">
        <v>126</v>
      </c>
      <c r="BT412" s="7" t="s">
        <v>127</v>
      </c>
      <c r="BU412" s="8" t="s">
        <v>127</v>
      </c>
      <c r="BV412" s="23"/>
      <c r="BW412" s="24" t="s">
        <v>127</v>
      </c>
      <c r="BX412" s="21" t="s">
        <v>6406</v>
      </c>
      <c r="BY412" s="21" t="s">
        <v>6407</v>
      </c>
      <c r="BZ412" s="21" t="s">
        <v>2417</v>
      </c>
      <c r="CA412" s="21">
        <v>22193</v>
      </c>
      <c r="CB412" s="21"/>
      <c r="CC412" s="21" t="s">
        <v>6408</v>
      </c>
      <c r="CD412" s="21" t="s">
        <v>216</v>
      </c>
      <c r="CE412" s="21"/>
      <c r="CF412" s="21" t="s">
        <v>96</v>
      </c>
      <c r="CG412" s="21" t="s">
        <v>6397</v>
      </c>
      <c r="CH412" s="21" t="s">
        <v>1281</v>
      </c>
      <c r="CI412" s="21" t="s">
        <v>176</v>
      </c>
      <c r="CJ412" s="21" t="s">
        <v>295</v>
      </c>
      <c r="CK412" s="21" t="s">
        <v>178</v>
      </c>
      <c r="CL412" s="21" t="s">
        <v>103</v>
      </c>
      <c r="CN412" s="25"/>
      <c r="CO412" s="25"/>
      <c r="CP412" s="25"/>
      <c r="CQ412" s="25"/>
      <c r="CR412" s="25"/>
      <c r="CS412" s="26"/>
    </row>
    <row r="413" spans="1:97" s="27" customFormat="1" ht="23.25" customHeight="1">
      <c r="A413" s="4">
        <v>306</v>
      </c>
      <c r="B413" s="6" t="s">
        <v>4837</v>
      </c>
      <c r="C413" s="6" t="s">
        <v>4837</v>
      </c>
      <c r="D413" s="6" t="s">
        <v>4837</v>
      </c>
      <c r="E413" s="6"/>
      <c r="F413" s="6"/>
      <c r="G413" s="6" t="s">
        <v>6409</v>
      </c>
      <c r="H413" s="5" t="s">
        <v>4839</v>
      </c>
      <c r="I413" s="6" t="s">
        <v>86</v>
      </c>
      <c r="J413" s="7" t="s">
        <v>166</v>
      </c>
      <c r="K413" s="7" t="s">
        <v>374</v>
      </c>
      <c r="L413" s="8"/>
      <c r="M413" s="5">
        <v>1919</v>
      </c>
      <c r="N413" s="5">
        <v>3177069120</v>
      </c>
      <c r="O413" s="9" t="s">
        <v>5299</v>
      </c>
      <c r="P413" s="10" t="s">
        <v>6410</v>
      </c>
      <c r="Q413" s="389" t="s">
        <v>6411</v>
      </c>
      <c r="R413" s="8" t="s">
        <v>8304</v>
      </c>
      <c r="S413" s="212" t="s">
        <v>12148</v>
      </c>
      <c r="T413" s="8" t="s">
        <v>6412</v>
      </c>
      <c r="U413" s="11" t="s">
        <v>172</v>
      </c>
      <c r="V413" s="12" t="s">
        <v>94</v>
      </c>
      <c r="W413" s="13">
        <v>42869</v>
      </c>
      <c r="X413" s="5" t="str">
        <f t="shared" ca="1" si="13"/>
        <v>9 Th, 4 Bln</v>
      </c>
      <c r="Y413" s="5"/>
      <c r="Z413" s="14"/>
      <c r="AA413" s="5" t="s">
        <v>96</v>
      </c>
      <c r="AB413" s="5" t="s">
        <v>97</v>
      </c>
      <c r="AC413" s="7" t="s">
        <v>5303</v>
      </c>
      <c r="AD413" s="131" t="s">
        <v>1281</v>
      </c>
      <c r="AE413" s="131" t="s">
        <v>358</v>
      </c>
      <c r="AF413" s="7" t="s">
        <v>177</v>
      </c>
      <c r="AG413" s="7" t="s">
        <v>178</v>
      </c>
      <c r="AH413" s="7" t="s">
        <v>178</v>
      </c>
      <c r="AI413" s="7"/>
      <c r="AJ413" s="7" t="s">
        <v>103</v>
      </c>
      <c r="AK413" s="7" t="s">
        <v>179</v>
      </c>
      <c r="AL413" s="7" t="s">
        <v>5304</v>
      </c>
      <c r="AM413" s="15"/>
      <c r="AN413" s="15" t="s">
        <v>5305</v>
      </c>
      <c r="AO413" s="8">
        <v>3</v>
      </c>
      <c r="AP413" s="8">
        <v>2</v>
      </c>
      <c r="AQ413" s="8" t="s">
        <v>127</v>
      </c>
      <c r="AR413" s="8" t="s">
        <v>127</v>
      </c>
      <c r="AS413" s="132" t="s">
        <v>6413</v>
      </c>
      <c r="AT413" s="131" t="s">
        <v>272</v>
      </c>
      <c r="AU413" s="132" t="s">
        <v>182</v>
      </c>
      <c r="AV413" s="16" t="s">
        <v>112</v>
      </c>
      <c r="AW413" s="56" t="s">
        <v>643</v>
      </c>
      <c r="AX413" s="56" t="s">
        <v>114</v>
      </c>
      <c r="AY413" s="7" t="s">
        <v>5308</v>
      </c>
      <c r="AZ413" s="10" t="s">
        <v>5309</v>
      </c>
      <c r="BA413" s="7" t="s">
        <v>222</v>
      </c>
      <c r="BB413" s="17">
        <v>31962</v>
      </c>
      <c r="BC413" s="17" t="s">
        <v>96</v>
      </c>
      <c r="BD413" s="18" t="s">
        <v>5305</v>
      </c>
      <c r="BE413" s="7" t="s">
        <v>153</v>
      </c>
      <c r="BF413" s="7" t="s">
        <v>247</v>
      </c>
      <c r="BG413" s="7" t="s">
        <v>127</v>
      </c>
      <c r="BH413" s="7" t="s">
        <v>127</v>
      </c>
      <c r="BI413" s="19" t="s">
        <v>127</v>
      </c>
      <c r="BJ413" s="20" t="s">
        <v>1312</v>
      </c>
      <c r="BK413" s="21" t="s">
        <v>5310</v>
      </c>
      <c r="BL413" s="7" t="s">
        <v>5311</v>
      </c>
      <c r="BM413" s="22" t="s">
        <v>5312</v>
      </c>
      <c r="BN413" s="8" t="s">
        <v>94</v>
      </c>
      <c r="BO413" s="17">
        <v>31180</v>
      </c>
      <c r="BP413" s="17" t="s">
        <v>96</v>
      </c>
      <c r="BQ413" s="18" t="s">
        <v>5313</v>
      </c>
      <c r="BR413" s="7" t="s">
        <v>153</v>
      </c>
      <c r="BS413" s="7" t="s">
        <v>126</v>
      </c>
      <c r="BT413" s="7" t="s">
        <v>127</v>
      </c>
      <c r="BU413" s="8" t="s">
        <v>127</v>
      </c>
      <c r="BV413" s="23" t="s">
        <v>127</v>
      </c>
      <c r="BW413" s="24" t="s">
        <v>127</v>
      </c>
      <c r="BX413" s="21" t="s">
        <v>5314</v>
      </c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N413" s="25"/>
      <c r="CO413" s="25"/>
      <c r="CP413" s="25"/>
      <c r="CQ413" s="25"/>
      <c r="CR413" s="25"/>
      <c r="CS413" s="26"/>
    </row>
    <row r="414" spans="1:97" s="27" customFormat="1" ht="23.25" customHeight="1">
      <c r="A414" s="4">
        <v>342</v>
      </c>
      <c r="B414" s="61"/>
      <c r="C414" s="61"/>
      <c r="D414" s="61"/>
      <c r="E414" s="61"/>
      <c r="F414" s="61"/>
      <c r="G414" s="61"/>
      <c r="H414" s="69">
        <v>45726</v>
      </c>
      <c r="I414" s="61" t="s">
        <v>4774</v>
      </c>
      <c r="J414" s="63" t="s">
        <v>5332</v>
      </c>
      <c r="K414" s="63" t="s">
        <v>5333</v>
      </c>
      <c r="L414" s="64"/>
      <c r="M414" s="62">
        <v>2082</v>
      </c>
      <c r="N414" s="66" t="s">
        <v>7030</v>
      </c>
      <c r="O414" s="65" t="s">
        <v>5335</v>
      </c>
      <c r="P414" s="66" t="s">
        <v>7031</v>
      </c>
      <c r="Q414" s="391" t="s">
        <v>7032</v>
      </c>
      <c r="R414" s="8" t="s">
        <v>8304</v>
      </c>
      <c r="S414" s="212" t="s">
        <v>12148</v>
      </c>
      <c r="T414" s="64" t="s">
        <v>7033</v>
      </c>
      <c r="U414" s="67" t="s">
        <v>93</v>
      </c>
      <c r="V414" s="68" t="s">
        <v>94</v>
      </c>
      <c r="W414" s="69">
        <v>42771</v>
      </c>
      <c r="X414" s="62" t="s">
        <v>4758</v>
      </c>
      <c r="Y414" s="62"/>
      <c r="Z414" s="14"/>
      <c r="AA414" s="62" t="s">
        <v>96</v>
      </c>
      <c r="AB414" s="62" t="s">
        <v>97</v>
      </c>
      <c r="AC414" s="70" t="s">
        <v>5339</v>
      </c>
      <c r="AD414" s="133"/>
      <c r="AE414" s="64"/>
      <c r="AF414" s="63" t="s">
        <v>942</v>
      </c>
      <c r="AG414" s="63" t="s">
        <v>178</v>
      </c>
      <c r="AH414" s="63" t="s">
        <v>178</v>
      </c>
      <c r="AI414" s="63"/>
      <c r="AJ414" s="63" t="s">
        <v>103</v>
      </c>
      <c r="AK414" s="63" t="s">
        <v>386</v>
      </c>
      <c r="AL414" s="71" t="s">
        <v>387</v>
      </c>
      <c r="AM414" s="71" t="s">
        <v>5340</v>
      </c>
      <c r="AN414" s="72" t="s">
        <v>5340</v>
      </c>
      <c r="AO414" s="64">
        <v>1</v>
      </c>
      <c r="AP414" s="64">
        <v>4</v>
      </c>
      <c r="AQ414" s="64">
        <v>0</v>
      </c>
      <c r="AR414" s="134">
        <v>0</v>
      </c>
      <c r="AS414" s="133">
        <v>26</v>
      </c>
      <c r="AT414" s="134">
        <v>126</v>
      </c>
      <c r="AU414" s="134" t="s">
        <v>111</v>
      </c>
      <c r="AV414" s="73" t="s">
        <v>112</v>
      </c>
      <c r="AW414" s="135" t="s">
        <v>113</v>
      </c>
      <c r="AX414" s="63" t="s">
        <v>114</v>
      </c>
      <c r="AY414" s="74" t="s">
        <v>5341</v>
      </c>
      <c r="AZ414" s="63" t="s">
        <v>5342</v>
      </c>
      <c r="BA414" s="75" t="s">
        <v>5343</v>
      </c>
      <c r="BB414" s="75">
        <v>31568</v>
      </c>
      <c r="BC414" s="76" t="s">
        <v>96</v>
      </c>
      <c r="BD414" s="77" t="s">
        <v>5344</v>
      </c>
      <c r="BE414" s="63" t="s">
        <v>118</v>
      </c>
      <c r="BF414" s="63" t="s">
        <v>5345</v>
      </c>
      <c r="BG414" s="63" t="s">
        <v>5346</v>
      </c>
      <c r="BH414" s="78" t="s">
        <v>5347</v>
      </c>
      <c r="BI414" s="79" t="s">
        <v>5348</v>
      </c>
      <c r="BJ414" s="80">
        <v>10000000</v>
      </c>
      <c r="BK414" s="81" t="s">
        <v>5349</v>
      </c>
      <c r="BL414" s="82" t="s">
        <v>5350</v>
      </c>
      <c r="BM414" s="77" t="s">
        <v>5351</v>
      </c>
      <c r="BN414" s="145" t="s">
        <v>4087</v>
      </c>
      <c r="BO414" s="75">
        <v>31371</v>
      </c>
      <c r="BP414" s="76" t="s">
        <v>96</v>
      </c>
      <c r="BQ414" s="77" t="s">
        <v>5340</v>
      </c>
      <c r="BR414" s="63" t="s">
        <v>118</v>
      </c>
      <c r="BS414" s="63" t="s">
        <v>126</v>
      </c>
      <c r="BT414" s="64"/>
      <c r="BU414" s="64"/>
      <c r="BV414" s="79"/>
      <c r="BW414" s="83"/>
      <c r="BX414" s="83" t="s">
        <v>5352</v>
      </c>
      <c r="BY414" s="83" t="s">
        <v>5353</v>
      </c>
      <c r="BZ414" s="83" t="s">
        <v>5343</v>
      </c>
      <c r="CA414" s="83">
        <v>32091</v>
      </c>
      <c r="CB414" s="83" t="s">
        <v>5354</v>
      </c>
      <c r="CC414" s="83" t="s">
        <v>5355</v>
      </c>
      <c r="CD414" s="83" t="s">
        <v>153</v>
      </c>
      <c r="CE414" s="83" t="s">
        <v>332</v>
      </c>
      <c r="CF414" s="83" t="s">
        <v>96</v>
      </c>
      <c r="CG414" s="83" t="s">
        <v>5356</v>
      </c>
      <c r="CH414" s="83"/>
      <c r="CI414" s="83"/>
      <c r="CJ414" s="83" t="s">
        <v>521</v>
      </c>
      <c r="CK414" s="83" t="s">
        <v>178</v>
      </c>
      <c r="CL414" s="84" t="s">
        <v>103</v>
      </c>
      <c r="CN414" s="25"/>
      <c r="CO414" s="25"/>
      <c r="CP414" s="25"/>
      <c r="CQ414" s="25"/>
      <c r="CR414" s="25"/>
      <c r="CS414" s="26"/>
    </row>
    <row r="415" spans="1:97" s="27" customFormat="1" ht="23.25" customHeight="1">
      <c r="A415" s="4">
        <v>250</v>
      </c>
      <c r="B415" s="6" t="s">
        <v>4837</v>
      </c>
      <c r="C415" s="6" t="s">
        <v>4837</v>
      </c>
      <c r="D415" s="6" t="s">
        <v>4837</v>
      </c>
      <c r="E415" s="6"/>
      <c r="F415" s="6"/>
      <c r="G415" s="6" t="s">
        <v>5357</v>
      </c>
      <c r="H415" s="5" t="s">
        <v>4839</v>
      </c>
      <c r="I415" s="6" t="s">
        <v>86</v>
      </c>
      <c r="J415" s="7" t="s">
        <v>1237</v>
      </c>
      <c r="K415" s="7" t="s">
        <v>5358</v>
      </c>
      <c r="L415" s="8"/>
      <c r="M415" s="5">
        <v>1928</v>
      </c>
      <c r="N415" s="5">
        <v>3171818523</v>
      </c>
      <c r="O415" s="9" t="s">
        <v>5359</v>
      </c>
      <c r="P415" s="10" t="s">
        <v>5360</v>
      </c>
      <c r="Q415" s="389" t="s">
        <v>5361</v>
      </c>
      <c r="R415" s="8" t="s">
        <v>8304</v>
      </c>
      <c r="S415" s="212" t="s">
        <v>12148</v>
      </c>
      <c r="T415" s="8" t="s">
        <v>5362</v>
      </c>
      <c r="U415" s="11" t="s">
        <v>93</v>
      </c>
      <c r="V415" s="12" t="s">
        <v>94</v>
      </c>
      <c r="W415" s="13">
        <v>42854</v>
      </c>
      <c r="X415" s="5" t="str">
        <f t="shared" ref="X415:X420" ca="1" si="14">""&amp;DATEDIF(W415,TODAY(),"y")&amp;" Th, "&amp;DATEDIF(W415,TODAY(),"ym")&amp;" Bln"</f>
        <v>9 Th, 4 Bln</v>
      </c>
      <c r="Y415" s="5"/>
      <c r="Z415" s="14"/>
      <c r="AA415" s="5" t="s">
        <v>96</v>
      </c>
      <c r="AB415" s="5" t="s">
        <v>97</v>
      </c>
      <c r="AC415" s="7" t="s">
        <v>5363</v>
      </c>
      <c r="AD415" s="131" t="s">
        <v>293</v>
      </c>
      <c r="AE415" s="131" t="s">
        <v>137</v>
      </c>
      <c r="AF415" s="7" t="s">
        <v>686</v>
      </c>
      <c r="AG415" s="7" t="s">
        <v>687</v>
      </c>
      <c r="AH415" s="7" t="s">
        <v>141</v>
      </c>
      <c r="AI415" s="7"/>
      <c r="AJ415" s="7" t="s">
        <v>1374</v>
      </c>
      <c r="AK415" s="7" t="s">
        <v>179</v>
      </c>
      <c r="AL415" s="7" t="s">
        <v>4915</v>
      </c>
      <c r="AM415" s="15" t="s">
        <v>5364</v>
      </c>
      <c r="AN415" s="15" t="s">
        <v>5364</v>
      </c>
      <c r="AO415" s="8">
        <v>2</v>
      </c>
      <c r="AP415" s="8">
        <v>1</v>
      </c>
      <c r="AQ415" s="8">
        <v>0</v>
      </c>
      <c r="AR415" s="8">
        <v>0</v>
      </c>
      <c r="AS415" s="132" t="s">
        <v>271</v>
      </c>
      <c r="AT415" s="131" t="s">
        <v>5307</v>
      </c>
      <c r="AU415" s="132" t="s">
        <v>149</v>
      </c>
      <c r="AV415" s="16" t="s">
        <v>112</v>
      </c>
      <c r="AW415" s="56" t="s">
        <v>392</v>
      </c>
      <c r="AX415" s="56" t="s">
        <v>114</v>
      </c>
      <c r="AY415" s="7" t="s">
        <v>5365</v>
      </c>
      <c r="AZ415" s="10" t="s">
        <v>5366</v>
      </c>
      <c r="BA415" s="7" t="s">
        <v>94</v>
      </c>
      <c r="BB415" s="17">
        <v>32575</v>
      </c>
      <c r="BC415" s="17" t="s">
        <v>96</v>
      </c>
      <c r="BD415" s="18" t="s">
        <v>5367</v>
      </c>
      <c r="BE415" s="7" t="s">
        <v>216</v>
      </c>
      <c r="BF415" s="7" t="s">
        <v>5368</v>
      </c>
      <c r="BG415" s="7" t="s">
        <v>452</v>
      </c>
      <c r="BH415" s="7" t="s">
        <v>5369</v>
      </c>
      <c r="BI415" s="19" t="s">
        <v>5367</v>
      </c>
      <c r="BJ415" s="20" t="s">
        <v>5370</v>
      </c>
      <c r="BK415" s="21" t="s">
        <v>5371</v>
      </c>
      <c r="BL415" s="7" t="s">
        <v>5372</v>
      </c>
      <c r="BM415" s="22" t="s">
        <v>5373</v>
      </c>
      <c r="BN415" s="8" t="s">
        <v>511</v>
      </c>
      <c r="BO415" s="17">
        <v>31946</v>
      </c>
      <c r="BP415" s="17" t="s">
        <v>96</v>
      </c>
      <c r="BQ415" s="18" t="s">
        <v>5364</v>
      </c>
      <c r="BR415" s="7" t="s">
        <v>118</v>
      </c>
      <c r="BS415" s="7" t="s">
        <v>276</v>
      </c>
      <c r="BT415" s="7" t="s">
        <v>155</v>
      </c>
      <c r="BU415" s="8" t="s">
        <v>5374</v>
      </c>
      <c r="BV415" s="23" t="s">
        <v>5375</v>
      </c>
      <c r="BW415" s="24" t="s">
        <v>5376</v>
      </c>
      <c r="BX415" s="21" t="s">
        <v>5377</v>
      </c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N415" s="25"/>
      <c r="CO415" s="25"/>
      <c r="CP415" s="25"/>
      <c r="CQ415" s="25"/>
      <c r="CR415" s="25"/>
      <c r="CS415" s="26"/>
    </row>
    <row r="416" spans="1:97" s="87" customFormat="1" ht="23.25" customHeight="1">
      <c r="A416" s="4">
        <v>343</v>
      </c>
      <c r="B416" s="6" t="s">
        <v>4837</v>
      </c>
      <c r="C416" s="6" t="s">
        <v>4837</v>
      </c>
      <c r="D416" s="6" t="s">
        <v>4837</v>
      </c>
      <c r="E416" s="6"/>
      <c r="F416" s="6"/>
      <c r="G416" s="6" t="s">
        <v>7034</v>
      </c>
      <c r="H416" s="5" t="s">
        <v>4839</v>
      </c>
      <c r="I416" s="6" t="s">
        <v>86</v>
      </c>
      <c r="J416" s="7" t="s">
        <v>166</v>
      </c>
      <c r="K416" s="7" t="s">
        <v>1993</v>
      </c>
      <c r="L416" s="8"/>
      <c r="M416" s="5">
        <v>1929</v>
      </c>
      <c r="N416" s="5">
        <v>3167865541</v>
      </c>
      <c r="O416" s="9" t="s">
        <v>7035</v>
      </c>
      <c r="P416" s="10" t="s">
        <v>7036</v>
      </c>
      <c r="Q416" s="389" t="s">
        <v>7037</v>
      </c>
      <c r="R416" s="8" t="s">
        <v>8304</v>
      </c>
      <c r="S416" s="212" t="s">
        <v>12148</v>
      </c>
      <c r="T416" s="8" t="s">
        <v>7038</v>
      </c>
      <c r="U416" s="11" t="s">
        <v>93</v>
      </c>
      <c r="V416" s="12" t="s">
        <v>94</v>
      </c>
      <c r="W416" s="13">
        <v>42585</v>
      </c>
      <c r="X416" s="5" t="str">
        <f t="shared" ca="1" si="14"/>
        <v>10 Th, 1 Bln</v>
      </c>
      <c r="Y416" s="5"/>
      <c r="Z416" s="14"/>
      <c r="AA416" s="5" t="s">
        <v>96</v>
      </c>
      <c r="AB416" s="5" t="s">
        <v>97</v>
      </c>
      <c r="AC416" s="7" t="s">
        <v>7039</v>
      </c>
      <c r="AD416" s="131">
        <v>8</v>
      </c>
      <c r="AE416" s="131">
        <v>1</v>
      </c>
      <c r="AF416" s="7" t="s">
        <v>139</v>
      </c>
      <c r="AG416" s="7" t="s">
        <v>140</v>
      </c>
      <c r="AH416" s="7" t="s">
        <v>141</v>
      </c>
      <c r="AI416" s="7"/>
      <c r="AJ416" s="7" t="s">
        <v>4846</v>
      </c>
      <c r="AK416" s="7" t="s">
        <v>104</v>
      </c>
      <c r="AL416" s="7" t="s">
        <v>4935</v>
      </c>
      <c r="AM416" s="15" t="s">
        <v>7040</v>
      </c>
      <c r="AN416" s="15" t="s">
        <v>7040</v>
      </c>
      <c r="AO416" s="8">
        <v>2</v>
      </c>
      <c r="AP416" s="8">
        <v>1</v>
      </c>
      <c r="AQ416" s="8" t="s">
        <v>127</v>
      </c>
      <c r="AR416" s="8" t="s">
        <v>127</v>
      </c>
      <c r="AS416" s="132" t="s">
        <v>5210</v>
      </c>
      <c r="AT416" s="131" t="s">
        <v>5211</v>
      </c>
      <c r="AU416" s="132" t="s">
        <v>182</v>
      </c>
      <c r="AV416" s="16" t="s">
        <v>112</v>
      </c>
      <c r="AW416" s="56"/>
      <c r="AX416" s="56" t="s">
        <v>114</v>
      </c>
      <c r="AY416" s="7" t="s">
        <v>7041</v>
      </c>
      <c r="AZ416" s="10" t="s">
        <v>7042</v>
      </c>
      <c r="BA416" s="7" t="s">
        <v>94</v>
      </c>
      <c r="BB416" s="17">
        <v>31649</v>
      </c>
      <c r="BC416" s="17" t="s">
        <v>96</v>
      </c>
      <c r="BD416" s="18" t="s">
        <v>7043</v>
      </c>
      <c r="BE416" s="7" t="s">
        <v>118</v>
      </c>
      <c r="BF416" s="7" t="s">
        <v>247</v>
      </c>
      <c r="BG416" s="7" t="s">
        <v>7044</v>
      </c>
      <c r="BH416" s="7" t="s">
        <v>7045</v>
      </c>
      <c r="BI416" s="19" t="s">
        <v>7043</v>
      </c>
      <c r="BJ416" s="20" t="s">
        <v>1618</v>
      </c>
      <c r="BK416" s="21" t="s">
        <v>7046</v>
      </c>
      <c r="BL416" s="7" t="s">
        <v>7047</v>
      </c>
      <c r="BM416" s="22" t="s">
        <v>7048</v>
      </c>
      <c r="BN416" s="8" t="s">
        <v>603</v>
      </c>
      <c r="BO416" s="17">
        <v>32308</v>
      </c>
      <c r="BP416" s="17" t="s">
        <v>96</v>
      </c>
      <c r="BQ416" s="18" t="s">
        <v>7040</v>
      </c>
      <c r="BR416" s="7" t="s">
        <v>153</v>
      </c>
      <c r="BS416" s="7" t="s">
        <v>154</v>
      </c>
      <c r="BT416" s="7" t="s">
        <v>7049</v>
      </c>
      <c r="BU416" s="8" t="s">
        <v>7050</v>
      </c>
      <c r="BV416" s="23" t="s">
        <v>157</v>
      </c>
      <c r="BW416" s="24" t="s">
        <v>7051</v>
      </c>
      <c r="BX416" s="21" t="s">
        <v>7052</v>
      </c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N416" s="85"/>
      <c r="CO416" s="85"/>
      <c r="CP416" s="85"/>
      <c r="CQ416" s="85"/>
      <c r="CR416" s="85"/>
      <c r="CS416" s="86"/>
    </row>
    <row r="417" spans="1:97" s="27" customFormat="1" ht="23.25" customHeight="1">
      <c r="A417" s="4">
        <v>251</v>
      </c>
      <c r="B417" s="6" t="s">
        <v>4837</v>
      </c>
      <c r="C417" s="6" t="s">
        <v>4837</v>
      </c>
      <c r="D417" s="6"/>
      <c r="E417" s="6"/>
      <c r="F417" s="6"/>
      <c r="G417" s="6" t="s">
        <v>5378</v>
      </c>
      <c r="H417" s="5" t="s">
        <v>4839</v>
      </c>
      <c r="I417" s="6" t="s">
        <v>86</v>
      </c>
      <c r="J417" s="7" t="s">
        <v>166</v>
      </c>
      <c r="K417" s="7" t="s">
        <v>1993</v>
      </c>
      <c r="L417" s="8"/>
      <c r="M417" s="5">
        <v>1930</v>
      </c>
      <c r="N417" s="5" t="s">
        <v>5379</v>
      </c>
      <c r="O417" s="9" t="s">
        <v>5380</v>
      </c>
      <c r="P417" s="10" t="s">
        <v>5381</v>
      </c>
      <c r="Q417" s="389" t="s">
        <v>5382</v>
      </c>
      <c r="R417" s="8" t="s">
        <v>8304</v>
      </c>
      <c r="S417" s="212" t="s">
        <v>12148</v>
      </c>
      <c r="T417" s="8" t="s">
        <v>2356</v>
      </c>
      <c r="U417" s="11" t="s">
        <v>172</v>
      </c>
      <c r="V417" s="12" t="s">
        <v>94</v>
      </c>
      <c r="W417" s="13">
        <v>42632</v>
      </c>
      <c r="X417" s="5" t="str">
        <f t="shared" ca="1" si="14"/>
        <v>9 Th, 11 Bln</v>
      </c>
      <c r="Y417" s="5"/>
      <c r="Z417" s="14"/>
      <c r="AA417" s="5" t="s">
        <v>96</v>
      </c>
      <c r="AB417" s="5" t="s">
        <v>97</v>
      </c>
      <c r="AC417" s="7" t="s">
        <v>5383</v>
      </c>
      <c r="AD417" s="131">
        <v>18</v>
      </c>
      <c r="AE417" s="131" t="s">
        <v>546</v>
      </c>
      <c r="AF417" s="7" t="s">
        <v>5384</v>
      </c>
      <c r="AG417" s="7" t="s">
        <v>5385</v>
      </c>
      <c r="AH417" s="7" t="s">
        <v>141</v>
      </c>
      <c r="AI417" s="7"/>
      <c r="AJ417" s="7" t="s">
        <v>142</v>
      </c>
      <c r="AK417" s="7" t="s">
        <v>386</v>
      </c>
      <c r="AL417" s="7" t="s">
        <v>5386</v>
      </c>
      <c r="AM417" s="15" t="s">
        <v>5387</v>
      </c>
      <c r="AN417" s="15" t="s">
        <v>5387</v>
      </c>
      <c r="AO417" s="8">
        <v>1</v>
      </c>
      <c r="AP417" s="8" t="s">
        <v>127</v>
      </c>
      <c r="AQ417" s="8"/>
      <c r="AR417" s="8"/>
      <c r="AS417" s="132" t="s">
        <v>2383</v>
      </c>
      <c r="AT417" s="131" t="s">
        <v>5388</v>
      </c>
      <c r="AU417" s="132" t="s">
        <v>182</v>
      </c>
      <c r="AV417" s="16" t="s">
        <v>112</v>
      </c>
      <c r="AW417" s="56" t="s">
        <v>392</v>
      </c>
      <c r="AX417" s="56" t="s">
        <v>183</v>
      </c>
      <c r="AY417" s="7" t="s">
        <v>5389</v>
      </c>
      <c r="AZ417" s="10" t="s">
        <v>5390</v>
      </c>
      <c r="BA417" s="7" t="s">
        <v>1031</v>
      </c>
      <c r="BB417" s="17">
        <v>32622</v>
      </c>
      <c r="BC417" s="17" t="s">
        <v>96</v>
      </c>
      <c r="BD417" s="18" t="s">
        <v>5391</v>
      </c>
      <c r="BE417" s="7" t="s">
        <v>216</v>
      </c>
      <c r="BF417" s="7" t="s">
        <v>195</v>
      </c>
      <c r="BG417" s="7" t="s">
        <v>5392</v>
      </c>
      <c r="BH417" s="7" t="s">
        <v>5393</v>
      </c>
      <c r="BI417" s="19"/>
      <c r="BJ417" s="20" t="s">
        <v>1639</v>
      </c>
      <c r="BK417" s="21"/>
      <c r="BL417" s="7" t="s">
        <v>5394</v>
      </c>
      <c r="BM417" s="22" t="s">
        <v>5395</v>
      </c>
      <c r="BN417" s="8" t="s">
        <v>94</v>
      </c>
      <c r="BO417" s="17">
        <v>33216</v>
      </c>
      <c r="BP417" s="17" t="s">
        <v>96</v>
      </c>
      <c r="BQ417" s="18" t="s">
        <v>5387</v>
      </c>
      <c r="BR417" s="7" t="s">
        <v>118</v>
      </c>
      <c r="BS417" s="7" t="s">
        <v>503</v>
      </c>
      <c r="BT417" s="7" t="s">
        <v>504</v>
      </c>
      <c r="BU417" s="8" t="s">
        <v>5396</v>
      </c>
      <c r="BV417" s="23"/>
      <c r="BW417" s="24" t="s">
        <v>1296</v>
      </c>
      <c r="BX417" s="21" t="s">
        <v>5397</v>
      </c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N417" s="25"/>
      <c r="CO417" s="25"/>
      <c r="CP417" s="25"/>
      <c r="CQ417" s="25"/>
      <c r="CR417" s="25"/>
      <c r="CS417" s="26"/>
    </row>
    <row r="418" spans="1:97" s="27" customFormat="1" ht="23.25" customHeight="1">
      <c r="A418" s="4">
        <v>252</v>
      </c>
      <c r="B418" s="6" t="s">
        <v>4837</v>
      </c>
      <c r="C418" s="6" t="s">
        <v>4837</v>
      </c>
      <c r="D418" s="6" t="s">
        <v>4837</v>
      </c>
      <c r="E418" s="6"/>
      <c r="F418" s="6"/>
      <c r="G418" s="6" t="s">
        <v>5398</v>
      </c>
      <c r="H418" s="5" t="s">
        <v>4839</v>
      </c>
      <c r="I418" s="6" t="s">
        <v>86</v>
      </c>
      <c r="J418" s="7" t="s">
        <v>166</v>
      </c>
      <c r="K418" s="7" t="s">
        <v>2567</v>
      </c>
      <c r="L418" s="8"/>
      <c r="M418" s="5">
        <v>1931</v>
      </c>
      <c r="N418" s="5">
        <v>3164120060</v>
      </c>
      <c r="O418" s="9" t="s">
        <v>5399</v>
      </c>
      <c r="P418" s="10" t="s">
        <v>5400</v>
      </c>
      <c r="Q418" s="389" t="s">
        <v>5401</v>
      </c>
      <c r="R418" s="8" t="s">
        <v>8304</v>
      </c>
      <c r="S418" s="212" t="s">
        <v>12148</v>
      </c>
      <c r="T418" s="8" t="s">
        <v>2356</v>
      </c>
      <c r="U418" s="11" t="s">
        <v>172</v>
      </c>
      <c r="V418" s="12" t="s">
        <v>94</v>
      </c>
      <c r="W418" s="13">
        <v>42690</v>
      </c>
      <c r="X418" s="5" t="str">
        <f t="shared" ca="1" si="14"/>
        <v>9 Th, 10 Bln</v>
      </c>
      <c r="Y418" s="5"/>
      <c r="Z418" s="14"/>
      <c r="AA418" s="5" t="s">
        <v>96</v>
      </c>
      <c r="AB418" s="5" t="s">
        <v>97</v>
      </c>
      <c r="AC418" s="7" t="s">
        <v>5402</v>
      </c>
      <c r="AD418" s="131">
        <v>18</v>
      </c>
      <c r="AE418" s="131">
        <v>4</v>
      </c>
      <c r="AF418" s="7" t="s">
        <v>1070</v>
      </c>
      <c r="AG418" s="7" t="s">
        <v>994</v>
      </c>
      <c r="AH418" s="7" t="s">
        <v>141</v>
      </c>
      <c r="AI418" s="7"/>
      <c r="AJ418" s="7" t="s">
        <v>2024</v>
      </c>
      <c r="AK418" s="7" t="s">
        <v>104</v>
      </c>
      <c r="AL418" s="7" t="s">
        <v>5403</v>
      </c>
      <c r="AM418" s="15" t="s">
        <v>5404</v>
      </c>
      <c r="AN418" s="15" t="s">
        <v>5404</v>
      </c>
      <c r="AO418" s="8">
        <v>1</v>
      </c>
      <c r="AP418" s="8">
        <v>1</v>
      </c>
      <c r="AQ418" s="8"/>
      <c r="AR418" s="8"/>
      <c r="AS418" s="132" t="s">
        <v>109</v>
      </c>
      <c r="AT418" s="131" t="s">
        <v>5405</v>
      </c>
      <c r="AU418" s="132" t="s">
        <v>182</v>
      </c>
      <c r="AV418" s="16" t="s">
        <v>112</v>
      </c>
      <c r="AW418" s="56" t="s">
        <v>392</v>
      </c>
      <c r="AX418" s="56" t="s">
        <v>183</v>
      </c>
      <c r="AY418" s="7" t="s">
        <v>5406</v>
      </c>
      <c r="AZ418" s="10" t="s">
        <v>5407</v>
      </c>
      <c r="BA418" s="7" t="s">
        <v>94</v>
      </c>
      <c r="BB418" s="17">
        <v>32743</v>
      </c>
      <c r="BC418" s="17" t="s">
        <v>96</v>
      </c>
      <c r="BD418" s="18" t="s">
        <v>5408</v>
      </c>
      <c r="BE418" s="7" t="s">
        <v>118</v>
      </c>
      <c r="BF418" s="7" t="s">
        <v>1526</v>
      </c>
      <c r="BG418" s="7" t="s">
        <v>4158</v>
      </c>
      <c r="BH418" s="7" t="s">
        <v>5409</v>
      </c>
      <c r="BI418" s="19" t="s">
        <v>5410</v>
      </c>
      <c r="BJ418" s="20" t="s">
        <v>1312</v>
      </c>
      <c r="BK418" s="21" t="s">
        <v>5411</v>
      </c>
      <c r="BL418" s="7" t="s">
        <v>5412</v>
      </c>
      <c r="BM418" s="22" t="s">
        <v>5413</v>
      </c>
      <c r="BN418" s="8" t="s">
        <v>1031</v>
      </c>
      <c r="BO418" s="17">
        <v>33066</v>
      </c>
      <c r="BP418" s="17" t="s">
        <v>96</v>
      </c>
      <c r="BQ418" s="18" t="s">
        <v>5404</v>
      </c>
      <c r="BR418" s="7" t="s">
        <v>153</v>
      </c>
      <c r="BS418" s="7" t="s">
        <v>154</v>
      </c>
      <c r="BT418" s="7" t="s">
        <v>5414</v>
      </c>
      <c r="BU418" s="8" t="s">
        <v>5415</v>
      </c>
      <c r="BV418" s="23" t="s">
        <v>5416</v>
      </c>
      <c r="BW418" s="24" t="s">
        <v>983</v>
      </c>
      <c r="BX418" s="21" t="s">
        <v>5417</v>
      </c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N418" s="25"/>
      <c r="CO418" s="25"/>
      <c r="CP418" s="25"/>
      <c r="CQ418" s="25"/>
      <c r="CR418" s="25"/>
      <c r="CS418" s="26"/>
    </row>
    <row r="419" spans="1:97" s="27" customFormat="1" ht="32.25" customHeight="1">
      <c r="A419" s="4">
        <v>345</v>
      </c>
      <c r="B419" s="6" t="s">
        <v>4837</v>
      </c>
      <c r="C419" s="6" t="s">
        <v>4837</v>
      </c>
      <c r="D419" s="6" t="s">
        <v>4837</v>
      </c>
      <c r="E419" s="6"/>
      <c r="F419" s="6"/>
      <c r="G419" s="6" t="s">
        <v>7073</v>
      </c>
      <c r="H419" s="5" t="s">
        <v>4839</v>
      </c>
      <c r="I419" s="6" t="s">
        <v>86</v>
      </c>
      <c r="J419" s="7" t="s">
        <v>7074</v>
      </c>
      <c r="K419" s="7" t="s">
        <v>7075</v>
      </c>
      <c r="L419" s="8"/>
      <c r="M419" s="5">
        <v>1932</v>
      </c>
      <c r="N419" s="5">
        <v>3166419394</v>
      </c>
      <c r="O419" s="9" t="s">
        <v>7076</v>
      </c>
      <c r="P419" s="10" t="s">
        <v>7077</v>
      </c>
      <c r="Q419" s="389" t="s">
        <v>7078</v>
      </c>
      <c r="R419" s="8" t="s">
        <v>8304</v>
      </c>
      <c r="S419" s="212" t="s">
        <v>12148</v>
      </c>
      <c r="T419" s="8" t="s">
        <v>7079</v>
      </c>
      <c r="U419" s="11" t="s">
        <v>172</v>
      </c>
      <c r="V419" s="12" t="s">
        <v>94</v>
      </c>
      <c r="W419" s="13">
        <v>42623</v>
      </c>
      <c r="X419" s="5" t="str">
        <f t="shared" ca="1" si="14"/>
        <v>10 Th, 0 Bln</v>
      </c>
      <c r="Y419" s="5"/>
      <c r="Z419" s="14"/>
      <c r="AA419" s="5" t="s">
        <v>96</v>
      </c>
      <c r="AB419" s="5" t="s">
        <v>97</v>
      </c>
      <c r="AC419" s="7" t="s">
        <v>7080</v>
      </c>
      <c r="AD419" s="131" t="s">
        <v>176</v>
      </c>
      <c r="AE419" s="131" t="s">
        <v>358</v>
      </c>
      <c r="AF419" s="7" t="s">
        <v>7081</v>
      </c>
      <c r="AG419" s="7" t="s">
        <v>7081</v>
      </c>
      <c r="AH419" s="7" t="s">
        <v>141</v>
      </c>
      <c r="AI419" s="7"/>
      <c r="AJ419" s="7" t="s">
        <v>2401</v>
      </c>
      <c r="AK419" s="7" t="s">
        <v>179</v>
      </c>
      <c r="AL419" s="7" t="s">
        <v>5208</v>
      </c>
      <c r="AM419" s="15"/>
      <c r="AN419" s="15" t="s">
        <v>7082</v>
      </c>
      <c r="AO419" s="8">
        <v>2</v>
      </c>
      <c r="AP419" s="8">
        <v>1</v>
      </c>
      <c r="AQ419" s="8" t="s">
        <v>127</v>
      </c>
      <c r="AR419" s="8" t="s">
        <v>127</v>
      </c>
      <c r="AS419" s="132" t="s">
        <v>7083</v>
      </c>
      <c r="AT419" s="131" t="s">
        <v>1266</v>
      </c>
      <c r="AU419" s="132" t="s">
        <v>182</v>
      </c>
      <c r="AV419" s="16" t="s">
        <v>112</v>
      </c>
      <c r="AW419" s="56" t="s">
        <v>643</v>
      </c>
      <c r="AX419" s="56" t="s">
        <v>7084</v>
      </c>
      <c r="AY419" s="7" t="s">
        <v>7085</v>
      </c>
      <c r="AZ419" s="10" t="s">
        <v>7086</v>
      </c>
      <c r="BA419" s="7" t="s">
        <v>511</v>
      </c>
      <c r="BB419" s="17">
        <v>31987</v>
      </c>
      <c r="BC419" s="17" t="s">
        <v>96</v>
      </c>
      <c r="BD419" s="18" t="s">
        <v>7082</v>
      </c>
      <c r="BE419" s="7" t="s">
        <v>216</v>
      </c>
      <c r="BF419" s="7" t="s">
        <v>276</v>
      </c>
      <c r="BG419" s="7" t="s">
        <v>7087</v>
      </c>
      <c r="BH419" s="7" t="s">
        <v>7088</v>
      </c>
      <c r="BI419" s="19" t="s">
        <v>2252</v>
      </c>
      <c r="BJ419" s="20">
        <v>8000000</v>
      </c>
      <c r="BK419" s="21" t="s">
        <v>7089</v>
      </c>
      <c r="BL419" s="7" t="s">
        <v>7090</v>
      </c>
      <c r="BM419" s="22" t="s">
        <v>7091</v>
      </c>
      <c r="BN419" s="8" t="s">
        <v>511</v>
      </c>
      <c r="BO419" s="17">
        <v>31883</v>
      </c>
      <c r="BP419" s="17" t="s">
        <v>96</v>
      </c>
      <c r="BQ419" s="18" t="s">
        <v>7092</v>
      </c>
      <c r="BR419" s="7" t="s">
        <v>118</v>
      </c>
      <c r="BS419" s="7" t="s">
        <v>276</v>
      </c>
      <c r="BT419" s="7" t="s">
        <v>761</v>
      </c>
      <c r="BU419" s="8" t="s">
        <v>7093</v>
      </c>
      <c r="BV419" s="23" t="s">
        <v>7094</v>
      </c>
      <c r="BW419" s="24">
        <v>3000000</v>
      </c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N419" s="25"/>
      <c r="CO419" s="25"/>
      <c r="CP419" s="25"/>
      <c r="CQ419" s="25"/>
      <c r="CR419" s="25"/>
      <c r="CS419" s="26"/>
    </row>
    <row r="420" spans="1:97" s="27" customFormat="1" ht="23.25" customHeight="1">
      <c r="A420" s="4">
        <v>254</v>
      </c>
      <c r="B420" s="6" t="s">
        <v>4837</v>
      </c>
      <c r="C420" s="6" t="s">
        <v>4837</v>
      </c>
      <c r="D420" s="6" t="s">
        <v>4837</v>
      </c>
      <c r="E420" s="6"/>
      <c r="F420" s="6"/>
      <c r="G420" s="6" t="s">
        <v>5433</v>
      </c>
      <c r="H420" s="5" t="s">
        <v>4839</v>
      </c>
      <c r="I420" s="6" t="s">
        <v>86</v>
      </c>
      <c r="J420" s="7" t="s">
        <v>5159</v>
      </c>
      <c r="K420" s="7" t="s">
        <v>5434</v>
      </c>
      <c r="L420" s="8"/>
      <c r="M420" s="5">
        <v>1935</v>
      </c>
      <c r="N420" s="5">
        <v>3176361996</v>
      </c>
      <c r="O420" s="9" t="s">
        <v>5435</v>
      </c>
      <c r="P420" s="10" t="s">
        <v>5436</v>
      </c>
      <c r="Q420" s="389" t="s">
        <v>5437</v>
      </c>
      <c r="R420" s="8" t="s">
        <v>8304</v>
      </c>
      <c r="S420" s="212" t="s">
        <v>12148</v>
      </c>
      <c r="T420" s="8" t="s">
        <v>5438</v>
      </c>
      <c r="U420" s="11" t="s">
        <v>93</v>
      </c>
      <c r="V420" s="12" t="s">
        <v>971</v>
      </c>
      <c r="W420" s="13">
        <v>42797</v>
      </c>
      <c r="X420" s="5" t="str">
        <f t="shared" ca="1" si="14"/>
        <v>9 Th, 6 Bln</v>
      </c>
      <c r="Y420" s="5"/>
      <c r="Z420" s="14"/>
      <c r="AA420" s="5" t="s">
        <v>96</v>
      </c>
      <c r="AB420" s="5" t="s">
        <v>97</v>
      </c>
      <c r="AC420" s="7" t="s">
        <v>5439</v>
      </c>
      <c r="AD420" s="131" t="s">
        <v>966</v>
      </c>
      <c r="AE420" s="131" t="s">
        <v>3397</v>
      </c>
      <c r="AF420" s="7" t="s">
        <v>1174</v>
      </c>
      <c r="AG420" s="7" t="s">
        <v>241</v>
      </c>
      <c r="AH420" s="7" t="s">
        <v>241</v>
      </c>
      <c r="AI420" s="7"/>
      <c r="AJ420" s="7" t="s">
        <v>103</v>
      </c>
      <c r="AK420" s="7" t="s">
        <v>179</v>
      </c>
      <c r="AL420" s="7" t="s">
        <v>5118</v>
      </c>
      <c r="AM420" s="15" t="s">
        <v>5440</v>
      </c>
      <c r="AN420" s="15" t="s">
        <v>5440</v>
      </c>
      <c r="AO420" s="8">
        <v>2</v>
      </c>
      <c r="AP420" s="8">
        <v>1</v>
      </c>
      <c r="AQ420" s="8"/>
      <c r="AR420" s="8"/>
      <c r="AS420" s="132" t="s">
        <v>4937</v>
      </c>
      <c r="AT420" s="131" t="s">
        <v>2045</v>
      </c>
      <c r="AU420" s="132" t="s">
        <v>149</v>
      </c>
      <c r="AV420" s="16" t="s">
        <v>112</v>
      </c>
      <c r="AW420" s="56" t="s">
        <v>392</v>
      </c>
      <c r="AX420" s="56" t="s">
        <v>183</v>
      </c>
      <c r="AY420" s="7" t="s">
        <v>5441</v>
      </c>
      <c r="AZ420" s="10" t="s">
        <v>5442</v>
      </c>
      <c r="BA420" s="7" t="s">
        <v>395</v>
      </c>
      <c r="BB420" s="17">
        <v>30699</v>
      </c>
      <c r="BC420" s="17" t="s">
        <v>96</v>
      </c>
      <c r="BD420" s="18" t="s">
        <v>5443</v>
      </c>
      <c r="BE420" s="7" t="s">
        <v>153</v>
      </c>
      <c r="BF420" s="7" t="s">
        <v>247</v>
      </c>
      <c r="BG420" s="7" t="s">
        <v>108</v>
      </c>
      <c r="BH420" s="7" t="s">
        <v>5439</v>
      </c>
      <c r="BI420" s="19"/>
      <c r="BJ420" s="20" t="s">
        <v>190</v>
      </c>
      <c r="BK420" s="21"/>
      <c r="BL420" s="7" t="s">
        <v>5444</v>
      </c>
      <c r="BM420" s="22" t="s">
        <v>5445</v>
      </c>
      <c r="BN420" s="8" t="s">
        <v>94</v>
      </c>
      <c r="BO420" s="17">
        <v>31851</v>
      </c>
      <c r="BP420" s="17" t="s">
        <v>96</v>
      </c>
      <c r="BQ420" s="18" t="s">
        <v>5440</v>
      </c>
      <c r="BR420" s="7" t="s">
        <v>118</v>
      </c>
      <c r="BS420" s="7" t="s">
        <v>247</v>
      </c>
      <c r="BT420" s="7" t="s">
        <v>108</v>
      </c>
      <c r="BU420" s="8" t="s">
        <v>5439</v>
      </c>
      <c r="BV420" s="23"/>
      <c r="BW420" s="24" t="s">
        <v>250</v>
      </c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N420" s="25"/>
      <c r="CO420" s="25"/>
      <c r="CP420" s="25"/>
      <c r="CQ420" s="25"/>
      <c r="CR420" s="25"/>
      <c r="CS420" s="26"/>
    </row>
    <row r="421" spans="1:97" s="226" customFormat="1" ht="21" customHeight="1">
      <c r="A421" s="175">
        <v>311</v>
      </c>
      <c r="B421" s="61"/>
      <c r="C421" s="61"/>
      <c r="D421" s="61"/>
      <c r="E421" s="61"/>
      <c r="F421" s="61"/>
      <c r="G421" s="61"/>
      <c r="H421" s="69">
        <v>45884</v>
      </c>
      <c r="I421" s="61" t="s">
        <v>4774</v>
      </c>
      <c r="J421" s="63" t="s">
        <v>11430</v>
      </c>
      <c r="K421" s="63" t="s">
        <v>11431</v>
      </c>
      <c r="L421" s="64"/>
      <c r="M421" s="178">
        <v>2214</v>
      </c>
      <c r="N421" s="62">
        <v>3162658787</v>
      </c>
      <c r="O421" s="65"/>
      <c r="P421" s="66" t="s">
        <v>11450</v>
      </c>
      <c r="Q421" s="391" t="s">
        <v>11432</v>
      </c>
      <c r="R421" s="8" t="s">
        <v>8304</v>
      </c>
      <c r="S421" s="212" t="s">
        <v>12148</v>
      </c>
      <c r="T421" s="64" t="s">
        <v>4329</v>
      </c>
      <c r="U421" s="67" t="s">
        <v>93</v>
      </c>
      <c r="V421" s="68" t="s">
        <v>11433</v>
      </c>
      <c r="W421" s="69">
        <v>42583</v>
      </c>
      <c r="X421" s="62" t="s">
        <v>11434</v>
      </c>
      <c r="Y421" s="62" t="s">
        <v>95</v>
      </c>
      <c r="Z421" s="14"/>
      <c r="AA421" s="62" t="s">
        <v>96</v>
      </c>
      <c r="AB421" s="178" t="s">
        <v>97</v>
      </c>
      <c r="AC421" s="70" t="s">
        <v>11435</v>
      </c>
      <c r="AD421" s="133"/>
      <c r="AE421" s="64"/>
      <c r="AF421" s="63" t="s">
        <v>177</v>
      </c>
      <c r="AG421" s="63" t="s">
        <v>178</v>
      </c>
      <c r="AH421" s="63" t="s">
        <v>178</v>
      </c>
      <c r="AI421" s="63"/>
      <c r="AJ421" s="63" t="s">
        <v>103</v>
      </c>
      <c r="AK421" s="63"/>
      <c r="AL421" s="177"/>
      <c r="AM421" s="71"/>
      <c r="AN421" s="63"/>
      <c r="AO421" s="64">
        <v>2</v>
      </c>
      <c r="AP421" s="64"/>
      <c r="AQ421" s="64"/>
      <c r="AR421" s="64"/>
      <c r="AS421" s="134">
        <v>22</v>
      </c>
      <c r="AT421" s="133">
        <v>147</v>
      </c>
      <c r="AU421" s="134"/>
      <c r="AV421" s="73"/>
      <c r="AW421" s="135"/>
      <c r="AX421" s="135" t="s">
        <v>7108</v>
      </c>
      <c r="AY421" s="74" t="s">
        <v>11436</v>
      </c>
      <c r="AZ421" s="179" t="s">
        <v>11438</v>
      </c>
      <c r="BA421" s="75" t="s">
        <v>11437</v>
      </c>
      <c r="BB421" s="75">
        <v>31170</v>
      </c>
      <c r="BC421" s="76" t="s">
        <v>96</v>
      </c>
      <c r="BD421" s="77" t="s">
        <v>11439</v>
      </c>
      <c r="BE421" s="63" t="s">
        <v>118</v>
      </c>
      <c r="BF421" s="63" t="s">
        <v>11440</v>
      </c>
      <c r="BG421" s="63" t="s">
        <v>11441</v>
      </c>
      <c r="BH421" s="78" t="s">
        <v>11442</v>
      </c>
      <c r="BI421" s="79"/>
      <c r="BJ421" s="80">
        <v>15000000</v>
      </c>
      <c r="BK421" s="81"/>
      <c r="BL421" s="82" t="s">
        <v>11443</v>
      </c>
      <c r="BM421" s="77" t="s">
        <v>11444</v>
      </c>
      <c r="BN421" s="145" t="s">
        <v>4941</v>
      </c>
      <c r="BO421" s="75">
        <v>32321</v>
      </c>
      <c r="BP421" s="76" t="s">
        <v>96</v>
      </c>
      <c r="BQ421" s="76" t="s">
        <v>11445</v>
      </c>
      <c r="BR421" s="63" t="s">
        <v>153</v>
      </c>
      <c r="BS421" s="63" t="s">
        <v>11446</v>
      </c>
      <c r="BT421" s="63" t="s">
        <v>11447</v>
      </c>
      <c r="BU421" s="64" t="s">
        <v>11448</v>
      </c>
      <c r="BV421" s="98"/>
      <c r="BW421" s="79">
        <v>12000000</v>
      </c>
      <c r="BX421" s="90" t="s">
        <v>11449</v>
      </c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</row>
    <row r="422" spans="1:97" s="27" customFormat="1" ht="23.25" customHeight="1">
      <c r="A422" s="4">
        <v>227</v>
      </c>
      <c r="B422" s="6" t="s">
        <v>4837</v>
      </c>
      <c r="C422" s="6" t="s">
        <v>4837</v>
      </c>
      <c r="D422" s="6" t="s">
        <v>4837</v>
      </c>
      <c r="E422" s="6"/>
      <c r="F422" s="6"/>
      <c r="G422" s="6" t="s">
        <v>4879</v>
      </c>
      <c r="H422" s="5" t="s">
        <v>4839</v>
      </c>
      <c r="I422" s="6" t="s">
        <v>86</v>
      </c>
      <c r="J422" s="7" t="s">
        <v>4880</v>
      </c>
      <c r="K422" s="7" t="s">
        <v>4881</v>
      </c>
      <c r="L422" s="8"/>
      <c r="M422" s="5">
        <v>1835</v>
      </c>
      <c r="N422" s="5">
        <v>3165961058</v>
      </c>
      <c r="O422" s="9" t="s">
        <v>4882</v>
      </c>
      <c r="P422" s="10" t="s">
        <v>4883</v>
      </c>
      <c r="Q422" s="389" t="s">
        <v>4884</v>
      </c>
      <c r="R422" s="8" t="s">
        <v>8915</v>
      </c>
      <c r="S422" s="212" t="s">
        <v>12149</v>
      </c>
      <c r="T422" s="8" t="s">
        <v>4885</v>
      </c>
      <c r="U422" s="11" t="s">
        <v>93</v>
      </c>
      <c r="V422" s="12" t="s">
        <v>395</v>
      </c>
      <c r="W422" s="13">
        <v>42731</v>
      </c>
      <c r="X422" s="5" t="str">
        <f t="shared" ref="X422:X428" ca="1" si="15">""&amp;DATEDIF(W422,TODAY(),"y")&amp;" Th, "&amp;DATEDIF(W422,TODAY(),"ym")&amp;" Bln"</f>
        <v>9 Th, 8 Bln</v>
      </c>
      <c r="Y422" s="5"/>
      <c r="Z422" s="14"/>
      <c r="AA422" s="5" t="s">
        <v>96</v>
      </c>
      <c r="AB422" s="5" t="s">
        <v>97</v>
      </c>
      <c r="AC422" s="7" t="s">
        <v>4886</v>
      </c>
      <c r="AD422" s="131" t="s">
        <v>137</v>
      </c>
      <c r="AE422" s="131" t="s">
        <v>293</v>
      </c>
      <c r="AF422" s="7" t="s">
        <v>993</v>
      </c>
      <c r="AG422" s="7" t="s">
        <v>994</v>
      </c>
      <c r="AH422" s="7" t="s">
        <v>141</v>
      </c>
      <c r="AI422" s="7"/>
      <c r="AJ422" s="7" t="s">
        <v>2024</v>
      </c>
      <c r="AK422" s="7" t="s">
        <v>104</v>
      </c>
      <c r="AL422" s="7" t="s">
        <v>4887</v>
      </c>
      <c r="AM422" s="15" t="s">
        <v>4888</v>
      </c>
      <c r="AN422" s="15" t="s">
        <v>4889</v>
      </c>
      <c r="AO422" s="8">
        <v>2</v>
      </c>
      <c r="AP422" s="8">
        <v>2</v>
      </c>
      <c r="AQ422" s="8"/>
      <c r="AR422" s="8"/>
      <c r="AS422" s="132" t="s">
        <v>271</v>
      </c>
      <c r="AT422" s="131" t="s">
        <v>272</v>
      </c>
      <c r="AU422" s="132" t="s">
        <v>498</v>
      </c>
      <c r="AV422" s="16" t="s">
        <v>112</v>
      </c>
      <c r="AW422" s="56" t="s">
        <v>113</v>
      </c>
      <c r="AX422" s="56" t="s">
        <v>183</v>
      </c>
      <c r="AY422" s="7" t="s">
        <v>4890</v>
      </c>
      <c r="AZ422" s="10" t="s">
        <v>4891</v>
      </c>
      <c r="BA422" s="7" t="s">
        <v>395</v>
      </c>
      <c r="BB422" s="17">
        <v>32456</v>
      </c>
      <c r="BC422" s="17" t="s">
        <v>96</v>
      </c>
      <c r="BD422" s="18" t="s">
        <v>4892</v>
      </c>
      <c r="BE422" s="7" t="s">
        <v>118</v>
      </c>
      <c r="BF422" s="7" t="s">
        <v>276</v>
      </c>
      <c r="BG422" s="7" t="s">
        <v>4893</v>
      </c>
      <c r="BH422" s="7" t="s">
        <v>410</v>
      </c>
      <c r="BI422" s="19"/>
      <c r="BJ422" s="20" t="s">
        <v>4894</v>
      </c>
      <c r="BK422" s="21" t="s">
        <v>4895</v>
      </c>
      <c r="BL422" s="7" t="s">
        <v>4896</v>
      </c>
      <c r="BM422" s="22" t="s">
        <v>4897</v>
      </c>
      <c r="BN422" s="8" t="s">
        <v>94</v>
      </c>
      <c r="BO422" s="17">
        <v>33209</v>
      </c>
      <c r="BP422" s="17" t="s">
        <v>96</v>
      </c>
      <c r="BQ422" s="18" t="s">
        <v>4889</v>
      </c>
      <c r="BR422" s="7" t="s">
        <v>216</v>
      </c>
      <c r="BS422" s="7" t="s">
        <v>126</v>
      </c>
      <c r="BT422" s="7" t="s">
        <v>4898</v>
      </c>
      <c r="BU422" s="8" t="s">
        <v>4898</v>
      </c>
      <c r="BV422" s="23"/>
      <c r="BW422" s="24" t="s">
        <v>4898</v>
      </c>
      <c r="BX422" s="21" t="s">
        <v>4899</v>
      </c>
      <c r="BY422" s="21" t="s">
        <v>4900</v>
      </c>
      <c r="BZ422" s="21" t="s">
        <v>395</v>
      </c>
      <c r="CA422" s="21">
        <v>32456</v>
      </c>
      <c r="CB422" s="21"/>
      <c r="CC422" s="21" t="s">
        <v>4889</v>
      </c>
      <c r="CD422" s="21" t="s">
        <v>118</v>
      </c>
      <c r="CE422" s="21" t="s">
        <v>4901</v>
      </c>
      <c r="CF422" s="21"/>
      <c r="CG422" s="21" t="s">
        <v>4902</v>
      </c>
      <c r="CH422" s="21" t="s">
        <v>137</v>
      </c>
      <c r="CI422" s="21" t="s">
        <v>293</v>
      </c>
      <c r="CJ422" s="21" t="s">
        <v>4903</v>
      </c>
      <c r="CK422" s="21" t="s">
        <v>4904</v>
      </c>
      <c r="CL422" s="21" t="s">
        <v>4905</v>
      </c>
      <c r="CN422" s="25"/>
      <c r="CO422" s="25"/>
      <c r="CP422" s="25"/>
      <c r="CQ422" s="25"/>
      <c r="CR422" s="25"/>
      <c r="CS422" s="26"/>
    </row>
    <row r="423" spans="1:97" s="27" customFormat="1" ht="23.25" customHeight="1">
      <c r="A423" s="4">
        <v>287</v>
      </c>
      <c r="B423" s="6" t="s">
        <v>4837</v>
      </c>
      <c r="C423" s="6" t="s">
        <v>4837</v>
      </c>
      <c r="D423" s="6" t="s">
        <v>4837</v>
      </c>
      <c r="E423" s="6"/>
      <c r="F423" s="6"/>
      <c r="G423" s="6" t="s">
        <v>6043</v>
      </c>
      <c r="H423" s="5" t="s">
        <v>4839</v>
      </c>
      <c r="I423" s="6" t="s">
        <v>86</v>
      </c>
      <c r="J423" s="7" t="s">
        <v>166</v>
      </c>
      <c r="K423" s="7" t="s">
        <v>1993</v>
      </c>
      <c r="L423" s="8"/>
      <c r="M423" s="5">
        <v>1836</v>
      </c>
      <c r="N423" s="5" t="s">
        <v>6044</v>
      </c>
      <c r="O423" s="9" t="s">
        <v>6045</v>
      </c>
      <c r="P423" s="10" t="s">
        <v>6046</v>
      </c>
      <c r="Q423" s="389" t="s">
        <v>6047</v>
      </c>
      <c r="R423" s="8" t="s">
        <v>8915</v>
      </c>
      <c r="S423" s="212" t="s">
        <v>12149</v>
      </c>
      <c r="T423" s="8" t="s">
        <v>6048</v>
      </c>
      <c r="U423" s="11" t="s">
        <v>172</v>
      </c>
      <c r="V423" s="12" t="s">
        <v>94</v>
      </c>
      <c r="W423" s="13">
        <v>42672</v>
      </c>
      <c r="X423" s="5" t="str">
        <f t="shared" ca="1" si="15"/>
        <v>9 Th, 10 Bln</v>
      </c>
      <c r="Y423" s="5"/>
      <c r="Z423" s="14"/>
      <c r="AA423" s="5" t="s">
        <v>96</v>
      </c>
      <c r="AB423" s="5" t="s">
        <v>97</v>
      </c>
      <c r="AC423" s="7" t="s">
        <v>6049</v>
      </c>
      <c r="AD423" s="131" t="s">
        <v>293</v>
      </c>
      <c r="AE423" s="131" t="s">
        <v>318</v>
      </c>
      <c r="AF423" s="7" t="s">
        <v>686</v>
      </c>
      <c r="AG423" s="7" t="s">
        <v>687</v>
      </c>
      <c r="AH423" s="7" t="s">
        <v>141</v>
      </c>
      <c r="AI423" s="7"/>
      <c r="AJ423" s="7" t="s">
        <v>1374</v>
      </c>
      <c r="AK423" s="7" t="s">
        <v>104</v>
      </c>
      <c r="AL423" s="7" t="s">
        <v>5208</v>
      </c>
      <c r="AM423" s="15" t="s">
        <v>6050</v>
      </c>
      <c r="AN423" s="15" t="s">
        <v>6050</v>
      </c>
      <c r="AO423" s="8">
        <v>1</v>
      </c>
      <c r="AP423" s="8">
        <v>1</v>
      </c>
      <c r="AQ423" s="8" t="s">
        <v>127</v>
      </c>
      <c r="AR423" s="8" t="s">
        <v>127</v>
      </c>
      <c r="AS423" s="132" t="s">
        <v>873</v>
      </c>
      <c r="AT423" s="131" t="s">
        <v>272</v>
      </c>
      <c r="AU423" s="132" t="s">
        <v>182</v>
      </c>
      <c r="AV423" s="16" t="s">
        <v>112</v>
      </c>
      <c r="AW423" s="56" t="s">
        <v>643</v>
      </c>
      <c r="AX423" s="56" t="s">
        <v>6051</v>
      </c>
      <c r="AY423" s="7" t="s">
        <v>6052</v>
      </c>
      <c r="AZ423" s="10" t="s">
        <v>6053</v>
      </c>
      <c r="BA423" s="7" t="s">
        <v>94</v>
      </c>
      <c r="BB423" s="17">
        <v>32721</v>
      </c>
      <c r="BC423" s="17" t="s">
        <v>96</v>
      </c>
      <c r="BD423" s="18" t="s">
        <v>6054</v>
      </c>
      <c r="BE423" s="7" t="s">
        <v>118</v>
      </c>
      <c r="BF423" s="7" t="s">
        <v>195</v>
      </c>
      <c r="BG423" s="7" t="s">
        <v>6055</v>
      </c>
      <c r="BH423" s="7" t="s">
        <v>6056</v>
      </c>
      <c r="BI423" s="19" t="s">
        <v>127</v>
      </c>
      <c r="BJ423" s="20" t="s">
        <v>5524</v>
      </c>
      <c r="BK423" s="21" t="s">
        <v>127</v>
      </c>
      <c r="BL423" s="7" t="s">
        <v>6057</v>
      </c>
      <c r="BM423" s="22" t="s">
        <v>6058</v>
      </c>
      <c r="BN423" s="8" t="s">
        <v>4941</v>
      </c>
      <c r="BO423" s="17">
        <v>33941</v>
      </c>
      <c r="BP423" s="17" t="s">
        <v>96</v>
      </c>
      <c r="BQ423" s="18" t="s">
        <v>6050</v>
      </c>
      <c r="BR423" s="7" t="s">
        <v>118</v>
      </c>
      <c r="BS423" s="7" t="s">
        <v>503</v>
      </c>
      <c r="BT423" s="7" t="s">
        <v>328</v>
      </c>
      <c r="BU423" s="8" t="s">
        <v>6059</v>
      </c>
      <c r="BV423" s="23" t="s">
        <v>127</v>
      </c>
      <c r="BW423" s="24" t="s">
        <v>6060</v>
      </c>
      <c r="BX423" s="21" t="s">
        <v>6061</v>
      </c>
      <c r="BY423" s="21" t="s">
        <v>6062</v>
      </c>
      <c r="BZ423" s="21" t="s">
        <v>5047</v>
      </c>
      <c r="CA423" s="21"/>
      <c r="CB423" s="21"/>
      <c r="CC423" s="21">
        <v>81333205241</v>
      </c>
      <c r="CD423" s="21" t="s">
        <v>216</v>
      </c>
      <c r="CE423" s="21" t="s">
        <v>5294</v>
      </c>
      <c r="CF423" s="21" t="s">
        <v>96</v>
      </c>
      <c r="CG423" s="21"/>
      <c r="CH423" s="21"/>
      <c r="CI423" s="21"/>
      <c r="CJ423" s="21"/>
      <c r="CK423" s="21"/>
      <c r="CL423" s="21"/>
      <c r="CN423" s="25"/>
      <c r="CO423" s="25"/>
      <c r="CP423" s="25"/>
      <c r="CQ423" s="25"/>
      <c r="CR423" s="25"/>
      <c r="CS423" s="26"/>
    </row>
    <row r="424" spans="1:97" s="27" customFormat="1" ht="23.25" customHeight="1">
      <c r="A424" s="4">
        <v>228</v>
      </c>
      <c r="B424" s="6" t="s">
        <v>4837</v>
      </c>
      <c r="C424" s="6" t="s">
        <v>4837</v>
      </c>
      <c r="D424" s="6" t="s">
        <v>4837</v>
      </c>
      <c r="E424" s="6"/>
      <c r="F424" s="6"/>
      <c r="G424" s="6" t="s">
        <v>4906</v>
      </c>
      <c r="H424" s="5" t="s">
        <v>4839</v>
      </c>
      <c r="I424" s="6" t="s">
        <v>86</v>
      </c>
      <c r="J424" s="7" t="s">
        <v>4907</v>
      </c>
      <c r="K424" s="7" t="s">
        <v>4908</v>
      </c>
      <c r="L424" s="8"/>
      <c r="M424" s="5">
        <v>1838</v>
      </c>
      <c r="N424" s="5" t="s">
        <v>4909</v>
      </c>
      <c r="O424" s="9" t="s">
        <v>4910</v>
      </c>
      <c r="P424" s="10" t="s">
        <v>4911</v>
      </c>
      <c r="Q424" s="389" t="s">
        <v>4912</v>
      </c>
      <c r="R424" s="8" t="s">
        <v>8915</v>
      </c>
      <c r="S424" s="212" t="s">
        <v>12149</v>
      </c>
      <c r="T424" s="8" t="s">
        <v>4913</v>
      </c>
      <c r="U424" s="11" t="s">
        <v>172</v>
      </c>
      <c r="V424" s="12" t="s">
        <v>94</v>
      </c>
      <c r="W424" s="13">
        <v>42898</v>
      </c>
      <c r="X424" s="5" t="str">
        <f t="shared" ca="1" si="15"/>
        <v>9 Th, 3 Bln</v>
      </c>
      <c r="Y424" s="5"/>
      <c r="Z424" s="14"/>
      <c r="AA424" s="5" t="s">
        <v>96</v>
      </c>
      <c r="AB424" s="5" t="s">
        <v>97</v>
      </c>
      <c r="AC424" s="7" t="s">
        <v>4914</v>
      </c>
      <c r="AD424" s="131" t="s">
        <v>176</v>
      </c>
      <c r="AE424" s="131" t="s">
        <v>176</v>
      </c>
      <c r="AF424" s="7" t="s">
        <v>2927</v>
      </c>
      <c r="AG424" s="7" t="s">
        <v>241</v>
      </c>
      <c r="AH424" s="7" t="s">
        <v>241</v>
      </c>
      <c r="AI424" s="7"/>
      <c r="AJ424" s="7" t="s">
        <v>103</v>
      </c>
      <c r="AK424" s="7" t="s">
        <v>104</v>
      </c>
      <c r="AL424" s="7" t="s">
        <v>4915</v>
      </c>
      <c r="AM424" s="15" t="s">
        <v>127</v>
      </c>
      <c r="AN424" s="15" t="s">
        <v>4916</v>
      </c>
      <c r="AO424" s="8">
        <v>2</v>
      </c>
      <c r="AP424" s="8">
        <v>1</v>
      </c>
      <c r="AQ424" s="8"/>
      <c r="AR424" s="8"/>
      <c r="AS424" s="132" t="s">
        <v>271</v>
      </c>
      <c r="AT424" s="131" t="s">
        <v>272</v>
      </c>
      <c r="AU424" s="132" t="s">
        <v>498</v>
      </c>
      <c r="AV424" s="16" t="s">
        <v>112</v>
      </c>
      <c r="AW424" s="56" t="s">
        <v>150</v>
      </c>
      <c r="AX424" s="56" t="s">
        <v>183</v>
      </c>
      <c r="AY424" s="7" t="s">
        <v>4917</v>
      </c>
      <c r="AZ424" s="10" t="s">
        <v>4918</v>
      </c>
      <c r="BA424" s="7" t="s">
        <v>519</v>
      </c>
      <c r="BB424" s="17">
        <v>30642</v>
      </c>
      <c r="BC424" s="17" t="s">
        <v>96</v>
      </c>
      <c r="BD424" s="18" t="s">
        <v>4919</v>
      </c>
      <c r="BE424" s="7" t="s">
        <v>118</v>
      </c>
      <c r="BF424" s="7" t="s">
        <v>327</v>
      </c>
      <c r="BG424" s="7" t="s">
        <v>4920</v>
      </c>
      <c r="BH424" s="7" t="s">
        <v>4921</v>
      </c>
      <c r="BI424" s="19"/>
      <c r="BJ424" s="20" t="s">
        <v>4922</v>
      </c>
      <c r="BK424" s="21" t="s">
        <v>4923</v>
      </c>
      <c r="BL424" s="7" t="s">
        <v>4924</v>
      </c>
      <c r="BM424" s="22" t="s">
        <v>4925</v>
      </c>
      <c r="BN424" s="8" t="s">
        <v>94</v>
      </c>
      <c r="BO424" s="17">
        <v>32307</v>
      </c>
      <c r="BP424" s="17" t="s">
        <v>96</v>
      </c>
      <c r="BQ424" s="18" t="s">
        <v>4916</v>
      </c>
      <c r="BR424" s="7" t="s">
        <v>153</v>
      </c>
      <c r="BS424" s="7" t="s">
        <v>925</v>
      </c>
      <c r="BT424" s="7" t="s">
        <v>4926</v>
      </c>
      <c r="BU424" s="8" t="s">
        <v>4927</v>
      </c>
      <c r="BV424" s="23"/>
      <c r="BW424" s="24">
        <v>10000000</v>
      </c>
      <c r="BX424" s="21" t="s">
        <v>4928</v>
      </c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N424" s="25"/>
      <c r="CO424" s="25"/>
      <c r="CP424" s="25"/>
      <c r="CQ424" s="25"/>
      <c r="CR424" s="25"/>
      <c r="CS424" s="26"/>
    </row>
    <row r="425" spans="1:97" s="27" customFormat="1" ht="23.25" customHeight="1">
      <c r="A425" s="4">
        <v>230</v>
      </c>
      <c r="B425" s="6" t="s">
        <v>4837</v>
      </c>
      <c r="C425" s="6" t="s">
        <v>4837</v>
      </c>
      <c r="D425" s="6" t="s">
        <v>4837</v>
      </c>
      <c r="E425" s="6"/>
      <c r="F425" s="6"/>
      <c r="G425" s="6" t="s">
        <v>4950</v>
      </c>
      <c r="H425" s="5" t="s">
        <v>4839</v>
      </c>
      <c r="I425" s="6" t="s">
        <v>86</v>
      </c>
      <c r="J425" s="7" t="s">
        <v>166</v>
      </c>
      <c r="K425" s="7" t="s">
        <v>1993</v>
      </c>
      <c r="L425" s="8"/>
      <c r="M425" s="5">
        <v>1843</v>
      </c>
      <c r="N425" s="5">
        <v>3170614773</v>
      </c>
      <c r="O425" s="9" t="s">
        <v>4951</v>
      </c>
      <c r="P425" s="10" t="s">
        <v>4952</v>
      </c>
      <c r="Q425" s="389" t="s">
        <v>13423</v>
      </c>
      <c r="R425" s="8" t="s">
        <v>8915</v>
      </c>
      <c r="S425" s="212" t="s">
        <v>12149</v>
      </c>
      <c r="T425" s="8" t="s">
        <v>4953</v>
      </c>
      <c r="U425" s="11" t="s">
        <v>93</v>
      </c>
      <c r="V425" s="12" t="s">
        <v>544</v>
      </c>
      <c r="W425" s="13">
        <v>42860</v>
      </c>
      <c r="X425" s="5" t="str">
        <f t="shared" ca="1" si="15"/>
        <v>9 Th, 4 Bln</v>
      </c>
      <c r="Y425" s="5"/>
      <c r="Z425" s="14"/>
      <c r="AA425" s="5" t="s">
        <v>96</v>
      </c>
      <c r="AB425" s="5" t="s">
        <v>97</v>
      </c>
      <c r="AC425" s="7" t="s">
        <v>4954</v>
      </c>
      <c r="AD425" s="131" t="s">
        <v>318</v>
      </c>
      <c r="AE425" s="131" t="s">
        <v>99</v>
      </c>
      <c r="AF425" s="7" t="s">
        <v>567</v>
      </c>
      <c r="AG425" s="7" t="s">
        <v>547</v>
      </c>
      <c r="AH425" s="7" t="s">
        <v>178</v>
      </c>
      <c r="AI425" s="7"/>
      <c r="AJ425" s="7" t="s">
        <v>103</v>
      </c>
      <c r="AK425" s="7" t="s">
        <v>104</v>
      </c>
      <c r="AL425" s="7" t="s">
        <v>4915</v>
      </c>
      <c r="AM425" s="15" t="s">
        <v>4955</v>
      </c>
      <c r="AN425" s="15" t="s">
        <v>4956</v>
      </c>
      <c r="AO425" s="8">
        <v>1</v>
      </c>
      <c r="AP425" s="8">
        <v>1</v>
      </c>
      <c r="AQ425" s="8"/>
      <c r="AR425" s="8"/>
      <c r="AS425" s="132" t="s">
        <v>4957</v>
      </c>
      <c r="AT425" s="131" t="s">
        <v>4958</v>
      </c>
      <c r="AU425" s="132" t="s">
        <v>182</v>
      </c>
      <c r="AV425" s="16" t="s">
        <v>212</v>
      </c>
      <c r="AW425" s="56" t="s">
        <v>4959</v>
      </c>
      <c r="AX425" s="56" t="s">
        <v>427</v>
      </c>
      <c r="AY425" s="7" t="s">
        <v>4960</v>
      </c>
      <c r="AZ425" s="10" t="s">
        <v>4961</v>
      </c>
      <c r="BA425" s="7" t="s">
        <v>4962</v>
      </c>
      <c r="BB425" s="17">
        <v>28768</v>
      </c>
      <c r="BC425" s="17" t="s">
        <v>96</v>
      </c>
      <c r="BD425" s="18" t="s">
        <v>4956</v>
      </c>
      <c r="BE425" s="7" t="s">
        <v>118</v>
      </c>
      <c r="BF425" s="7" t="s">
        <v>2049</v>
      </c>
      <c r="BG425" s="7" t="s">
        <v>4963</v>
      </c>
      <c r="BH425" s="7" t="s">
        <v>4964</v>
      </c>
      <c r="BI425" s="19" t="s">
        <v>4955</v>
      </c>
      <c r="BJ425" s="20" t="s">
        <v>4965</v>
      </c>
      <c r="BK425" s="21" t="s">
        <v>4966</v>
      </c>
      <c r="BL425" s="7" t="s">
        <v>4967</v>
      </c>
      <c r="BM425" s="22" t="s">
        <v>4968</v>
      </c>
      <c r="BN425" s="8" t="s">
        <v>581</v>
      </c>
      <c r="BO425" s="17">
        <v>31592</v>
      </c>
      <c r="BP425" s="17" t="s">
        <v>96</v>
      </c>
      <c r="BQ425" s="18" t="s">
        <v>4969</v>
      </c>
      <c r="BR425" s="7" t="s">
        <v>118</v>
      </c>
      <c r="BS425" s="7" t="s">
        <v>2049</v>
      </c>
      <c r="BT425" s="7" t="s">
        <v>4963</v>
      </c>
      <c r="BU425" s="8" t="s">
        <v>4970</v>
      </c>
      <c r="BV425" s="23" t="s">
        <v>4955</v>
      </c>
      <c r="BW425" s="24" t="s">
        <v>4965</v>
      </c>
      <c r="BX425" s="21" t="s">
        <v>4971</v>
      </c>
      <c r="BY425" s="21" t="s">
        <v>4972</v>
      </c>
      <c r="BZ425" s="21" t="s">
        <v>4973</v>
      </c>
      <c r="CA425" s="21">
        <v>27788</v>
      </c>
      <c r="CB425" s="21"/>
      <c r="CC425" s="21" t="s">
        <v>4974</v>
      </c>
      <c r="CD425" s="21" t="s">
        <v>118</v>
      </c>
      <c r="CE425" s="21" t="s">
        <v>4975</v>
      </c>
      <c r="CF425" s="21"/>
      <c r="CG425" s="21" t="s">
        <v>4976</v>
      </c>
      <c r="CH425" s="21">
        <v>10</v>
      </c>
      <c r="CI425" s="21" t="s">
        <v>546</v>
      </c>
      <c r="CJ425" s="21" t="s">
        <v>4977</v>
      </c>
      <c r="CK425" s="21" t="s">
        <v>4978</v>
      </c>
      <c r="CL425" s="21" t="s">
        <v>4979</v>
      </c>
      <c r="CN425" s="25"/>
      <c r="CO425" s="25"/>
      <c r="CP425" s="25"/>
      <c r="CQ425" s="25"/>
      <c r="CR425" s="25"/>
      <c r="CS425" s="26"/>
    </row>
    <row r="426" spans="1:97" s="27" customFormat="1" ht="23.25" customHeight="1">
      <c r="A426" s="4">
        <v>318</v>
      </c>
      <c r="B426" s="6" t="s">
        <v>4837</v>
      </c>
      <c r="C426" s="6" t="s">
        <v>4837</v>
      </c>
      <c r="D426" s="6" t="s">
        <v>4837</v>
      </c>
      <c r="E426" s="6"/>
      <c r="F426" s="6"/>
      <c r="G426" s="6" t="s">
        <v>6630</v>
      </c>
      <c r="H426" s="5" t="s">
        <v>4839</v>
      </c>
      <c r="I426" s="6" t="s">
        <v>86</v>
      </c>
      <c r="J426" s="7" t="s">
        <v>6064</v>
      </c>
      <c r="K426" s="7" t="s">
        <v>4840</v>
      </c>
      <c r="L426" s="8"/>
      <c r="M426" s="5">
        <v>1845</v>
      </c>
      <c r="N426" s="5">
        <v>3160063503</v>
      </c>
      <c r="O426" s="9" t="s">
        <v>6631</v>
      </c>
      <c r="P426" s="10" t="s">
        <v>6632</v>
      </c>
      <c r="Q426" s="389" t="s">
        <v>6633</v>
      </c>
      <c r="R426" s="8" t="s">
        <v>8915</v>
      </c>
      <c r="S426" s="212" t="s">
        <v>12149</v>
      </c>
      <c r="T426" s="8" t="s">
        <v>6634</v>
      </c>
      <c r="U426" s="11" t="s">
        <v>93</v>
      </c>
      <c r="V426" s="12" t="s">
        <v>519</v>
      </c>
      <c r="W426" s="13">
        <v>42685</v>
      </c>
      <c r="X426" s="5" t="str">
        <f t="shared" ca="1" si="15"/>
        <v>9 Th, 10 Bln</v>
      </c>
      <c r="Y426" s="5"/>
      <c r="Z426" s="14"/>
      <c r="AA426" s="5" t="s">
        <v>96</v>
      </c>
      <c r="AB426" s="5" t="s">
        <v>97</v>
      </c>
      <c r="AC426" s="7" t="s">
        <v>6635</v>
      </c>
      <c r="AD426" s="131"/>
      <c r="AE426" s="131"/>
      <c r="AF426" s="7" t="s">
        <v>139</v>
      </c>
      <c r="AG426" s="7" t="s">
        <v>140</v>
      </c>
      <c r="AH426" s="7" t="s">
        <v>141</v>
      </c>
      <c r="AI426" s="7"/>
      <c r="AJ426" s="7" t="s">
        <v>4846</v>
      </c>
      <c r="AK426" s="7" t="s">
        <v>179</v>
      </c>
      <c r="AL426" s="7" t="s">
        <v>5030</v>
      </c>
      <c r="AM426" s="15" t="s">
        <v>2527</v>
      </c>
      <c r="AN426" s="15" t="s">
        <v>2528</v>
      </c>
      <c r="AO426" s="8">
        <v>2</v>
      </c>
      <c r="AP426" s="8">
        <v>2</v>
      </c>
      <c r="AQ426" s="8">
        <v>0</v>
      </c>
      <c r="AR426" s="8">
        <v>0</v>
      </c>
      <c r="AS426" s="132" t="s">
        <v>1843</v>
      </c>
      <c r="AT426" s="131" t="s">
        <v>4958</v>
      </c>
      <c r="AU426" s="132" t="s">
        <v>149</v>
      </c>
      <c r="AV426" s="16" t="s">
        <v>112</v>
      </c>
      <c r="AW426" s="56"/>
      <c r="AX426" s="56" t="s">
        <v>183</v>
      </c>
      <c r="AY426" s="7" t="s">
        <v>2531</v>
      </c>
      <c r="AZ426" s="10" t="s">
        <v>2532</v>
      </c>
      <c r="BA426" s="7" t="s">
        <v>395</v>
      </c>
      <c r="BB426" s="17">
        <v>32093</v>
      </c>
      <c r="BC426" s="17" t="s">
        <v>96</v>
      </c>
      <c r="BD426" s="18" t="s">
        <v>2527</v>
      </c>
      <c r="BE426" s="7" t="s">
        <v>118</v>
      </c>
      <c r="BF426" s="7" t="s">
        <v>574</v>
      </c>
      <c r="BG426" s="7" t="s">
        <v>6636</v>
      </c>
      <c r="BH426" s="7" t="s">
        <v>6637</v>
      </c>
      <c r="BI426" s="19" t="s">
        <v>6638</v>
      </c>
      <c r="BJ426" s="20" t="s">
        <v>6639</v>
      </c>
      <c r="BK426" s="21" t="s">
        <v>6640</v>
      </c>
      <c r="BL426" s="7" t="s">
        <v>2537</v>
      </c>
      <c r="BM426" s="22" t="s">
        <v>2538</v>
      </c>
      <c r="BN426" s="8" t="s">
        <v>2524</v>
      </c>
      <c r="BO426" s="17">
        <v>32255</v>
      </c>
      <c r="BP426" s="17" t="s">
        <v>96</v>
      </c>
      <c r="BQ426" s="18" t="s">
        <v>2528</v>
      </c>
      <c r="BR426" s="7" t="s">
        <v>216</v>
      </c>
      <c r="BS426" s="7" t="s">
        <v>126</v>
      </c>
      <c r="BT426" s="7" t="s">
        <v>108</v>
      </c>
      <c r="BU426" s="8" t="s">
        <v>108</v>
      </c>
      <c r="BV426" s="23"/>
      <c r="BW426" s="24"/>
      <c r="BX426" s="21" t="s">
        <v>6641</v>
      </c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N426" s="25"/>
      <c r="CO426" s="25"/>
      <c r="CP426" s="25"/>
      <c r="CQ426" s="25"/>
      <c r="CR426" s="25"/>
      <c r="CS426" s="26"/>
    </row>
    <row r="427" spans="1:97" s="27" customFormat="1" ht="23.25" customHeight="1">
      <c r="A427" s="4">
        <v>231</v>
      </c>
      <c r="B427" s="6" t="s">
        <v>4837</v>
      </c>
      <c r="C427" s="6" t="s">
        <v>4837</v>
      </c>
      <c r="D427" s="6" t="s">
        <v>4837</v>
      </c>
      <c r="E427" s="6"/>
      <c r="F427" s="6"/>
      <c r="G427" s="6" t="s">
        <v>4980</v>
      </c>
      <c r="H427" s="5" t="s">
        <v>4839</v>
      </c>
      <c r="I427" s="6" t="s">
        <v>86</v>
      </c>
      <c r="J427" s="7" t="s">
        <v>166</v>
      </c>
      <c r="K427" s="7" t="s">
        <v>1993</v>
      </c>
      <c r="L427" s="8"/>
      <c r="M427" s="5">
        <v>1847</v>
      </c>
      <c r="N427" s="5">
        <v>3178869460</v>
      </c>
      <c r="O427" s="9" t="s">
        <v>4981</v>
      </c>
      <c r="P427" s="10" t="s">
        <v>4982</v>
      </c>
      <c r="Q427" s="389" t="s">
        <v>4983</v>
      </c>
      <c r="R427" s="8" t="s">
        <v>8915</v>
      </c>
      <c r="S427" s="212" t="s">
        <v>12149</v>
      </c>
      <c r="T427" s="8" t="s">
        <v>4984</v>
      </c>
      <c r="U427" s="11" t="s">
        <v>172</v>
      </c>
      <c r="V427" s="12" t="s">
        <v>94</v>
      </c>
      <c r="W427" s="13">
        <v>42917</v>
      </c>
      <c r="X427" s="5" t="str">
        <f t="shared" ca="1" si="15"/>
        <v>9 Th, 2 Bln</v>
      </c>
      <c r="Y427" s="5"/>
      <c r="Z427" s="14"/>
      <c r="AA427" s="5" t="s">
        <v>96</v>
      </c>
      <c r="AB427" s="5" t="s">
        <v>97</v>
      </c>
      <c r="AC427" s="7" t="s">
        <v>4985</v>
      </c>
      <c r="AD427" s="131">
        <v>1</v>
      </c>
      <c r="AE427" s="131">
        <v>11</v>
      </c>
      <c r="AF427" s="7" t="s">
        <v>521</v>
      </c>
      <c r="AG427" s="7" t="s">
        <v>178</v>
      </c>
      <c r="AH427" s="7" t="s">
        <v>178</v>
      </c>
      <c r="AI427" s="7"/>
      <c r="AJ427" s="7" t="s">
        <v>103</v>
      </c>
      <c r="AK427" s="7" t="s">
        <v>179</v>
      </c>
      <c r="AL427" s="7" t="s">
        <v>4986</v>
      </c>
      <c r="AM427" s="15" t="s">
        <v>4987</v>
      </c>
      <c r="AN427" s="15" t="s">
        <v>4987</v>
      </c>
      <c r="AO427" s="8">
        <v>1</v>
      </c>
      <c r="AP427" s="8">
        <v>0</v>
      </c>
      <c r="AQ427" s="8">
        <v>0</v>
      </c>
      <c r="AR427" s="8">
        <v>0</v>
      </c>
      <c r="AS427" s="132" t="s">
        <v>271</v>
      </c>
      <c r="AT427" s="131" t="s">
        <v>4988</v>
      </c>
      <c r="AU427" s="132" t="s">
        <v>111</v>
      </c>
      <c r="AV427" s="16" t="s">
        <v>112</v>
      </c>
      <c r="AW427" s="56" t="s">
        <v>643</v>
      </c>
      <c r="AX427" s="56" t="s">
        <v>4989</v>
      </c>
      <c r="AY427" s="7" t="s">
        <v>4990</v>
      </c>
      <c r="AZ427" s="10" t="s">
        <v>4991</v>
      </c>
      <c r="BA427" s="7" t="s">
        <v>502</v>
      </c>
      <c r="BB427" s="17">
        <v>34188</v>
      </c>
      <c r="BC427" s="17" t="s">
        <v>96</v>
      </c>
      <c r="BD427" s="18" t="s">
        <v>4992</v>
      </c>
      <c r="BE427" s="7" t="s">
        <v>118</v>
      </c>
      <c r="BF427" s="7" t="s">
        <v>596</v>
      </c>
      <c r="BG427" s="7" t="s">
        <v>4993</v>
      </c>
      <c r="BH427" s="7" t="s">
        <v>4994</v>
      </c>
      <c r="BI427" s="19"/>
      <c r="BJ427" s="20" t="s">
        <v>4995</v>
      </c>
      <c r="BK427" s="21" t="s">
        <v>4996</v>
      </c>
      <c r="BL427" s="7" t="s">
        <v>4997</v>
      </c>
      <c r="BM427" s="22" t="s">
        <v>4998</v>
      </c>
      <c r="BN427" s="8" t="s">
        <v>94</v>
      </c>
      <c r="BO427" s="17">
        <v>34154</v>
      </c>
      <c r="BP427" s="17" t="s">
        <v>96</v>
      </c>
      <c r="BQ427" s="18" t="s">
        <v>4987</v>
      </c>
      <c r="BR427" s="7" t="s">
        <v>118</v>
      </c>
      <c r="BS427" s="7" t="s">
        <v>254</v>
      </c>
      <c r="BT427" s="7" t="s">
        <v>127</v>
      </c>
      <c r="BU427" s="8" t="s">
        <v>127</v>
      </c>
      <c r="BV427" s="23"/>
      <c r="BW427" s="24" t="s">
        <v>127</v>
      </c>
      <c r="BX427" s="21" t="s">
        <v>4999</v>
      </c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N427" s="25"/>
      <c r="CO427" s="25"/>
      <c r="CP427" s="25"/>
      <c r="CQ427" s="25"/>
      <c r="CR427" s="25"/>
      <c r="CS427" s="26"/>
    </row>
    <row r="428" spans="1:97" s="27" customFormat="1" ht="23.25" customHeight="1">
      <c r="A428" s="4">
        <v>288</v>
      </c>
      <c r="B428" s="6" t="s">
        <v>4837</v>
      </c>
      <c r="C428" s="6" t="s">
        <v>4837</v>
      </c>
      <c r="D428" s="6" t="s">
        <v>4837</v>
      </c>
      <c r="E428" s="6"/>
      <c r="F428" s="6"/>
      <c r="G428" s="6" t="s">
        <v>6063</v>
      </c>
      <c r="H428" s="5" t="s">
        <v>4839</v>
      </c>
      <c r="I428" s="6" t="s">
        <v>86</v>
      </c>
      <c r="J428" s="7" t="s">
        <v>6064</v>
      </c>
      <c r="K428" s="7" t="s">
        <v>4840</v>
      </c>
      <c r="L428" s="8"/>
      <c r="M428" s="5">
        <v>1848</v>
      </c>
      <c r="N428" s="5">
        <v>3174383148</v>
      </c>
      <c r="O428" s="9" t="s">
        <v>6065</v>
      </c>
      <c r="P428" s="10" t="s">
        <v>6066</v>
      </c>
      <c r="Q428" s="389" t="s">
        <v>6067</v>
      </c>
      <c r="R428" s="8" t="s">
        <v>8915</v>
      </c>
      <c r="S428" s="212" t="s">
        <v>12149</v>
      </c>
      <c r="T428" s="8" t="s">
        <v>6068</v>
      </c>
      <c r="U428" s="11" t="s">
        <v>172</v>
      </c>
      <c r="V428" s="12" t="s">
        <v>94</v>
      </c>
      <c r="W428" s="13">
        <v>42875</v>
      </c>
      <c r="X428" s="5" t="str">
        <f t="shared" ca="1" si="15"/>
        <v>9 Th, 3 Bln</v>
      </c>
      <c r="Y428" s="5"/>
      <c r="Z428" s="14"/>
      <c r="AA428" s="5" t="s">
        <v>96</v>
      </c>
      <c r="AB428" s="5" t="s">
        <v>97</v>
      </c>
      <c r="AC428" s="7" t="s">
        <v>6069</v>
      </c>
      <c r="AD428" s="131">
        <v>7</v>
      </c>
      <c r="AE428" s="131" t="s">
        <v>175</v>
      </c>
      <c r="AF428" s="7" t="s">
        <v>139</v>
      </c>
      <c r="AG428" s="7" t="s">
        <v>140</v>
      </c>
      <c r="AH428" s="7" t="s">
        <v>141</v>
      </c>
      <c r="AI428" s="7"/>
      <c r="AJ428" s="7" t="s">
        <v>4846</v>
      </c>
      <c r="AK428" s="7" t="s">
        <v>104</v>
      </c>
      <c r="AL428" s="7" t="s">
        <v>4986</v>
      </c>
      <c r="AM428" s="15" t="s">
        <v>6070</v>
      </c>
      <c r="AN428" s="15" t="s">
        <v>6071</v>
      </c>
      <c r="AO428" s="8">
        <v>3</v>
      </c>
      <c r="AP428" s="8">
        <v>2</v>
      </c>
      <c r="AQ428" s="8"/>
      <c r="AR428" s="8"/>
      <c r="AS428" s="132" t="s">
        <v>5981</v>
      </c>
      <c r="AT428" s="131" t="s">
        <v>1266</v>
      </c>
      <c r="AU428" s="132" t="s">
        <v>498</v>
      </c>
      <c r="AV428" s="16" t="s">
        <v>112</v>
      </c>
      <c r="AW428" s="56" t="s">
        <v>150</v>
      </c>
      <c r="AX428" s="56" t="s">
        <v>6072</v>
      </c>
      <c r="AY428" s="7" t="s">
        <v>6073</v>
      </c>
      <c r="AZ428" s="10" t="s">
        <v>6074</v>
      </c>
      <c r="BA428" s="7" t="s">
        <v>444</v>
      </c>
      <c r="BB428" s="17">
        <v>30935</v>
      </c>
      <c r="BC428" s="17" t="s">
        <v>96</v>
      </c>
      <c r="BD428" s="18" t="s">
        <v>6075</v>
      </c>
      <c r="BE428" s="7" t="s">
        <v>118</v>
      </c>
      <c r="BF428" s="7" t="s">
        <v>596</v>
      </c>
      <c r="BG428" s="7" t="s">
        <v>597</v>
      </c>
      <c r="BH428" s="7" t="s">
        <v>6076</v>
      </c>
      <c r="BI428" s="19" t="s">
        <v>6077</v>
      </c>
      <c r="BJ428" s="20">
        <v>7000000</v>
      </c>
      <c r="BK428" s="21" t="s">
        <v>6077</v>
      </c>
      <c r="BL428" s="7" t="s">
        <v>6078</v>
      </c>
      <c r="BM428" s="22" t="s">
        <v>6079</v>
      </c>
      <c r="BN428" s="8" t="s">
        <v>94</v>
      </c>
      <c r="BO428" s="17">
        <v>30353</v>
      </c>
      <c r="BP428" s="17" t="s">
        <v>96</v>
      </c>
      <c r="BQ428" s="18" t="s">
        <v>6071</v>
      </c>
      <c r="BR428" s="7" t="s">
        <v>216</v>
      </c>
      <c r="BS428" s="7" t="s">
        <v>108</v>
      </c>
      <c r="BT428" s="7" t="s">
        <v>108</v>
      </c>
      <c r="BU428" s="8" t="s">
        <v>108</v>
      </c>
      <c r="BV428" s="23"/>
      <c r="BW428" s="24"/>
      <c r="BX428" s="21" t="s">
        <v>6080</v>
      </c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N428" s="25"/>
      <c r="CO428" s="25"/>
      <c r="CP428" s="25"/>
      <c r="CQ428" s="25"/>
      <c r="CR428" s="25"/>
      <c r="CS428" s="26"/>
    </row>
    <row r="429" spans="1:97" s="87" customFormat="1" ht="23.25" customHeight="1">
      <c r="A429" s="175">
        <v>232</v>
      </c>
      <c r="B429" s="178"/>
      <c r="C429" s="178"/>
      <c r="D429" s="178"/>
      <c r="E429" s="178"/>
      <c r="F429" s="178"/>
      <c r="G429" s="178"/>
      <c r="H429" s="224" t="s">
        <v>5000</v>
      </c>
      <c r="I429" s="61" t="s">
        <v>4774</v>
      </c>
      <c r="J429" s="218" t="s">
        <v>5001</v>
      </c>
      <c r="K429" s="218" t="s">
        <v>5002</v>
      </c>
      <c r="L429" s="178"/>
      <c r="M429" s="178">
        <v>2205</v>
      </c>
      <c r="N429" s="219" t="s">
        <v>5003</v>
      </c>
      <c r="O429" s="219" t="s">
        <v>5004</v>
      </c>
      <c r="P429" s="219" t="s">
        <v>5005</v>
      </c>
      <c r="Q429" s="216" t="s">
        <v>5006</v>
      </c>
      <c r="R429" s="8" t="s">
        <v>8915</v>
      </c>
      <c r="S429" s="212" t="s">
        <v>12149</v>
      </c>
      <c r="T429" s="178" t="s">
        <v>5007</v>
      </c>
      <c r="U429" s="178" t="s">
        <v>93</v>
      </c>
      <c r="V429" s="178" t="s">
        <v>1892</v>
      </c>
      <c r="W429" s="178" t="s">
        <v>5008</v>
      </c>
      <c r="X429" s="62" t="e">
        <f ca="1">""&amp;DATEDIF(W429,TODAY(),"y")&amp;" Th, "&amp;DATEDIF(W429,TODAY(),"ym")&amp;" Bln"</f>
        <v>#VALUE!</v>
      </c>
      <c r="Y429" s="62" t="s">
        <v>95</v>
      </c>
      <c r="Z429" s="178"/>
      <c r="AA429" s="178" t="s">
        <v>96</v>
      </c>
      <c r="AB429" s="178" t="s">
        <v>97</v>
      </c>
      <c r="AC429" s="218" t="s">
        <v>5009</v>
      </c>
      <c r="AD429" s="227">
        <v>22</v>
      </c>
      <c r="AE429" s="178">
        <v>8</v>
      </c>
      <c r="AF429" s="218" t="s">
        <v>1840</v>
      </c>
      <c r="AG429" s="218" t="s">
        <v>178</v>
      </c>
      <c r="AH429" s="218" t="s">
        <v>178</v>
      </c>
      <c r="AI429" s="228"/>
      <c r="AJ429" s="218" t="s">
        <v>103</v>
      </c>
      <c r="AK429" s="178"/>
      <c r="AL429" s="216" t="s">
        <v>2934</v>
      </c>
      <c r="AM429" s="218"/>
      <c r="AN429" s="221" t="s">
        <v>5010</v>
      </c>
      <c r="AO429" s="178">
        <v>1</v>
      </c>
      <c r="AP429" s="227"/>
      <c r="AQ429" s="227"/>
      <c r="AR429" s="227"/>
      <c r="AS429" s="178">
        <v>26</v>
      </c>
      <c r="AT429" s="178">
        <v>125</v>
      </c>
      <c r="AU429" s="178" t="s">
        <v>182</v>
      </c>
      <c r="AV429" s="178"/>
      <c r="AW429" s="218" t="s">
        <v>549</v>
      </c>
      <c r="AX429" s="218" t="s">
        <v>114</v>
      </c>
      <c r="AY429" s="218" t="s">
        <v>5011</v>
      </c>
      <c r="AZ429" s="222" t="s">
        <v>5012</v>
      </c>
      <c r="BA429" s="178" t="s">
        <v>1892</v>
      </c>
      <c r="BB429" s="216" t="s">
        <v>5013</v>
      </c>
      <c r="BC429" s="216" t="s">
        <v>96</v>
      </c>
      <c r="BD429" s="222" t="s">
        <v>5014</v>
      </c>
      <c r="BE429" s="178" t="s">
        <v>153</v>
      </c>
      <c r="BF429" s="178" t="s">
        <v>276</v>
      </c>
      <c r="BG429" s="178" t="s">
        <v>5015</v>
      </c>
      <c r="BH429" s="216" t="s">
        <v>5016</v>
      </c>
      <c r="BI429" s="222" t="s">
        <v>5017</v>
      </c>
      <c r="BJ429" s="225">
        <v>10000000</v>
      </c>
      <c r="BK429" s="229" t="s">
        <v>5018</v>
      </c>
      <c r="BL429" s="218" t="s">
        <v>5019</v>
      </c>
      <c r="BM429" s="221" t="s">
        <v>5020</v>
      </c>
      <c r="BN429" s="178" t="s">
        <v>1892</v>
      </c>
      <c r="BO429" s="218" t="s">
        <v>5021</v>
      </c>
      <c r="BP429" s="216" t="s">
        <v>96</v>
      </c>
      <c r="BQ429" s="219" t="s">
        <v>5010</v>
      </c>
      <c r="BR429" s="216" t="s">
        <v>153</v>
      </c>
      <c r="BS429" s="178" t="s">
        <v>154</v>
      </c>
      <c r="BT429" s="216" t="s">
        <v>2640</v>
      </c>
      <c r="BU429" s="216" t="s">
        <v>5022</v>
      </c>
      <c r="BV429" s="219" t="s">
        <v>5023</v>
      </c>
      <c r="BW429" s="178">
        <v>3500000</v>
      </c>
      <c r="BX429" s="229" t="s">
        <v>5024</v>
      </c>
      <c r="BY429" s="178"/>
      <c r="BZ429" s="178"/>
      <c r="CA429" s="178"/>
      <c r="CB429" s="178"/>
      <c r="CC429" s="178"/>
      <c r="CD429" s="178"/>
      <c r="CE429" s="178"/>
      <c r="CF429" s="178"/>
      <c r="CG429" s="178"/>
      <c r="CH429" s="178"/>
      <c r="CI429" s="178"/>
      <c r="CJ429" s="178"/>
      <c r="CK429" s="178"/>
      <c r="CL429" s="178"/>
      <c r="CN429" s="85"/>
      <c r="CO429" s="85"/>
      <c r="CP429" s="85"/>
      <c r="CQ429" s="85"/>
      <c r="CR429" s="85"/>
      <c r="CS429" s="86"/>
    </row>
    <row r="430" spans="1:97" s="27" customFormat="1" ht="23.25" customHeight="1">
      <c r="A430" s="4">
        <v>293</v>
      </c>
      <c r="B430" s="6" t="s">
        <v>4837</v>
      </c>
      <c r="C430" s="6" t="s">
        <v>4837</v>
      </c>
      <c r="D430" s="6" t="s">
        <v>4837</v>
      </c>
      <c r="E430" s="6"/>
      <c r="F430" s="6"/>
      <c r="G430" s="6" t="s">
        <v>6163</v>
      </c>
      <c r="H430" s="5" t="s">
        <v>4839</v>
      </c>
      <c r="I430" s="6" t="s">
        <v>86</v>
      </c>
      <c r="J430" s="7" t="s">
        <v>287</v>
      </c>
      <c r="K430" s="7" t="s">
        <v>6164</v>
      </c>
      <c r="L430" s="8"/>
      <c r="M430" s="5">
        <v>1862</v>
      </c>
      <c r="N430" s="5">
        <v>3169265027</v>
      </c>
      <c r="O430" s="9" t="s">
        <v>6165</v>
      </c>
      <c r="P430" s="10" t="s">
        <v>6166</v>
      </c>
      <c r="Q430" s="389" t="s">
        <v>6167</v>
      </c>
      <c r="R430" s="8" t="s">
        <v>8915</v>
      </c>
      <c r="S430" s="212" t="s">
        <v>12149</v>
      </c>
      <c r="T430" s="8" t="s">
        <v>6168</v>
      </c>
      <c r="U430" s="11" t="s">
        <v>172</v>
      </c>
      <c r="V430" s="12" t="s">
        <v>1967</v>
      </c>
      <c r="W430" s="13">
        <v>42690</v>
      </c>
      <c r="X430" s="5" t="str">
        <f t="shared" ref="X430:X443" ca="1" si="16">""&amp;DATEDIF(W430,TODAY(),"y")&amp;" Th, "&amp;DATEDIF(W430,TODAY(),"ym")&amp;" Bln"</f>
        <v>9 Th, 10 Bln</v>
      </c>
      <c r="Y430" s="5"/>
      <c r="Z430" s="14"/>
      <c r="AA430" s="5" t="s">
        <v>96</v>
      </c>
      <c r="AB430" s="5" t="s">
        <v>97</v>
      </c>
      <c r="AC430" s="7" t="s">
        <v>6169</v>
      </c>
      <c r="AD430" s="131" t="s">
        <v>137</v>
      </c>
      <c r="AE430" s="131">
        <v>12</v>
      </c>
      <c r="AF430" s="7" t="s">
        <v>6170</v>
      </c>
      <c r="AG430" s="7" t="s">
        <v>687</v>
      </c>
      <c r="AH430" s="7" t="s">
        <v>141</v>
      </c>
      <c r="AI430" s="7"/>
      <c r="AJ430" s="7" t="s">
        <v>142</v>
      </c>
      <c r="AK430" s="7" t="s">
        <v>104</v>
      </c>
      <c r="AL430" s="7" t="s">
        <v>5208</v>
      </c>
      <c r="AM430" s="15" t="s">
        <v>4628</v>
      </c>
      <c r="AN430" s="15" t="s">
        <v>6171</v>
      </c>
      <c r="AO430" s="8">
        <v>1</v>
      </c>
      <c r="AP430" s="8">
        <v>2</v>
      </c>
      <c r="AQ430" s="8">
        <v>0</v>
      </c>
      <c r="AR430" s="8">
        <v>0</v>
      </c>
      <c r="AS430" s="132" t="s">
        <v>6172</v>
      </c>
      <c r="AT430" s="131" t="s">
        <v>5230</v>
      </c>
      <c r="AU430" s="132" t="s">
        <v>149</v>
      </c>
      <c r="AV430" s="16" t="s">
        <v>112</v>
      </c>
      <c r="AW430" s="56" t="s">
        <v>150</v>
      </c>
      <c r="AX430" s="56" t="s">
        <v>6173</v>
      </c>
      <c r="AY430" s="7" t="s">
        <v>4631</v>
      </c>
      <c r="AZ430" s="10" t="s">
        <v>4632</v>
      </c>
      <c r="BA430" s="7" t="s">
        <v>519</v>
      </c>
      <c r="BB430" s="17">
        <v>32289</v>
      </c>
      <c r="BC430" s="17" t="s">
        <v>96</v>
      </c>
      <c r="BD430" s="18" t="s">
        <v>4627</v>
      </c>
      <c r="BE430" s="7" t="s">
        <v>118</v>
      </c>
      <c r="BF430" s="7" t="s">
        <v>6174</v>
      </c>
      <c r="BG430" s="7" t="s">
        <v>6175</v>
      </c>
      <c r="BH430" s="7" t="s">
        <v>6176</v>
      </c>
      <c r="BI430" s="19" t="s">
        <v>6177</v>
      </c>
      <c r="BJ430" s="20" t="s">
        <v>6178</v>
      </c>
      <c r="BK430" s="21" t="s">
        <v>6179</v>
      </c>
      <c r="BL430" s="7" t="s">
        <v>6180</v>
      </c>
      <c r="BM430" s="22">
        <v>3271065510890020</v>
      </c>
      <c r="BN430" s="8" t="s">
        <v>1967</v>
      </c>
      <c r="BO430" s="17">
        <v>32796</v>
      </c>
      <c r="BP430" s="17" t="s">
        <v>96</v>
      </c>
      <c r="BQ430" s="18" t="s">
        <v>6171</v>
      </c>
      <c r="BR430" s="7" t="s">
        <v>118</v>
      </c>
      <c r="BS430" s="7" t="s">
        <v>582</v>
      </c>
      <c r="BT430" s="7" t="s">
        <v>108</v>
      </c>
      <c r="BU430" s="8" t="s">
        <v>108</v>
      </c>
      <c r="BV430" s="23"/>
      <c r="BW430" s="24"/>
      <c r="BX430" s="21" t="s">
        <v>4641</v>
      </c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N430" s="25"/>
      <c r="CO430" s="25"/>
      <c r="CP430" s="25"/>
      <c r="CQ430" s="25"/>
      <c r="CR430" s="25"/>
      <c r="CS430" s="26"/>
    </row>
    <row r="431" spans="1:97" s="27" customFormat="1" ht="23.25" customHeight="1">
      <c r="A431" s="4">
        <v>262</v>
      </c>
      <c r="B431" s="6" t="s">
        <v>4837</v>
      </c>
      <c r="C431" s="6" t="s">
        <v>4837</v>
      </c>
      <c r="D431" s="6" t="s">
        <v>4837</v>
      </c>
      <c r="E431" s="6"/>
      <c r="F431" s="6"/>
      <c r="G431" s="6" t="s">
        <v>5604</v>
      </c>
      <c r="H431" s="5" t="s">
        <v>4839</v>
      </c>
      <c r="I431" s="6" t="s">
        <v>86</v>
      </c>
      <c r="J431" s="7" t="s">
        <v>166</v>
      </c>
      <c r="K431" s="7" t="s">
        <v>1993</v>
      </c>
      <c r="L431" s="8"/>
      <c r="M431" s="5">
        <v>1863</v>
      </c>
      <c r="N431" s="5" t="s">
        <v>5605</v>
      </c>
      <c r="O431" s="9" t="s">
        <v>5606</v>
      </c>
      <c r="P431" s="10" t="s">
        <v>5607</v>
      </c>
      <c r="Q431" s="389" t="s">
        <v>5608</v>
      </c>
      <c r="R431" s="8" t="s">
        <v>8915</v>
      </c>
      <c r="S431" s="212" t="s">
        <v>12149</v>
      </c>
      <c r="T431" s="8" t="s">
        <v>5609</v>
      </c>
      <c r="U431" s="11" t="s">
        <v>93</v>
      </c>
      <c r="V431" s="12" t="s">
        <v>2179</v>
      </c>
      <c r="W431" s="13">
        <v>42718</v>
      </c>
      <c r="X431" s="5" t="str">
        <f t="shared" ca="1" si="16"/>
        <v>9 Th, 9 Bln</v>
      </c>
      <c r="Y431" s="5"/>
      <c r="Z431" s="14"/>
      <c r="AA431" s="5" t="s">
        <v>96</v>
      </c>
      <c r="AB431" s="5" t="s">
        <v>97</v>
      </c>
      <c r="AC431" s="7" t="s">
        <v>5610</v>
      </c>
      <c r="AD431" s="131" t="s">
        <v>293</v>
      </c>
      <c r="AE431" s="131" t="s">
        <v>293</v>
      </c>
      <c r="AF431" s="7" t="s">
        <v>1155</v>
      </c>
      <c r="AG431" s="7" t="s">
        <v>140</v>
      </c>
      <c r="AH431" s="7" t="s">
        <v>141</v>
      </c>
      <c r="AI431" s="7"/>
      <c r="AJ431" s="7" t="s">
        <v>142</v>
      </c>
      <c r="AK431" s="7" t="s">
        <v>179</v>
      </c>
      <c r="AL431" s="7" t="s">
        <v>4986</v>
      </c>
      <c r="AM431" s="15" t="s">
        <v>5611</v>
      </c>
      <c r="AN431" s="15" t="s">
        <v>5611</v>
      </c>
      <c r="AO431" s="8">
        <v>2</v>
      </c>
      <c r="AP431" s="8">
        <v>1</v>
      </c>
      <c r="AQ431" s="8"/>
      <c r="AR431" s="8"/>
      <c r="AS431" s="132" t="s">
        <v>873</v>
      </c>
      <c r="AT431" s="131" t="s">
        <v>5612</v>
      </c>
      <c r="AU431" s="132" t="s">
        <v>111</v>
      </c>
      <c r="AV431" s="16" t="s">
        <v>112</v>
      </c>
      <c r="AW431" s="56" t="s">
        <v>113</v>
      </c>
      <c r="AX431" s="56" t="s">
        <v>441</v>
      </c>
      <c r="AY431" s="7" t="s">
        <v>5613</v>
      </c>
      <c r="AZ431" s="10" t="s">
        <v>5614</v>
      </c>
      <c r="BA431" s="7" t="s">
        <v>94</v>
      </c>
      <c r="BB431" s="17">
        <v>30144</v>
      </c>
      <c r="BC431" s="17" t="s">
        <v>96</v>
      </c>
      <c r="BD431" s="18" t="s">
        <v>5615</v>
      </c>
      <c r="BE431" s="7" t="s">
        <v>118</v>
      </c>
      <c r="BF431" s="7" t="s">
        <v>247</v>
      </c>
      <c r="BG431" s="7" t="s">
        <v>5616</v>
      </c>
      <c r="BH431" s="7" t="s">
        <v>5617</v>
      </c>
      <c r="BI431" s="19" t="s">
        <v>5618</v>
      </c>
      <c r="BJ431" s="20">
        <v>20000000</v>
      </c>
      <c r="BK431" s="21" t="s">
        <v>5619</v>
      </c>
      <c r="BL431" s="7" t="s">
        <v>5620</v>
      </c>
      <c r="BM431" s="22" t="s">
        <v>5621</v>
      </c>
      <c r="BN431" s="8" t="s">
        <v>2179</v>
      </c>
      <c r="BO431" s="17">
        <v>30485</v>
      </c>
      <c r="BP431" s="17" t="s">
        <v>96</v>
      </c>
      <c r="BQ431" s="18" t="s">
        <v>5611</v>
      </c>
      <c r="BR431" s="7" t="s">
        <v>118</v>
      </c>
      <c r="BS431" s="7" t="s">
        <v>247</v>
      </c>
      <c r="BT431" s="7" t="s">
        <v>5622</v>
      </c>
      <c r="BU431" s="8" t="s">
        <v>5617</v>
      </c>
      <c r="BV431" s="23" t="s">
        <v>5623</v>
      </c>
      <c r="BW431" s="24" t="s">
        <v>5624</v>
      </c>
      <c r="BX431" s="21" t="s">
        <v>5625</v>
      </c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N431" s="25"/>
      <c r="CO431" s="25"/>
      <c r="CP431" s="25"/>
      <c r="CQ431" s="25"/>
      <c r="CR431" s="25"/>
      <c r="CS431" s="26"/>
    </row>
    <row r="432" spans="1:97" s="27" customFormat="1" ht="23.25" customHeight="1">
      <c r="A432" s="4">
        <v>237</v>
      </c>
      <c r="B432" s="6" t="s">
        <v>4837</v>
      </c>
      <c r="C432" s="6"/>
      <c r="D432" s="6" t="s">
        <v>4837</v>
      </c>
      <c r="E432" s="6"/>
      <c r="F432" s="6"/>
      <c r="G432" s="6" t="s">
        <v>5086</v>
      </c>
      <c r="H432" s="5" t="s">
        <v>4839</v>
      </c>
      <c r="I432" s="6" t="s">
        <v>86</v>
      </c>
      <c r="J432" s="7" t="s">
        <v>5087</v>
      </c>
      <c r="K432" s="7" t="s">
        <v>5088</v>
      </c>
      <c r="L432" s="8"/>
      <c r="M432" s="5">
        <v>1869</v>
      </c>
      <c r="N432" s="5">
        <v>3174420730</v>
      </c>
      <c r="O432" s="9" t="s">
        <v>5089</v>
      </c>
      <c r="P432" s="146" t="s">
        <v>11474</v>
      </c>
      <c r="Q432" s="389" t="s">
        <v>5090</v>
      </c>
      <c r="R432" s="8" t="s">
        <v>8915</v>
      </c>
      <c r="S432" s="212" t="s">
        <v>12149</v>
      </c>
      <c r="T432" s="8" t="s">
        <v>5091</v>
      </c>
      <c r="U432" s="11" t="s">
        <v>172</v>
      </c>
      <c r="V432" s="12" t="s">
        <v>94</v>
      </c>
      <c r="W432" s="13">
        <v>42780</v>
      </c>
      <c r="X432" s="5" t="str">
        <f t="shared" ca="1" si="16"/>
        <v>9 Th, 7 Bln</v>
      </c>
      <c r="Y432" s="5"/>
      <c r="Z432" s="14"/>
      <c r="AA432" s="5" t="s">
        <v>96</v>
      </c>
      <c r="AB432" s="5" t="s">
        <v>97</v>
      </c>
      <c r="AC432" s="7" t="s">
        <v>5092</v>
      </c>
      <c r="AD432" s="131" t="s">
        <v>207</v>
      </c>
      <c r="AE432" s="131">
        <v>9</v>
      </c>
      <c r="AF432" s="7" t="s">
        <v>2927</v>
      </c>
      <c r="AG432" s="7" t="s">
        <v>241</v>
      </c>
      <c r="AH432" s="7" t="s">
        <v>241</v>
      </c>
      <c r="AI432" s="7"/>
      <c r="AJ432" s="7" t="s">
        <v>103</v>
      </c>
      <c r="AK432" s="7" t="s">
        <v>104</v>
      </c>
      <c r="AL432" s="7" t="s">
        <v>4861</v>
      </c>
      <c r="AM432" s="15" t="s">
        <v>5093</v>
      </c>
      <c r="AN432" s="15" t="s">
        <v>5094</v>
      </c>
      <c r="AO432" s="8">
        <v>2</v>
      </c>
      <c r="AP432" s="8">
        <v>1</v>
      </c>
      <c r="AQ432" s="8"/>
      <c r="AR432" s="8"/>
      <c r="AS432" s="132" t="s">
        <v>4957</v>
      </c>
      <c r="AT432" s="131" t="s">
        <v>272</v>
      </c>
      <c r="AU432" s="132" t="s">
        <v>111</v>
      </c>
      <c r="AV432" s="16" t="s">
        <v>112</v>
      </c>
      <c r="AW432" s="56" t="s">
        <v>150</v>
      </c>
      <c r="AX432" s="56" t="s">
        <v>5095</v>
      </c>
      <c r="AY432" s="7" t="s">
        <v>5096</v>
      </c>
      <c r="AZ432" s="10" t="s">
        <v>5097</v>
      </c>
      <c r="BA432" s="7" t="s">
        <v>5098</v>
      </c>
      <c r="BB432" s="17">
        <v>26533</v>
      </c>
      <c r="BC432" s="17" t="s">
        <v>96</v>
      </c>
      <c r="BD432" s="18" t="s">
        <v>5094</v>
      </c>
      <c r="BE432" s="7" t="s">
        <v>118</v>
      </c>
      <c r="BF432" s="7" t="s">
        <v>247</v>
      </c>
      <c r="BG432" s="7" t="s">
        <v>5099</v>
      </c>
      <c r="BH432" s="7" t="s">
        <v>5100</v>
      </c>
      <c r="BI432" s="19" t="s">
        <v>5101</v>
      </c>
      <c r="BJ432" s="20">
        <v>10000000</v>
      </c>
      <c r="BK432" s="21" t="s">
        <v>5102</v>
      </c>
      <c r="BL432" s="7" t="s">
        <v>5103</v>
      </c>
      <c r="BM432" s="22" t="s">
        <v>5104</v>
      </c>
      <c r="BN432" s="8" t="s">
        <v>94</v>
      </c>
      <c r="BO432" s="17">
        <v>28307</v>
      </c>
      <c r="BP432" s="17" t="s">
        <v>96</v>
      </c>
      <c r="BQ432" s="18" t="s">
        <v>5093</v>
      </c>
      <c r="BR432" s="7" t="s">
        <v>118</v>
      </c>
      <c r="BS432" s="7" t="s">
        <v>5105</v>
      </c>
      <c r="BT432" s="7" t="s">
        <v>5106</v>
      </c>
      <c r="BU432" s="8" t="s">
        <v>5107</v>
      </c>
      <c r="BV432" s="23" t="s">
        <v>5093</v>
      </c>
      <c r="BW432" s="24" t="s">
        <v>5108</v>
      </c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N432" s="25"/>
      <c r="CO432" s="25"/>
      <c r="CP432" s="25"/>
      <c r="CQ432" s="25"/>
      <c r="CR432" s="25"/>
      <c r="CS432" s="26"/>
    </row>
    <row r="433" spans="1:97" s="27" customFormat="1" ht="23.25" customHeight="1">
      <c r="A433" s="4">
        <v>295</v>
      </c>
      <c r="B433" s="6"/>
      <c r="C433" s="6"/>
      <c r="D433" s="6"/>
      <c r="E433" s="6"/>
      <c r="F433" s="6"/>
      <c r="G433" s="6"/>
      <c r="H433" s="5" t="s">
        <v>4839</v>
      </c>
      <c r="I433" s="6" t="s">
        <v>86</v>
      </c>
      <c r="J433" s="7" t="s">
        <v>6202</v>
      </c>
      <c r="K433" s="7" t="s">
        <v>6203</v>
      </c>
      <c r="L433" s="8"/>
      <c r="M433" s="5">
        <v>1875</v>
      </c>
      <c r="N433" s="5">
        <v>3169252114</v>
      </c>
      <c r="O433" s="9" t="s">
        <v>2112</v>
      </c>
      <c r="P433" s="10" t="s">
        <v>6204</v>
      </c>
      <c r="Q433" s="389" t="s">
        <v>6205</v>
      </c>
      <c r="R433" s="8" t="s">
        <v>8915</v>
      </c>
      <c r="S433" s="212" t="s">
        <v>12149</v>
      </c>
      <c r="T433" s="8" t="s">
        <v>6206</v>
      </c>
      <c r="U433" s="11" t="s">
        <v>93</v>
      </c>
      <c r="V433" s="12" t="s">
        <v>395</v>
      </c>
      <c r="W433" s="13">
        <v>42619</v>
      </c>
      <c r="X433" s="5" t="str">
        <f t="shared" ca="1" si="16"/>
        <v>10 Th, 0 Bln</v>
      </c>
      <c r="Y433" s="5"/>
      <c r="Z433" s="14"/>
      <c r="AA433" s="5" t="s">
        <v>96</v>
      </c>
      <c r="AB433" s="5" t="s">
        <v>97</v>
      </c>
      <c r="AC433" s="7" t="s">
        <v>6207</v>
      </c>
      <c r="AD433" s="131" t="s">
        <v>137</v>
      </c>
      <c r="AE433" s="131" t="s">
        <v>100</v>
      </c>
      <c r="AF433" s="7" t="s">
        <v>177</v>
      </c>
      <c r="AG433" s="7" t="s">
        <v>178</v>
      </c>
      <c r="AH433" s="7" t="s">
        <v>178</v>
      </c>
      <c r="AI433" s="7"/>
      <c r="AJ433" s="7" t="s">
        <v>94</v>
      </c>
      <c r="AK433" s="7" t="s">
        <v>104</v>
      </c>
      <c r="AL433" s="7" t="s">
        <v>6208</v>
      </c>
      <c r="AM433" s="15"/>
      <c r="AN433" s="15" t="s">
        <v>2117</v>
      </c>
      <c r="AO433" s="8">
        <v>2</v>
      </c>
      <c r="AP433" s="8">
        <v>3</v>
      </c>
      <c r="AQ433" s="8" t="s">
        <v>127</v>
      </c>
      <c r="AR433" s="8" t="s">
        <v>127</v>
      </c>
      <c r="AS433" s="132" t="s">
        <v>463</v>
      </c>
      <c r="AT433" s="131" t="s">
        <v>1266</v>
      </c>
      <c r="AU433" s="132" t="s">
        <v>182</v>
      </c>
      <c r="AV433" s="16" t="s">
        <v>112</v>
      </c>
      <c r="AW433" s="56" t="s">
        <v>113</v>
      </c>
      <c r="AX433" s="56" t="s">
        <v>6209</v>
      </c>
      <c r="AY433" s="7" t="s">
        <v>6210</v>
      </c>
      <c r="AZ433" s="10" t="s">
        <v>6211</v>
      </c>
      <c r="BA433" s="7" t="s">
        <v>603</v>
      </c>
      <c r="BB433" s="17">
        <v>30393</v>
      </c>
      <c r="BC433" s="17" t="s">
        <v>96</v>
      </c>
      <c r="BD433" s="18" t="s">
        <v>2121</v>
      </c>
      <c r="BE433" s="7" t="s">
        <v>153</v>
      </c>
      <c r="BF433" s="7" t="s">
        <v>154</v>
      </c>
      <c r="BG433" s="7" t="s">
        <v>6212</v>
      </c>
      <c r="BH433" s="7" t="s">
        <v>3710</v>
      </c>
      <c r="BI433" s="19"/>
      <c r="BJ433" s="20" t="s">
        <v>190</v>
      </c>
      <c r="BK433" s="21"/>
      <c r="BL433" s="7" t="s">
        <v>6213</v>
      </c>
      <c r="BM433" s="22" t="s">
        <v>2126</v>
      </c>
      <c r="BN433" s="8" t="s">
        <v>395</v>
      </c>
      <c r="BO433" s="17">
        <v>33165</v>
      </c>
      <c r="BP433" s="17" t="s">
        <v>96</v>
      </c>
      <c r="BQ433" s="18" t="s">
        <v>2117</v>
      </c>
      <c r="BR433" s="7" t="s">
        <v>153</v>
      </c>
      <c r="BS433" s="7" t="s">
        <v>6214</v>
      </c>
      <c r="BT433" s="7" t="s">
        <v>127</v>
      </c>
      <c r="BU433" s="8" t="s">
        <v>127</v>
      </c>
      <c r="BV433" s="23"/>
      <c r="BW433" s="24" t="s">
        <v>127</v>
      </c>
      <c r="BX433" s="21" t="s">
        <v>2127</v>
      </c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N433" s="25"/>
      <c r="CO433" s="25"/>
      <c r="CP433" s="25"/>
      <c r="CQ433" s="25"/>
      <c r="CR433" s="25"/>
      <c r="CS433" s="26"/>
    </row>
    <row r="434" spans="1:97" s="27" customFormat="1" ht="23.25" customHeight="1">
      <c r="A434" s="4">
        <v>326</v>
      </c>
      <c r="B434" s="6" t="s">
        <v>4837</v>
      </c>
      <c r="C434" s="6" t="s">
        <v>4837</v>
      </c>
      <c r="D434" s="6" t="s">
        <v>4837</v>
      </c>
      <c r="E434" s="6"/>
      <c r="F434" s="6"/>
      <c r="G434" s="6" t="s">
        <v>6755</v>
      </c>
      <c r="H434" s="5" t="s">
        <v>4839</v>
      </c>
      <c r="I434" s="6" t="s">
        <v>86</v>
      </c>
      <c r="J434" s="7" t="s">
        <v>5223</v>
      </c>
      <c r="K434" s="7" t="s">
        <v>6756</v>
      </c>
      <c r="L434" s="8"/>
      <c r="M434" s="5">
        <v>1876</v>
      </c>
      <c r="N434" s="5">
        <v>3159844098</v>
      </c>
      <c r="O434" s="9" t="s">
        <v>6757</v>
      </c>
      <c r="P434" s="10" t="s">
        <v>6758</v>
      </c>
      <c r="Q434" s="389" t="s">
        <v>6759</v>
      </c>
      <c r="R434" s="8" t="s">
        <v>8915</v>
      </c>
      <c r="S434" s="212" t="s">
        <v>12149</v>
      </c>
      <c r="T434" s="8" t="s">
        <v>6760</v>
      </c>
      <c r="U434" s="11" t="s">
        <v>172</v>
      </c>
      <c r="V434" s="12" t="s">
        <v>94</v>
      </c>
      <c r="W434" s="13">
        <v>42362</v>
      </c>
      <c r="X434" s="5" t="str">
        <f t="shared" ca="1" si="16"/>
        <v>10 Th, 8 Bln</v>
      </c>
      <c r="Y434" s="5"/>
      <c r="Z434" s="14"/>
      <c r="AA434" s="5" t="s">
        <v>96</v>
      </c>
      <c r="AB434" s="5" t="s">
        <v>97</v>
      </c>
      <c r="AC434" s="7" t="s">
        <v>6761</v>
      </c>
      <c r="AD434" s="131" t="s">
        <v>239</v>
      </c>
      <c r="AE434" s="131" t="s">
        <v>207</v>
      </c>
      <c r="AF434" s="7" t="s">
        <v>1740</v>
      </c>
      <c r="AG434" s="7" t="s">
        <v>178</v>
      </c>
      <c r="AH434" s="7" t="s">
        <v>178</v>
      </c>
      <c r="AI434" s="7"/>
      <c r="AJ434" s="7" t="s">
        <v>103</v>
      </c>
      <c r="AK434" s="7" t="s">
        <v>179</v>
      </c>
      <c r="AL434" s="7" t="s">
        <v>6762</v>
      </c>
      <c r="AM434" s="15" t="s">
        <v>6763</v>
      </c>
      <c r="AN434" s="15"/>
      <c r="AO434" s="8">
        <v>1</v>
      </c>
      <c r="AP434" s="8">
        <v>0</v>
      </c>
      <c r="AQ434" s="8">
        <v>0</v>
      </c>
      <c r="AR434" s="8">
        <v>0</v>
      </c>
      <c r="AS434" s="132" t="s">
        <v>271</v>
      </c>
      <c r="AT434" s="131" t="s">
        <v>4938</v>
      </c>
      <c r="AU434" s="132" t="s">
        <v>182</v>
      </c>
      <c r="AV434" s="16" t="s">
        <v>112</v>
      </c>
      <c r="AW434" s="56" t="s">
        <v>113</v>
      </c>
      <c r="AX434" s="56" t="s">
        <v>4708</v>
      </c>
      <c r="AY434" s="7" t="s">
        <v>6764</v>
      </c>
      <c r="AZ434" s="10" t="s">
        <v>6765</v>
      </c>
      <c r="BA434" s="7" t="s">
        <v>469</v>
      </c>
      <c r="BB434" s="17">
        <v>29208</v>
      </c>
      <c r="BC434" s="17" t="s">
        <v>96</v>
      </c>
      <c r="BD434" s="18" t="s">
        <v>6766</v>
      </c>
      <c r="BE434" s="7" t="s">
        <v>216</v>
      </c>
      <c r="BF434" s="7" t="s">
        <v>276</v>
      </c>
      <c r="BG434" s="7" t="s">
        <v>6767</v>
      </c>
      <c r="BH434" s="7" t="s">
        <v>6768</v>
      </c>
      <c r="BI434" s="19"/>
      <c r="BJ434" s="20" t="s">
        <v>6769</v>
      </c>
      <c r="BK434" s="21" t="s">
        <v>6770</v>
      </c>
      <c r="BL434" s="7" t="s">
        <v>6771</v>
      </c>
      <c r="BM434" s="22" t="s">
        <v>6772</v>
      </c>
      <c r="BN434" s="8" t="s">
        <v>94</v>
      </c>
      <c r="BO434" s="17">
        <v>31592</v>
      </c>
      <c r="BP434" s="17" t="s">
        <v>96</v>
      </c>
      <c r="BQ434" s="18" t="s">
        <v>6773</v>
      </c>
      <c r="BR434" s="7" t="s">
        <v>118</v>
      </c>
      <c r="BS434" s="7" t="s">
        <v>126</v>
      </c>
      <c r="BT434" s="7" t="s">
        <v>127</v>
      </c>
      <c r="BU434" s="8" t="s">
        <v>127</v>
      </c>
      <c r="BV434" s="23"/>
      <c r="BW434" s="24" t="s">
        <v>127</v>
      </c>
      <c r="BX434" s="21" t="s">
        <v>6774</v>
      </c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N434" s="25"/>
      <c r="CO434" s="25"/>
      <c r="CP434" s="25"/>
      <c r="CQ434" s="25"/>
      <c r="CR434" s="25"/>
      <c r="CS434" s="26"/>
    </row>
    <row r="435" spans="1:97" s="27" customFormat="1" ht="23.25" customHeight="1">
      <c r="A435" s="4">
        <v>240</v>
      </c>
      <c r="B435" s="6" t="s">
        <v>4837</v>
      </c>
      <c r="C435" s="6" t="s">
        <v>4837</v>
      </c>
      <c r="D435" s="6" t="s">
        <v>4837</v>
      </c>
      <c r="E435" s="6"/>
      <c r="F435" s="6"/>
      <c r="G435" s="6" t="s">
        <v>5158</v>
      </c>
      <c r="H435" s="5" t="s">
        <v>4839</v>
      </c>
      <c r="I435" s="6" t="s">
        <v>86</v>
      </c>
      <c r="J435" s="7" t="s">
        <v>5159</v>
      </c>
      <c r="K435" s="7" t="s">
        <v>5160</v>
      </c>
      <c r="L435" s="8"/>
      <c r="M435" s="5">
        <v>1877</v>
      </c>
      <c r="N435" s="5" t="s">
        <v>5161</v>
      </c>
      <c r="O435" s="9" t="s">
        <v>5162</v>
      </c>
      <c r="P435" s="10" t="s">
        <v>5163</v>
      </c>
      <c r="Q435" s="389" t="s">
        <v>5164</v>
      </c>
      <c r="R435" s="8" t="s">
        <v>8915</v>
      </c>
      <c r="S435" s="212" t="s">
        <v>12149</v>
      </c>
      <c r="T435" s="8" t="s">
        <v>5165</v>
      </c>
      <c r="U435" s="11" t="s">
        <v>172</v>
      </c>
      <c r="V435" s="12" t="s">
        <v>94</v>
      </c>
      <c r="W435" s="13">
        <v>42861</v>
      </c>
      <c r="X435" s="5" t="str">
        <f t="shared" ca="1" si="16"/>
        <v>9 Th, 4 Bln</v>
      </c>
      <c r="Y435" s="5"/>
      <c r="Z435" s="14"/>
      <c r="AA435" s="5" t="s">
        <v>96</v>
      </c>
      <c r="AB435" s="5" t="s">
        <v>97</v>
      </c>
      <c r="AC435" s="7" t="s">
        <v>5166</v>
      </c>
      <c r="AD435" s="131" t="s">
        <v>384</v>
      </c>
      <c r="AE435" s="131" t="s">
        <v>99</v>
      </c>
      <c r="AF435" s="7" t="s">
        <v>942</v>
      </c>
      <c r="AG435" s="7" t="s">
        <v>178</v>
      </c>
      <c r="AH435" s="7" t="s">
        <v>178</v>
      </c>
      <c r="AI435" s="7"/>
      <c r="AJ435" s="7" t="s">
        <v>103</v>
      </c>
      <c r="AK435" s="7" t="s">
        <v>179</v>
      </c>
      <c r="AL435" s="7" t="s">
        <v>4915</v>
      </c>
      <c r="AM435" s="15" t="s">
        <v>5167</v>
      </c>
      <c r="AN435" s="15" t="s">
        <v>5167</v>
      </c>
      <c r="AO435" s="8">
        <v>2</v>
      </c>
      <c r="AP435" s="8">
        <v>1</v>
      </c>
      <c r="AQ435" s="8">
        <v>0</v>
      </c>
      <c r="AR435" s="8">
        <v>0</v>
      </c>
      <c r="AS435" s="132" t="s">
        <v>873</v>
      </c>
      <c r="AT435" s="131" t="s">
        <v>5168</v>
      </c>
      <c r="AU435" s="132" t="s">
        <v>149</v>
      </c>
      <c r="AV435" s="16" t="s">
        <v>112</v>
      </c>
      <c r="AW435" s="56" t="s">
        <v>392</v>
      </c>
      <c r="AX435" s="56" t="s">
        <v>183</v>
      </c>
      <c r="AY435" s="7" t="s">
        <v>5169</v>
      </c>
      <c r="AZ435" s="10" t="s">
        <v>5170</v>
      </c>
      <c r="BA435" s="7" t="s">
        <v>5171</v>
      </c>
      <c r="BB435" s="17">
        <v>30653</v>
      </c>
      <c r="BC435" s="17" t="s">
        <v>96</v>
      </c>
      <c r="BD435" s="18" t="s">
        <v>5172</v>
      </c>
      <c r="BE435" s="7" t="s">
        <v>118</v>
      </c>
      <c r="BF435" s="7" t="s">
        <v>1526</v>
      </c>
      <c r="BG435" s="7" t="s">
        <v>5173</v>
      </c>
      <c r="BH435" s="7" t="s">
        <v>5174</v>
      </c>
      <c r="BI435" s="19"/>
      <c r="BJ435" s="20" t="s">
        <v>5175</v>
      </c>
      <c r="BK435" s="21" t="s">
        <v>5176</v>
      </c>
      <c r="BL435" s="7" t="s">
        <v>5177</v>
      </c>
      <c r="BM435" s="22" t="s">
        <v>5178</v>
      </c>
      <c r="BN435" s="8" t="s">
        <v>2016</v>
      </c>
      <c r="BO435" s="17">
        <v>33767</v>
      </c>
      <c r="BP435" s="17" t="s">
        <v>96</v>
      </c>
      <c r="BQ435" s="18" t="s">
        <v>5167</v>
      </c>
      <c r="BR435" s="7" t="s">
        <v>216</v>
      </c>
      <c r="BS435" s="7" t="s">
        <v>126</v>
      </c>
      <c r="BT435" s="7" t="s">
        <v>108</v>
      </c>
      <c r="BU435" s="8" t="s">
        <v>108</v>
      </c>
      <c r="BV435" s="23"/>
      <c r="BW435" s="24"/>
      <c r="BX435" s="21" t="s">
        <v>5179</v>
      </c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N435" s="25"/>
      <c r="CO435" s="25"/>
      <c r="CP435" s="25"/>
      <c r="CQ435" s="25"/>
      <c r="CR435" s="25"/>
      <c r="CS435" s="26"/>
    </row>
    <row r="436" spans="1:97" s="27" customFormat="1" ht="27.75" customHeight="1">
      <c r="A436" s="4">
        <v>297</v>
      </c>
      <c r="B436" s="6" t="s">
        <v>4837</v>
      </c>
      <c r="C436" s="6" t="s">
        <v>4837</v>
      </c>
      <c r="D436" s="6" t="s">
        <v>4837</v>
      </c>
      <c r="E436" s="6"/>
      <c r="F436" s="6"/>
      <c r="G436" s="6" t="s">
        <v>6232</v>
      </c>
      <c r="H436" s="5" t="s">
        <v>4839</v>
      </c>
      <c r="I436" s="6" t="s">
        <v>86</v>
      </c>
      <c r="J436" s="7" t="s">
        <v>6233</v>
      </c>
      <c r="K436" s="7" t="s">
        <v>6234</v>
      </c>
      <c r="L436" s="8"/>
      <c r="M436" s="5">
        <v>1880</v>
      </c>
      <c r="N436" s="5">
        <v>3168812324</v>
      </c>
      <c r="O436" s="9" t="s">
        <v>6235</v>
      </c>
      <c r="P436" s="10" t="s">
        <v>6236</v>
      </c>
      <c r="Q436" s="389" t="s">
        <v>6237</v>
      </c>
      <c r="R436" s="8" t="s">
        <v>8915</v>
      </c>
      <c r="S436" s="212" t="s">
        <v>12149</v>
      </c>
      <c r="T436" s="8" t="s">
        <v>6238</v>
      </c>
      <c r="U436" s="11" t="s">
        <v>93</v>
      </c>
      <c r="V436" s="12" t="s">
        <v>713</v>
      </c>
      <c r="W436" s="13">
        <v>42707</v>
      </c>
      <c r="X436" s="5" t="str">
        <f t="shared" ca="1" si="16"/>
        <v>9 Th, 9 Bln</v>
      </c>
      <c r="Y436" s="5"/>
      <c r="Z436" s="14"/>
      <c r="AA436" s="5" t="s">
        <v>96</v>
      </c>
      <c r="AB436" s="5" t="s">
        <v>97</v>
      </c>
      <c r="AC436" s="7" t="s">
        <v>6239</v>
      </c>
      <c r="AD436" s="131" t="s">
        <v>546</v>
      </c>
      <c r="AE436" s="131" t="s">
        <v>207</v>
      </c>
      <c r="AF436" s="7" t="s">
        <v>177</v>
      </c>
      <c r="AG436" s="7" t="s">
        <v>178</v>
      </c>
      <c r="AH436" s="7" t="s">
        <v>178</v>
      </c>
      <c r="AI436" s="7"/>
      <c r="AJ436" s="7" t="s">
        <v>568</v>
      </c>
      <c r="AK436" s="7" t="s">
        <v>104</v>
      </c>
      <c r="AL436" s="7" t="s">
        <v>6240</v>
      </c>
      <c r="AM436" s="15"/>
      <c r="AN436" s="15" t="s">
        <v>6241</v>
      </c>
      <c r="AO436" s="8">
        <v>2</v>
      </c>
      <c r="AP436" s="8">
        <v>1</v>
      </c>
      <c r="AQ436" s="8" t="s">
        <v>127</v>
      </c>
      <c r="AR436" s="8" t="s">
        <v>127</v>
      </c>
      <c r="AS436" s="132" t="s">
        <v>1843</v>
      </c>
      <c r="AT436" s="131" t="s">
        <v>5230</v>
      </c>
      <c r="AU436" s="132" t="s">
        <v>182</v>
      </c>
      <c r="AV436" s="16" t="s">
        <v>112</v>
      </c>
      <c r="AW436" s="56"/>
      <c r="AX436" s="56" t="s">
        <v>183</v>
      </c>
      <c r="AY436" s="7" t="s">
        <v>6242</v>
      </c>
      <c r="AZ436" s="10" t="s">
        <v>6243</v>
      </c>
      <c r="BA436" s="7" t="s">
        <v>552</v>
      </c>
      <c r="BB436" s="17">
        <v>31250</v>
      </c>
      <c r="BC436" s="17" t="s">
        <v>96</v>
      </c>
      <c r="BD436" s="18" t="s">
        <v>6244</v>
      </c>
      <c r="BE436" s="7" t="s">
        <v>118</v>
      </c>
      <c r="BF436" s="7" t="s">
        <v>119</v>
      </c>
      <c r="BG436" s="7" t="s">
        <v>6245</v>
      </c>
      <c r="BH436" s="7" t="s">
        <v>6246</v>
      </c>
      <c r="BI436" s="19" t="s">
        <v>6247</v>
      </c>
      <c r="BJ436" s="20" t="s">
        <v>4465</v>
      </c>
      <c r="BK436" s="21" t="s">
        <v>6248</v>
      </c>
      <c r="BL436" s="7" t="s">
        <v>6249</v>
      </c>
      <c r="BM436" s="22" t="s">
        <v>6250</v>
      </c>
      <c r="BN436" s="8" t="s">
        <v>713</v>
      </c>
      <c r="BO436" s="17">
        <v>31739</v>
      </c>
      <c r="BP436" s="17" t="s">
        <v>96</v>
      </c>
      <c r="BQ436" s="18" t="s">
        <v>6241</v>
      </c>
      <c r="BR436" s="7" t="s">
        <v>118</v>
      </c>
      <c r="BS436" s="7" t="s">
        <v>126</v>
      </c>
      <c r="BT436" s="7" t="s">
        <v>127</v>
      </c>
      <c r="BU436" s="8" t="s">
        <v>127</v>
      </c>
      <c r="BV436" s="23" t="s">
        <v>127</v>
      </c>
      <c r="BW436" s="24" t="s">
        <v>127</v>
      </c>
      <c r="BX436" s="21" t="s">
        <v>6251</v>
      </c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N436" s="25"/>
      <c r="CO436" s="25"/>
      <c r="CP436" s="25"/>
      <c r="CQ436" s="25"/>
      <c r="CR436" s="25"/>
      <c r="CS436" s="26"/>
    </row>
    <row r="437" spans="1:97" s="27" customFormat="1" ht="43.5" customHeight="1">
      <c r="A437" s="4">
        <v>242</v>
      </c>
      <c r="B437" s="6" t="s">
        <v>4837</v>
      </c>
      <c r="C437" s="6" t="s">
        <v>4837</v>
      </c>
      <c r="D437" s="6" t="s">
        <v>4837</v>
      </c>
      <c r="E437" s="6"/>
      <c r="F437" s="6"/>
      <c r="G437" s="6" t="s">
        <v>5201</v>
      </c>
      <c r="H437" s="5" t="s">
        <v>4839</v>
      </c>
      <c r="I437" s="6" t="s">
        <v>86</v>
      </c>
      <c r="J437" s="7" t="s">
        <v>5202</v>
      </c>
      <c r="K437" s="7" t="s">
        <v>5203</v>
      </c>
      <c r="L437" s="8"/>
      <c r="M437" s="5">
        <v>1885</v>
      </c>
      <c r="N437" s="5">
        <v>3168280694</v>
      </c>
      <c r="O437" s="9" t="s">
        <v>5204</v>
      </c>
      <c r="P437" s="10" t="s">
        <v>5205</v>
      </c>
      <c r="Q437" s="389" t="s">
        <v>13425</v>
      </c>
      <c r="R437" s="8" t="s">
        <v>8915</v>
      </c>
      <c r="S437" s="212" t="s">
        <v>12149</v>
      </c>
      <c r="T437" s="8" t="s">
        <v>5206</v>
      </c>
      <c r="U437" s="11" t="s">
        <v>93</v>
      </c>
      <c r="V437" s="12" t="s">
        <v>94</v>
      </c>
      <c r="W437" s="13">
        <v>42409</v>
      </c>
      <c r="X437" s="5" t="str">
        <f t="shared" ca="1" si="16"/>
        <v>10 Th, 7 Bln</v>
      </c>
      <c r="Y437" s="5"/>
      <c r="Z437" s="14"/>
      <c r="AA437" s="5" t="s">
        <v>96</v>
      </c>
      <c r="AB437" s="5" t="s">
        <v>97</v>
      </c>
      <c r="AC437" s="7" t="s">
        <v>5207</v>
      </c>
      <c r="AD437" s="131">
        <v>3</v>
      </c>
      <c r="AE437" s="131">
        <v>12</v>
      </c>
      <c r="AF437" s="7" t="s">
        <v>139</v>
      </c>
      <c r="AG437" s="7" t="s">
        <v>732</v>
      </c>
      <c r="AH437" s="7" t="s">
        <v>141</v>
      </c>
      <c r="AI437" s="7"/>
      <c r="AJ437" s="7" t="s">
        <v>4846</v>
      </c>
      <c r="AK437" s="7" t="s">
        <v>104</v>
      </c>
      <c r="AL437" s="7" t="s">
        <v>5208</v>
      </c>
      <c r="AM437" s="15"/>
      <c r="AN437" s="15" t="s">
        <v>5209</v>
      </c>
      <c r="AO437" s="8">
        <v>3</v>
      </c>
      <c r="AP437" s="8">
        <v>2</v>
      </c>
      <c r="AQ437" s="8">
        <v>0</v>
      </c>
      <c r="AR437" s="8">
        <v>0</v>
      </c>
      <c r="AS437" s="132" t="s">
        <v>5210</v>
      </c>
      <c r="AT437" s="131" t="s">
        <v>5211</v>
      </c>
      <c r="AU437" s="132" t="s">
        <v>149</v>
      </c>
      <c r="AV437" s="16" t="s">
        <v>112</v>
      </c>
      <c r="AW437" s="56" t="s">
        <v>150</v>
      </c>
      <c r="AX437" s="56" t="s">
        <v>427</v>
      </c>
      <c r="AY437" s="7" t="s">
        <v>5212</v>
      </c>
      <c r="AZ437" s="10" t="s">
        <v>5213</v>
      </c>
      <c r="BA437" s="7" t="s">
        <v>3883</v>
      </c>
      <c r="BB437" s="17">
        <v>31302</v>
      </c>
      <c r="BC437" s="17" t="s">
        <v>96</v>
      </c>
      <c r="BD437" s="18" t="s">
        <v>5214</v>
      </c>
      <c r="BE437" s="7" t="s">
        <v>153</v>
      </c>
      <c r="BF437" s="7" t="s">
        <v>5215</v>
      </c>
      <c r="BG437" s="7" t="s">
        <v>5216</v>
      </c>
      <c r="BH437" s="7" t="s">
        <v>263</v>
      </c>
      <c r="BI437" s="19"/>
      <c r="BJ437" s="20" t="s">
        <v>5217</v>
      </c>
      <c r="BK437" s="21" t="s">
        <v>5218</v>
      </c>
      <c r="BL437" s="7" t="s">
        <v>5219</v>
      </c>
      <c r="BM437" s="22" t="s">
        <v>5220</v>
      </c>
      <c r="BN437" s="8" t="s">
        <v>2179</v>
      </c>
      <c r="BO437" s="17">
        <v>31327</v>
      </c>
      <c r="BP437" s="17" t="s">
        <v>96</v>
      </c>
      <c r="BQ437" s="18" t="s">
        <v>5209</v>
      </c>
      <c r="BR437" s="7" t="s">
        <v>118</v>
      </c>
      <c r="BS437" s="7" t="s">
        <v>925</v>
      </c>
      <c r="BT437" s="7" t="s">
        <v>5221</v>
      </c>
      <c r="BU437" s="8" t="s">
        <v>263</v>
      </c>
      <c r="BV437" s="23"/>
      <c r="BW437" s="24" t="s">
        <v>1727</v>
      </c>
      <c r="BX437" s="21" t="s">
        <v>5218</v>
      </c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N437" s="25"/>
      <c r="CO437" s="25"/>
      <c r="CP437" s="25"/>
      <c r="CQ437" s="25"/>
      <c r="CR437" s="25"/>
      <c r="CS437" s="26"/>
    </row>
    <row r="438" spans="1:97" s="27" customFormat="1" ht="23.25" customHeight="1">
      <c r="A438" s="4">
        <v>330</v>
      </c>
      <c r="B438" s="6" t="s">
        <v>4837</v>
      </c>
      <c r="C438" s="6" t="s">
        <v>4837</v>
      </c>
      <c r="D438" s="6" t="s">
        <v>4837</v>
      </c>
      <c r="E438" s="6"/>
      <c r="F438" s="6"/>
      <c r="G438" s="6" t="s">
        <v>6831</v>
      </c>
      <c r="H438" s="5" t="s">
        <v>4839</v>
      </c>
      <c r="I438" s="6" t="s">
        <v>86</v>
      </c>
      <c r="J438" s="7" t="s">
        <v>513</v>
      </c>
      <c r="K438" s="7" t="s">
        <v>4840</v>
      </c>
      <c r="L438" s="8"/>
      <c r="M438" s="5">
        <v>1886</v>
      </c>
      <c r="N438" s="5">
        <v>3160567808</v>
      </c>
      <c r="O438" s="9" t="s">
        <v>6832</v>
      </c>
      <c r="P438" s="10" t="s">
        <v>6833</v>
      </c>
      <c r="Q438" s="389" t="s">
        <v>6834</v>
      </c>
      <c r="R438" s="8" t="s">
        <v>8915</v>
      </c>
      <c r="S438" s="212" t="s">
        <v>12149</v>
      </c>
      <c r="T438" s="8" t="s">
        <v>6835</v>
      </c>
      <c r="U438" s="11" t="s">
        <v>172</v>
      </c>
      <c r="V438" s="12" t="s">
        <v>94</v>
      </c>
      <c r="W438" s="13">
        <v>42457</v>
      </c>
      <c r="X438" s="5" t="str">
        <f t="shared" ca="1" si="16"/>
        <v>10 Th, 5 Bln</v>
      </c>
      <c r="Y438" s="5"/>
      <c r="Z438" s="14"/>
      <c r="AA438" s="5" t="s">
        <v>96</v>
      </c>
      <c r="AB438" s="5" t="s">
        <v>97</v>
      </c>
      <c r="AC438" s="7" t="s">
        <v>6836</v>
      </c>
      <c r="AD438" s="131">
        <v>9</v>
      </c>
      <c r="AE438" s="131">
        <v>4</v>
      </c>
      <c r="AF438" s="7" t="s">
        <v>177</v>
      </c>
      <c r="AG438" s="7" t="s">
        <v>178</v>
      </c>
      <c r="AH438" s="7" t="s">
        <v>141</v>
      </c>
      <c r="AI438" s="7"/>
      <c r="AJ438" s="7" t="s">
        <v>103</v>
      </c>
      <c r="AK438" s="7" t="s">
        <v>104</v>
      </c>
      <c r="AL438" s="7" t="s">
        <v>5208</v>
      </c>
      <c r="AM438" s="15"/>
      <c r="AN438" s="15" t="s">
        <v>6837</v>
      </c>
      <c r="AO438" s="8">
        <v>2</v>
      </c>
      <c r="AP438" s="8">
        <v>1</v>
      </c>
      <c r="AQ438" s="8" t="s">
        <v>127</v>
      </c>
      <c r="AR438" s="8" t="s">
        <v>127</v>
      </c>
      <c r="AS438" s="132" t="s">
        <v>5080</v>
      </c>
      <c r="AT438" s="131" t="s">
        <v>1266</v>
      </c>
      <c r="AU438" s="132" t="s">
        <v>149</v>
      </c>
      <c r="AV438" s="16" t="s">
        <v>112</v>
      </c>
      <c r="AW438" s="56" t="s">
        <v>150</v>
      </c>
      <c r="AX438" s="56" t="s">
        <v>114</v>
      </c>
      <c r="AY438" s="7" t="s">
        <v>6838</v>
      </c>
      <c r="AZ438" s="10" t="s">
        <v>6839</v>
      </c>
      <c r="BA438" s="7" t="s">
        <v>653</v>
      </c>
      <c r="BB438" s="17">
        <v>29078</v>
      </c>
      <c r="BC438" s="17" t="s">
        <v>96</v>
      </c>
      <c r="BD438" s="18" t="s">
        <v>6840</v>
      </c>
      <c r="BE438" s="7" t="s">
        <v>118</v>
      </c>
      <c r="BF438" s="7" t="s">
        <v>327</v>
      </c>
      <c r="BG438" s="7" t="s">
        <v>6841</v>
      </c>
      <c r="BH438" s="7" t="s">
        <v>2417</v>
      </c>
      <c r="BI438" s="19"/>
      <c r="BJ438" s="20"/>
      <c r="BK438" s="21"/>
      <c r="BL438" s="7" t="s">
        <v>6842</v>
      </c>
      <c r="BM438" s="22" t="s">
        <v>6843</v>
      </c>
      <c r="BN438" s="8" t="s">
        <v>653</v>
      </c>
      <c r="BO438" s="17">
        <v>30420</v>
      </c>
      <c r="BP438" s="17" t="s">
        <v>96</v>
      </c>
      <c r="BQ438" s="18" t="s">
        <v>6837</v>
      </c>
      <c r="BR438" s="7" t="s">
        <v>153</v>
      </c>
      <c r="BS438" s="7" t="s">
        <v>154</v>
      </c>
      <c r="BT438" s="7" t="s">
        <v>5457</v>
      </c>
      <c r="BU438" s="8" t="s">
        <v>6844</v>
      </c>
      <c r="BV438" s="23" t="s">
        <v>127</v>
      </c>
      <c r="BW438" s="24"/>
      <c r="BX438" s="21" t="s">
        <v>6845</v>
      </c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N438" s="25"/>
      <c r="CO438" s="25"/>
      <c r="CP438" s="25"/>
      <c r="CQ438" s="25"/>
      <c r="CR438" s="25"/>
      <c r="CS438" s="26"/>
    </row>
    <row r="439" spans="1:97" s="27" customFormat="1" ht="23.25" customHeight="1">
      <c r="A439" s="4">
        <v>299</v>
      </c>
      <c r="B439" s="6" t="s">
        <v>4837</v>
      </c>
      <c r="C439" s="6" t="s">
        <v>4837</v>
      </c>
      <c r="D439" s="6" t="s">
        <v>4837</v>
      </c>
      <c r="E439" s="6"/>
      <c r="F439" s="6"/>
      <c r="G439" s="6" t="s">
        <v>6268</v>
      </c>
      <c r="H439" s="5" t="s">
        <v>4839</v>
      </c>
      <c r="I439" s="6" t="s">
        <v>86</v>
      </c>
      <c r="J439" s="7" t="s">
        <v>6269</v>
      </c>
      <c r="K439" s="7" t="s">
        <v>6270</v>
      </c>
      <c r="L439" s="8"/>
      <c r="M439" s="5">
        <v>1889</v>
      </c>
      <c r="N439" s="5">
        <v>3165304169</v>
      </c>
      <c r="O439" s="9" t="s">
        <v>6271</v>
      </c>
      <c r="P439" s="10" t="s">
        <v>6272</v>
      </c>
      <c r="Q439" s="389" t="s">
        <v>13432</v>
      </c>
      <c r="R439" s="8" t="s">
        <v>8915</v>
      </c>
      <c r="S439" s="212" t="s">
        <v>12149</v>
      </c>
      <c r="T439" s="8" t="s">
        <v>6273</v>
      </c>
      <c r="U439" s="11" t="s">
        <v>172</v>
      </c>
      <c r="V439" s="12" t="s">
        <v>94</v>
      </c>
      <c r="W439" s="13">
        <v>42671</v>
      </c>
      <c r="X439" s="5" t="str">
        <f t="shared" ca="1" si="16"/>
        <v>9 Th, 10 Bln</v>
      </c>
      <c r="Y439" s="5"/>
      <c r="Z439" s="14"/>
      <c r="AA439" s="5" t="s">
        <v>96</v>
      </c>
      <c r="AB439" s="5" t="s">
        <v>97</v>
      </c>
      <c r="AC439" s="7" t="s">
        <v>6274</v>
      </c>
      <c r="AD439" s="131" t="s">
        <v>100</v>
      </c>
      <c r="AE439" s="131">
        <v>11</v>
      </c>
      <c r="AF439" s="7" t="s">
        <v>139</v>
      </c>
      <c r="AG439" s="7" t="s">
        <v>140</v>
      </c>
      <c r="AH439" s="7" t="s">
        <v>141</v>
      </c>
      <c r="AI439" s="7"/>
      <c r="AJ439" s="7" t="s">
        <v>4846</v>
      </c>
      <c r="AK439" s="7" t="s">
        <v>104</v>
      </c>
      <c r="AL439" s="7" t="s">
        <v>4915</v>
      </c>
      <c r="AM439" s="15"/>
      <c r="AN439" s="15" t="s">
        <v>6275</v>
      </c>
      <c r="AO439" s="8">
        <v>2</v>
      </c>
      <c r="AP439" s="8">
        <v>1</v>
      </c>
      <c r="AQ439" s="8" t="s">
        <v>127</v>
      </c>
      <c r="AR439" s="8" t="s">
        <v>127</v>
      </c>
      <c r="AS439" s="132" t="s">
        <v>5519</v>
      </c>
      <c r="AT439" s="131" t="s">
        <v>6276</v>
      </c>
      <c r="AU439" s="132" t="s">
        <v>182</v>
      </c>
      <c r="AV439" s="16" t="s">
        <v>112</v>
      </c>
      <c r="AW439" s="56" t="s">
        <v>150</v>
      </c>
      <c r="AX439" s="56" t="s">
        <v>427</v>
      </c>
      <c r="AY439" s="7" t="s">
        <v>6277</v>
      </c>
      <c r="AZ439" s="10" t="s">
        <v>6278</v>
      </c>
      <c r="BA439" s="7" t="s">
        <v>222</v>
      </c>
      <c r="BB439" s="17">
        <v>27929</v>
      </c>
      <c r="BC439" s="17" t="s">
        <v>96</v>
      </c>
      <c r="BD439" s="18" t="s">
        <v>6279</v>
      </c>
      <c r="BE439" s="7" t="s">
        <v>216</v>
      </c>
      <c r="BF439" s="7" t="s">
        <v>2049</v>
      </c>
      <c r="BG439" s="7" t="s">
        <v>127</v>
      </c>
      <c r="BH439" s="7" t="s">
        <v>127</v>
      </c>
      <c r="BI439" s="19" t="s">
        <v>127</v>
      </c>
      <c r="BJ439" s="20" t="s">
        <v>250</v>
      </c>
      <c r="BK439" s="21" t="s">
        <v>6280</v>
      </c>
      <c r="BL439" s="7" t="s">
        <v>6281</v>
      </c>
      <c r="BM439" s="22" t="s">
        <v>6282</v>
      </c>
      <c r="BN439" s="8" t="s">
        <v>544</v>
      </c>
      <c r="BO439" s="17">
        <v>29580</v>
      </c>
      <c r="BP439" s="17" t="s">
        <v>96</v>
      </c>
      <c r="BQ439" s="18" t="s">
        <v>6275</v>
      </c>
      <c r="BR439" s="7" t="s">
        <v>216</v>
      </c>
      <c r="BS439" s="7" t="s">
        <v>582</v>
      </c>
      <c r="BT439" s="7" t="s">
        <v>127</v>
      </c>
      <c r="BU439" s="8" t="s">
        <v>127</v>
      </c>
      <c r="BV439" s="23" t="s">
        <v>127</v>
      </c>
      <c r="BW439" s="24" t="s">
        <v>127</v>
      </c>
      <c r="BX439" s="21" t="s">
        <v>6283</v>
      </c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N439" s="25"/>
      <c r="CO439" s="25"/>
      <c r="CP439" s="25"/>
      <c r="CQ439" s="25"/>
      <c r="CR439" s="25"/>
      <c r="CS439" s="26"/>
    </row>
    <row r="440" spans="1:97" s="27" customFormat="1" ht="23.25" customHeight="1">
      <c r="A440" s="4">
        <v>270</v>
      </c>
      <c r="B440" s="6" t="s">
        <v>4837</v>
      </c>
      <c r="C440" s="6" t="s">
        <v>4837</v>
      </c>
      <c r="D440" s="6" t="s">
        <v>4837</v>
      </c>
      <c r="E440" s="6"/>
      <c r="F440" s="6"/>
      <c r="G440" s="6" t="s">
        <v>5754</v>
      </c>
      <c r="H440" s="5" t="s">
        <v>4839</v>
      </c>
      <c r="I440" s="6" t="s">
        <v>86</v>
      </c>
      <c r="J440" s="7" t="s">
        <v>166</v>
      </c>
      <c r="K440" s="7" t="s">
        <v>1993</v>
      </c>
      <c r="L440" s="8"/>
      <c r="M440" s="5">
        <v>1890</v>
      </c>
      <c r="N440" s="5">
        <v>3163107764</v>
      </c>
      <c r="O440" s="9" t="s">
        <v>5755</v>
      </c>
      <c r="P440" s="10" t="s">
        <v>5756</v>
      </c>
      <c r="Q440" s="389" t="s">
        <v>5757</v>
      </c>
      <c r="R440" s="8" t="s">
        <v>8915</v>
      </c>
      <c r="S440" s="212" t="s">
        <v>12149</v>
      </c>
      <c r="T440" s="8" t="s">
        <v>2926</v>
      </c>
      <c r="U440" s="11" t="s">
        <v>172</v>
      </c>
      <c r="V440" s="12" t="s">
        <v>94</v>
      </c>
      <c r="W440" s="13">
        <v>42653</v>
      </c>
      <c r="X440" s="5" t="str">
        <f t="shared" ca="1" si="16"/>
        <v>9 Th, 11 Bln</v>
      </c>
      <c r="Y440" s="5"/>
      <c r="Z440" s="14"/>
      <c r="AA440" s="5" t="s">
        <v>96</v>
      </c>
      <c r="AB440" s="5" t="s">
        <v>97</v>
      </c>
      <c r="AC440" s="7" t="s">
        <v>5758</v>
      </c>
      <c r="AD440" s="131" t="s">
        <v>127</v>
      </c>
      <c r="AE440" s="131" t="s">
        <v>127</v>
      </c>
      <c r="AF440" s="7" t="s">
        <v>5702</v>
      </c>
      <c r="AG440" s="7" t="s">
        <v>241</v>
      </c>
      <c r="AH440" s="7" t="s">
        <v>241</v>
      </c>
      <c r="AI440" s="7"/>
      <c r="AJ440" s="7" t="s">
        <v>103</v>
      </c>
      <c r="AK440" s="7" t="s">
        <v>104</v>
      </c>
      <c r="AL440" s="7" t="s">
        <v>5386</v>
      </c>
      <c r="AM440" s="15"/>
      <c r="AN440" s="15" t="s">
        <v>5759</v>
      </c>
      <c r="AO440" s="8">
        <v>3</v>
      </c>
      <c r="AP440" s="8">
        <v>2</v>
      </c>
      <c r="AQ440" s="8" t="s">
        <v>345</v>
      </c>
      <c r="AR440" s="8" t="s">
        <v>127</v>
      </c>
      <c r="AS440" s="132" t="s">
        <v>873</v>
      </c>
      <c r="AT440" s="131" t="s">
        <v>5190</v>
      </c>
      <c r="AU440" s="132" t="s">
        <v>149</v>
      </c>
      <c r="AV440" s="16" t="s">
        <v>112</v>
      </c>
      <c r="AW440" s="56" t="s">
        <v>150</v>
      </c>
      <c r="AX440" s="56" t="s">
        <v>114</v>
      </c>
      <c r="AY440" s="7" t="s">
        <v>5760</v>
      </c>
      <c r="AZ440" s="10" t="s">
        <v>5761</v>
      </c>
      <c r="BA440" s="7" t="s">
        <v>2524</v>
      </c>
      <c r="BB440" s="17">
        <v>29162</v>
      </c>
      <c r="BC440" s="17" t="s">
        <v>96</v>
      </c>
      <c r="BD440" s="18" t="s">
        <v>5762</v>
      </c>
      <c r="BE440" s="7" t="s">
        <v>118</v>
      </c>
      <c r="BF440" s="7" t="s">
        <v>276</v>
      </c>
      <c r="BG440" s="7" t="s">
        <v>5763</v>
      </c>
      <c r="BH440" s="7" t="s">
        <v>5764</v>
      </c>
      <c r="BI440" s="19" t="s">
        <v>127</v>
      </c>
      <c r="BJ440" s="20" t="s">
        <v>5765</v>
      </c>
      <c r="BK440" s="21" t="s">
        <v>127</v>
      </c>
      <c r="BL440" s="7" t="s">
        <v>5766</v>
      </c>
      <c r="BM440" s="22" t="s">
        <v>5767</v>
      </c>
      <c r="BN440" s="8" t="s">
        <v>94</v>
      </c>
      <c r="BO440" s="17">
        <v>30494</v>
      </c>
      <c r="BP440" s="17" t="s">
        <v>96</v>
      </c>
      <c r="BQ440" s="18" t="s">
        <v>5759</v>
      </c>
      <c r="BR440" s="7" t="s">
        <v>118</v>
      </c>
      <c r="BS440" s="7" t="s">
        <v>119</v>
      </c>
      <c r="BT440" s="7" t="s">
        <v>4158</v>
      </c>
      <c r="BU440" s="8" t="s">
        <v>5768</v>
      </c>
      <c r="BV440" s="23" t="s">
        <v>127</v>
      </c>
      <c r="BW440" s="24" t="s">
        <v>5765</v>
      </c>
      <c r="BX440" s="21" t="s">
        <v>5769</v>
      </c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N440" s="25"/>
      <c r="CO440" s="25"/>
      <c r="CP440" s="25"/>
      <c r="CQ440" s="25"/>
      <c r="CR440" s="25"/>
      <c r="CS440" s="26"/>
    </row>
    <row r="441" spans="1:97" s="27" customFormat="1" ht="23.25" customHeight="1">
      <c r="A441" s="4">
        <v>331</v>
      </c>
      <c r="B441" s="6" t="s">
        <v>4837</v>
      </c>
      <c r="C441" s="6" t="s">
        <v>4837</v>
      </c>
      <c r="D441" s="6" t="s">
        <v>4837</v>
      </c>
      <c r="E441" s="6"/>
      <c r="F441" s="6"/>
      <c r="G441" s="6" t="s">
        <v>6846</v>
      </c>
      <c r="H441" s="5" t="s">
        <v>4839</v>
      </c>
      <c r="I441" s="6" t="s">
        <v>86</v>
      </c>
      <c r="J441" s="7" t="s">
        <v>166</v>
      </c>
      <c r="K441" s="7" t="s">
        <v>1993</v>
      </c>
      <c r="L441" s="8"/>
      <c r="M441" s="5">
        <v>1892</v>
      </c>
      <c r="N441" s="5" t="s">
        <v>6847</v>
      </c>
      <c r="O441" s="9" t="s">
        <v>6848</v>
      </c>
      <c r="P441" s="10" t="s">
        <v>6849</v>
      </c>
      <c r="Q441" s="389" t="s">
        <v>6850</v>
      </c>
      <c r="R441" s="8" t="s">
        <v>8915</v>
      </c>
      <c r="S441" s="212" t="s">
        <v>12149</v>
      </c>
      <c r="T441" s="8" t="s">
        <v>6851</v>
      </c>
      <c r="U441" s="11" t="s">
        <v>172</v>
      </c>
      <c r="V441" s="12" t="s">
        <v>94</v>
      </c>
      <c r="W441" s="13">
        <v>42676</v>
      </c>
      <c r="X441" s="5" t="str">
        <f t="shared" ca="1" si="16"/>
        <v>9 Th, 10 Bln</v>
      </c>
      <c r="Y441" s="5"/>
      <c r="Z441" s="14"/>
      <c r="AA441" s="5" t="s">
        <v>96</v>
      </c>
      <c r="AB441" s="5" t="s">
        <v>97</v>
      </c>
      <c r="AC441" s="7" t="s">
        <v>6852</v>
      </c>
      <c r="AD441" s="131" t="s">
        <v>127</v>
      </c>
      <c r="AE441" s="131" t="s">
        <v>127</v>
      </c>
      <c r="AF441" s="7" t="s">
        <v>319</v>
      </c>
      <c r="AG441" s="7" t="s">
        <v>140</v>
      </c>
      <c r="AH441" s="7" t="s">
        <v>141</v>
      </c>
      <c r="AI441" s="7"/>
      <c r="AJ441" s="7" t="s">
        <v>1374</v>
      </c>
      <c r="AK441" s="7" t="s">
        <v>104</v>
      </c>
      <c r="AL441" s="7" t="s">
        <v>6853</v>
      </c>
      <c r="AM441" s="15"/>
      <c r="AN441" s="15" t="s">
        <v>3194</v>
      </c>
      <c r="AO441" s="8">
        <v>2</v>
      </c>
      <c r="AP441" s="8">
        <v>2</v>
      </c>
      <c r="AQ441" s="8">
        <v>0</v>
      </c>
      <c r="AR441" s="8">
        <v>0</v>
      </c>
      <c r="AS441" s="132" t="s">
        <v>1843</v>
      </c>
      <c r="AT441" s="131" t="s">
        <v>5307</v>
      </c>
      <c r="AU441" s="132" t="s">
        <v>111</v>
      </c>
      <c r="AV441" s="16" t="s">
        <v>112</v>
      </c>
      <c r="AW441" s="56" t="s">
        <v>150</v>
      </c>
      <c r="AX441" s="56" t="s">
        <v>114</v>
      </c>
      <c r="AY441" s="7" t="s">
        <v>3195</v>
      </c>
      <c r="AZ441" s="10" t="s">
        <v>3196</v>
      </c>
      <c r="BA441" s="7" t="s">
        <v>94</v>
      </c>
      <c r="BB441" s="17">
        <v>32905</v>
      </c>
      <c r="BC441" s="17" t="s">
        <v>96</v>
      </c>
      <c r="BD441" s="18" t="s">
        <v>3197</v>
      </c>
      <c r="BE441" s="7" t="s">
        <v>216</v>
      </c>
      <c r="BF441" s="7" t="s">
        <v>5150</v>
      </c>
      <c r="BG441" s="7" t="s">
        <v>6854</v>
      </c>
      <c r="BH441" s="7" t="s">
        <v>6855</v>
      </c>
      <c r="BI441" s="19"/>
      <c r="BJ441" s="20">
        <v>4000000</v>
      </c>
      <c r="BK441" s="21" t="s">
        <v>6856</v>
      </c>
      <c r="BL441" s="7" t="s">
        <v>3201</v>
      </c>
      <c r="BM441" s="22" t="s">
        <v>3202</v>
      </c>
      <c r="BN441" s="8" t="s">
        <v>1372</v>
      </c>
      <c r="BO441" s="17">
        <v>32775</v>
      </c>
      <c r="BP441" s="17" t="s">
        <v>96</v>
      </c>
      <c r="BQ441" s="18" t="s">
        <v>3194</v>
      </c>
      <c r="BR441" s="7" t="s">
        <v>118</v>
      </c>
      <c r="BS441" s="7" t="s">
        <v>276</v>
      </c>
      <c r="BT441" s="7" t="s">
        <v>6857</v>
      </c>
      <c r="BU441" s="8" t="s">
        <v>147</v>
      </c>
      <c r="BV441" s="23"/>
      <c r="BW441" s="24">
        <v>4000000</v>
      </c>
      <c r="BX441" s="21" t="s">
        <v>6858</v>
      </c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N441" s="25"/>
      <c r="CO441" s="25"/>
      <c r="CP441" s="25"/>
      <c r="CQ441" s="25"/>
      <c r="CR441" s="25"/>
      <c r="CS441" s="26"/>
    </row>
    <row r="442" spans="1:97" s="27" customFormat="1" ht="29.25" customHeight="1">
      <c r="A442" s="4">
        <v>332</v>
      </c>
      <c r="B442" s="6" t="s">
        <v>4837</v>
      </c>
      <c r="C442" s="6" t="s">
        <v>4837</v>
      </c>
      <c r="D442" s="6" t="s">
        <v>4837</v>
      </c>
      <c r="E442" s="6"/>
      <c r="F442" s="6"/>
      <c r="G442" s="6" t="s">
        <v>6859</v>
      </c>
      <c r="H442" s="5" t="s">
        <v>4839</v>
      </c>
      <c r="I442" s="6" t="s">
        <v>86</v>
      </c>
      <c r="J442" s="7" t="s">
        <v>166</v>
      </c>
      <c r="K442" s="7" t="s">
        <v>1993</v>
      </c>
      <c r="L442" s="8"/>
      <c r="M442" s="5">
        <v>1894</v>
      </c>
      <c r="N442" s="5">
        <v>3163357635</v>
      </c>
      <c r="O442" s="9" t="s">
        <v>6860</v>
      </c>
      <c r="P442" s="10" t="s">
        <v>6861</v>
      </c>
      <c r="Q442" s="389" t="s">
        <v>6862</v>
      </c>
      <c r="R442" s="8" t="s">
        <v>8915</v>
      </c>
      <c r="S442" s="212" t="s">
        <v>12149</v>
      </c>
      <c r="T442" s="8" t="s">
        <v>6863</v>
      </c>
      <c r="U442" s="11" t="s">
        <v>172</v>
      </c>
      <c r="V442" s="12" t="s">
        <v>94</v>
      </c>
      <c r="W442" s="13">
        <v>42676</v>
      </c>
      <c r="X442" s="5" t="str">
        <f t="shared" ca="1" si="16"/>
        <v>9 Th, 10 Bln</v>
      </c>
      <c r="Y442" s="5"/>
      <c r="Z442" s="14"/>
      <c r="AA442" s="5" t="s">
        <v>96</v>
      </c>
      <c r="AB442" s="5" t="s">
        <v>97</v>
      </c>
      <c r="AC442" s="7" t="s">
        <v>6864</v>
      </c>
      <c r="AD442" s="131" t="s">
        <v>99</v>
      </c>
      <c r="AE442" s="131" t="s">
        <v>137</v>
      </c>
      <c r="AF442" s="7" t="s">
        <v>1070</v>
      </c>
      <c r="AG442" s="7" t="s">
        <v>994</v>
      </c>
      <c r="AH442" s="7" t="s">
        <v>141</v>
      </c>
      <c r="AI442" s="7"/>
      <c r="AJ442" s="7" t="s">
        <v>2024</v>
      </c>
      <c r="AK442" s="7" t="s">
        <v>104</v>
      </c>
      <c r="AL442" s="7" t="s">
        <v>6865</v>
      </c>
      <c r="AM442" s="15" t="s">
        <v>6866</v>
      </c>
      <c r="AN442" s="15" t="s">
        <v>6867</v>
      </c>
      <c r="AO442" s="8">
        <v>1</v>
      </c>
      <c r="AP442" s="8" t="s">
        <v>127</v>
      </c>
      <c r="AQ442" s="8" t="s">
        <v>127</v>
      </c>
      <c r="AR442" s="8" t="s">
        <v>127</v>
      </c>
      <c r="AS442" s="132" t="s">
        <v>873</v>
      </c>
      <c r="AT442" s="131" t="s">
        <v>1266</v>
      </c>
      <c r="AU442" s="132" t="s">
        <v>182</v>
      </c>
      <c r="AV442" s="16" t="s">
        <v>112</v>
      </c>
      <c r="AW442" s="56" t="s">
        <v>344</v>
      </c>
      <c r="AX442" s="56" t="s">
        <v>213</v>
      </c>
      <c r="AY442" s="7" t="s">
        <v>6868</v>
      </c>
      <c r="AZ442" s="10" t="s">
        <v>6869</v>
      </c>
      <c r="BA442" s="7" t="s">
        <v>1031</v>
      </c>
      <c r="BB442" s="17">
        <v>32038</v>
      </c>
      <c r="BC442" s="17" t="s">
        <v>96</v>
      </c>
      <c r="BD442" s="18" t="s">
        <v>6870</v>
      </c>
      <c r="BE442" s="7" t="s">
        <v>118</v>
      </c>
      <c r="BF442" s="7" t="s">
        <v>6871</v>
      </c>
      <c r="BG442" s="7" t="s">
        <v>6872</v>
      </c>
      <c r="BH442" s="7" t="s">
        <v>6873</v>
      </c>
      <c r="BI442" s="19" t="s">
        <v>6874</v>
      </c>
      <c r="BJ442" s="20" t="s">
        <v>250</v>
      </c>
      <c r="BK442" s="21" t="s">
        <v>6875</v>
      </c>
      <c r="BL442" s="7" t="s">
        <v>6876</v>
      </c>
      <c r="BM442" s="22" t="s">
        <v>6877</v>
      </c>
      <c r="BN442" s="8" t="s">
        <v>603</v>
      </c>
      <c r="BO442" s="17">
        <v>32947</v>
      </c>
      <c r="BP442" s="17" t="s">
        <v>96</v>
      </c>
      <c r="BQ442" s="18" t="s">
        <v>6866</v>
      </c>
      <c r="BR442" s="7" t="s">
        <v>153</v>
      </c>
      <c r="BS442" s="7" t="s">
        <v>154</v>
      </c>
      <c r="BT442" s="7" t="s">
        <v>155</v>
      </c>
      <c r="BU442" s="8" t="s">
        <v>6878</v>
      </c>
      <c r="BV442" s="23" t="s">
        <v>6879</v>
      </c>
      <c r="BW442" s="24" t="s">
        <v>1296</v>
      </c>
      <c r="BX442" s="21" t="s">
        <v>6880</v>
      </c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N442" s="25"/>
      <c r="CO442" s="25"/>
      <c r="CP442" s="25"/>
      <c r="CQ442" s="25"/>
      <c r="CR442" s="25"/>
      <c r="CS442" s="26"/>
    </row>
    <row r="443" spans="1:97" s="27" customFormat="1" ht="23.25" customHeight="1">
      <c r="A443" s="4">
        <v>274</v>
      </c>
      <c r="B443" s="6" t="s">
        <v>4837</v>
      </c>
      <c r="C443" s="6" t="s">
        <v>4837</v>
      </c>
      <c r="D443" s="6" t="s">
        <v>4837</v>
      </c>
      <c r="E443" s="6"/>
      <c r="F443" s="6"/>
      <c r="G443" s="6" t="s">
        <v>5803</v>
      </c>
      <c r="H443" s="5" t="s">
        <v>4839</v>
      </c>
      <c r="I443" s="6" t="s">
        <v>86</v>
      </c>
      <c r="J443" s="7" t="s">
        <v>513</v>
      </c>
      <c r="K443" s="7" t="s">
        <v>5804</v>
      </c>
      <c r="L443" s="8"/>
      <c r="M443" s="5">
        <v>1907</v>
      </c>
      <c r="N443" s="5">
        <v>3174316208</v>
      </c>
      <c r="O443" s="9" t="s">
        <v>5805</v>
      </c>
      <c r="P443" s="10" t="s">
        <v>5806</v>
      </c>
      <c r="Q443" s="389" t="s">
        <v>5807</v>
      </c>
      <c r="R443" s="8" t="s">
        <v>8915</v>
      </c>
      <c r="S443" s="212" t="s">
        <v>12149</v>
      </c>
      <c r="T443" s="8" t="s">
        <v>5808</v>
      </c>
      <c r="U443" s="11" t="s">
        <v>172</v>
      </c>
      <c r="V443" s="12" t="s">
        <v>94</v>
      </c>
      <c r="W443" s="13">
        <v>42846</v>
      </c>
      <c r="X443" s="5" t="str">
        <f t="shared" ca="1" si="16"/>
        <v>9 Th, 4 Bln</v>
      </c>
      <c r="Y443" s="5"/>
      <c r="Z443" s="14"/>
      <c r="AA443" s="5" t="s">
        <v>96</v>
      </c>
      <c r="AB443" s="5" t="s">
        <v>97</v>
      </c>
      <c r="AC443" s="7" t="s">
        <v>5809</v>
      </c>
      <c r="AD443" s="131" t="s">
        <v>265</v>
      </c>
      <c r="AE443" s="131" t="s">
        <v>239</v>
      </c>
      <c r="AF443" s="7" t="s">
        <v>942</v>
      </c>
      <c r="AG443" s="7" t="s">
        <v>178</v>
      </c>
      <c r="AH443" s="7" t="s">
        <v>178</v>
      </c>
      <c r="AI443" s="7"/>
      <c r="AJ443" s="7" t="s">
        <v>103</v>
      </c>
      <c r="AK443" s="7" t="s">
        <v>179</v>
      </c>
      <c r="AL443" s="7" t="s">
        <v>4847</v>
      </c>
      <c r="AM443" s="15"/>
      <c r="AN443" s="15" t="s">
        <v>5810</v>
      </c>
      <c r="AO443" s="8">
        <v>2</v>
      </c>
      <c r="AP443" s="8">
        <v>1</v>
      </c>
      <c r="AQ443" s="8"/>
      <c r="AR443" s="8"/>
      <c r="AS443" s="132" t="s">
        <v>2137</v>
      </c>
      <c r="AT443" s="131" t="s">
        <v>5811</v>
      </c>
      <c r="AU443" s="132" t="s">
        <v>182</v>
      </c>
      <c r="AV443" s="16" t="s">
        <v>112</v>
      </c>
      <c r="AW443" s="56" t="s">
        <v>113</v>
      </c>
      <c r="AX443" s="56" t="s">
        <v>183</v>
      </c>
      <c r="AY443" s="7" t="s">
        <v>5812</v>
      </c>
      <c r="AZ443" s="10" t="s">
        <v>5813</v>
      </c>
      <c r="BA443" s="7" t="s">
        <v>502</v>
      </c>
      <c r="BB443" s="17">
        <v>31827</v>
      </c>
      <c r="BC443" s="17" t="s">
        <v>96</v>
      </c>
      <c r="BD443" s="18" t="s">
        <v>5814</v>
      </c>
      <c r="BE443" s="7" t="s">
        <v>216</v>
      </c>
      <c r="BF443" s="7" t="s">
        <v>596</v>
      </c>
      <c r="BG443" s="7" t="s">
        <v>3175</v>
      </c>
      <c r="BH443" s="7" t="s">
        <v>5815</v>
      </c>
      <c r="BI443" s="19" t="s">
        <v>5816</v>
      </c>
      <c r="BJ443" s="20" t="s">
        <v>5817</v>
      </c>
      <c r="BK443" s="21" t="s">
        <v>5818</v>
      </c>
      <c r="BL443" s="7" t="s">
        <v>5819</v>
      </c>
      <c r="BM443" s="22" t="s">
        <v>5820</v>
      </c>
      <c r="BN443" s="8" t="s">
        <v>94</v>
      </c>
      <c r="BO443" s="17">
        <v>32063</v>
      </c>
      <c r="BP443" s="17" t="s">
        <v>96</v>
      </c>
      <c r="BQ443" s="18" t="s">
        <v>5810</v>
      </c>
      <c r="BR443" s="7" t="s">
        <v>118</v>
      </c>
      <c r="BS443" s="7" t="s">
        <v>5821</v>
      </c>
      <c r="BT443" s="7" t="s">
        <v>5822</v>
      </c>
      <c r="BU443" s="8" t="s">
        <v>5823</v>
      </c>
      <c r="BV443" s="23" t="s">
        <v>5824</v>
      </c>
      <c r="BW443" s="24" t="s">
        <v>5825</v>
      </c>
      <c r="BX443" s="21" t="s">
        <v>5826</v>
      </c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N443" s="25"/>
      <c r="CO443" s="25"/>
      <c r="CP443" s="25"/>
      <c r="CQ443" s="25"/>
      <c r="CR443" s="25"/>
      <c r="CS443" s="26"/>
    </row>
    <row r="444" spans="1:97" s="119" customFormat="1" ht="23.25" customHeight="1">
      <c r="A444" s="4">
        <v>340</v>
      </c>
      <c r="B444" s="6" t="s">
        <v>4837</v>
      </c>
      <c r="C444" s="6" t="s">
        <v>4837</v>
      </c>
      <c r="D444" s="6" t="s">
        <v>4837</v>
      </c>
      <c r="E444" s="6"/>
      <c r="F444" s="6"/>
      <c r="G444" s="6" t="s">
        <v>7017</v>
      </c>
      <c r="H444" s="5" t="s">
        <v>4839</v>
      </c>
      <c r="I444" s="6" t="s">
        <v>86</v>
      </c>
      <c r="J444" s="7" t="s">
        <v>166</v>
      </c>
      <c r="K444" s="7" t="s">
        <v>374</v>
      </c>
      <c r="L444" s="8"/>
      <c r="M444" s="5">
        <v>1917</v>
      </c>
      <c r="N444" s="5">
        <v>3176252359</v>
      </c>
      <c r="O444" s="9" t="s">
        <v>5299</v>
      </c>
      <c r="P444" s="10" t="s">
        <v>7018</v>
      </c>
      <c r="Q444" s="389" t="s">
        <v>7019</v>
      </c>
      <c r="R444" s="8" t="s">
        <v>8915</v>
      </c>
      <c r="S444" s="212" t="s">
        <v>12149</v>
      </c>
      <c r="T444" s="8" t="s">
        <v>7020</v>
      </c>
      <c r="U444" s="11" t="s">
        <v>172</v>
      </c>
      <c r="V444" s="12" t="s">
        <v>94</v>
      </c>
      <c r="W444" s="13">
        <v>42869</v>
      </c>
      <c r="X444" s="5" t="str">
        <f ca="1">""&amp;DATEDIF(W444,TODAY(),"y")&amp;" Th, "&amp;DATEDIF(W444,TODAY(),"ym")&amp;" Bln"</f>
        <v>9 Th, 4 Bln</v>
      </c>
      <c r="Y444" s="5"/>
      <c r="Z444" s="14"/>
      <c r="AA444" s="5" t="s">
        <v>96</v>
      </c>
      <c r="AB444" s="5" t="s">
        <v>97</v>
      </c>
      <c r="AC444" s="7" t="s">
        <v>7021</v>
      </c>
      <c r="AD444" s="131" t="s">
        <v>1281</v>
      </c>
      <c r="AE444" s="131" t="s">
        <v>358</v>
      </c>
      <c r="AF444" s="7" t="s">
        <v>177</v>
      </c>
      <c r="AG444" s="7" t="s">
        <v>178</v>
      </c>
      <c r="AH444" s="7" t="s">
        <v>178</v>
      </c>
      <c r="AI444" s="7"/>
      <c r="AJ444" s="7" t="s">
        <v>103</v>
      </c>
      <c r="AK444" s="7" t="s">
        <v>179</v>
      </c>
      <c r="AL444" s="7" t="s">
        <v>5304</v>
      </c>
      <c r="AM444" s="15"/>
      <c r="AN444" s="15" t="s">
        <v>5305</v>
      </c>
      <c r="AO444" s="8">
        <v>1</v>
      </c>
      <c r="AP444" s="8">
        <v>2</v>
      </c>
      <c r="AQ444" s="8"/>
      <c r="AR444" s="8"/>
      <c r="AS444" s="132" t="s">
        <v>7022</v>
      </c>
      <c r="AT444" s="131" t="s">
        <v>5230</v>
      </c>
      <c r="AU444" s="132" t="s">
        <v>182</v>
      </c>
      <c r="AV444" s="16" t="s">
        <v>112</v>
      </c>
      <c r="AW444" s="56" t="s">
        <v>643</v>
      </c>
      <c r="AX444" s="56" t="s">
        <v>114</v>
      </c>
      <c r="AY444" s="7" t="s">
        <v>5308</v>
      </c>
      <c r="AZ444" s="10" t="s">
        <v>5309</v>
      </c>
      <c r="BA444" s="7" t="s">
        <v>222</v>
      </c>
      <c r="BB444" s="17">
        <v>31962</v>
      </c>
      <c r="BC444" s="17" t="s">
        <v>96</v>
      </c>
      <c r="BD444" s="18" t="s">
        <v>5305</v>
      </c>
      <c r="BE444" s="7" t="s">
        <v>153</v>
      </c>
      <c r="BF444" s="7" t="s">
        <v>247</v>
      </c>
      <c r="BG444" s="7" t="s">
        <v>127</v>
      </c>
      <c r="BH444" s="7" t="s">
        <v>127</v>
      </c>
      <c r="BI444" s="19" t="s">
        <v>127</v>
      </c>
      <c r="BJ444" s="20" t="s">
        <v>1312</v>
      </c>
      <c r="BK444" s="21" t="s">
        <v>5310</v>
      </c>
      <c r="BL444" s="7" t="s">
        <v>5311</v>
      </c>
      <c r="BM444" s="22" t="s">
        <v>5312</v>
      </c>
      <c r="BN444" s="8" t="s">
        <v>94</v>
      </c>
      <c r="BO444" s="17">
        <v>31180</v>
      </c>
      <c r="BP444" s="17" t="s">
        <v>96</v>
      </c>
      <c r="BQ444" s="18" t="s">
        <v>5313</v>
      </c>
      <c r="BR444" s="7" t="s">
        <v>153</v>
      </c>
      <c r="BS444" s="7" t="s">
        <v>126</v>
      </c>
      <c r="BT444" s="7" t="s">
        <v>127</v>
      </c>
      <c r="BU444" s="8" t="s">
        <v>127</v>
      </c>
      <c r="BV444" s="23" t="s">
        <v>127</v>
      </c>
      <c r="BW444" s="24" t="s">
        <v>127</v>
      </c>
      <c r="BX444" s="21" t="s">
        <v>5314</v>
      </c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N444" s="117"/>
      <c r="CO444" s="117"/>
      <c r="CP444" s="117"/>
      <c r="CQ444" s="117"/>
      <c r="CR444" s="117"/>
      <c r="CS444" s="118"/>
    </row>
    <row r="445" spans="1:97" s="87" customFormat="1" ht="26.25" customHeight="1">
      <c r="A445" s="175">
        <v>341</v>
      </c>
      <c r="B445" s="61"/>
      <c r="C445" s="61"/>
      <c r="D445" s="61"/>
      <c r="E445" s="61"/>
      <c r="F445" s="61"/>
      <c r="G445" s="61"/>
      <c r="H445" s="62" t="s">
        <v>7023</v>
      </c>
      <c r="I445" s="61" t="s">
        <v>4774</v>
      </c>
      <c r="J445" s="63" t="s">
        <v>4818</v>
      </c>
      <c r="K445" s="63" t="s">
        <v>4819</v>
      </c>
      <c r="L445" s="64"/>
      <c r="M445" s="62">
        <v>2211</v>
      </c>
      <c r="N445" s="62">
        <v>3171482512</v>
      </c>
      <c r="O445" s="65" t="s">
        <v>7024</v>
      </c>
      <c r="P445" s="66" t="s">
        <v>7025</v>
      </c>
      <c r="Q445" s="391" t="s">
        <v>4820</v>
      </c>
      <c r="R445" s="8" t="s">
        <v>8915</v>
      </c>
      <c r="S445" s="212" t="s">
        <v>12149</v>
      </c>
      <c r="T445" s="64" t="s">
        <v>4821</v>
      </c>
      <c r="U445" s="67" t="s">
        <v>93</v>
      </c>
      <c r="V445" s="68" t="s">
        <v>94</v>
      </c>
      <c r="W445" s="69">
        <v>42838</v>
      </c>
      <c r="X445" s="62" t="s">
        <v>11404</v>
      </c>
      <c r="Y445" s="62" t="s">
        <v>95</v>
      </c>
      <c r="Z445" s="14"/>
      <c r="AA445" s="62" t="s">
        <v>96</v>
      </c>
      <c r="AB445" s="62" t="s">
        <v>97</v>
      </c>
      <c r="AC445" s="63" t="s">
        <v>4822</v>
      </c>
      <c r="AD445" s="133">
        <v>1</v>
      </c>
      <c r="AE445" s="133">
        <v>1</v>
      </c>
      <c r="AF445" s="63" t="s">
        <v>942</v>
      </c>
      <c r="AG445" s="63" t="s">
        <v>178</v>
      </c>
      <c r="AH445" s="63" t="s">
        <v>178</v>
      </c>
      <c r="AI445" s="63"/>
      <c r="AJ445" s="63" t="s">
        <v>103</v>
      </c>
      <c r="AK445" s="63"/>
      <c r="AL445" s="63" t="s">
        <v>688</v>
      </c>
      <c r="AM445" s="71" t="s">
        <v>4835</v>
      </c>
      <c r="AN445" s="71" t="s">
        <v>4835</v>
      </c>
      <c r="AO445" s="64">
        <v>3</v>
      </c>
      <c r="AP445" s="64">
        <v>2</v>
      </c>
      <c r="AQ445" s="64"/>
      <c r="AR445" s="64"/>
      <c r="AS445" s="134">
        <v>18</v>
      </c>
      <c r="AT445" s="133">
        <v>118</v>
      </c>
      <c r="AU445" s="134"/>
      <c r="AV445" s="73"/>
      <c r="AW445" s="135" t="s">
        <v>113</v>
      </c>
      <c r="AX445" s="135" t="s">
        <v>114</v>
      </c>
      <c r="AY445" s="63" t="s">
        <v>4823</v>
      </c>
      <c r="AZ445" s="66" t="s">
        <v>7026</v>
      </c>
      <c r="BA445" s="63" t="s">
        <v>511</v>
      </c>
      <c r="BB445" s="75" t="s">
        <v>7027</v>
      </c>
      <c r="BC445" s="75" t="s">
        <v>96</v>
      </c>
      <c r="BD445" s="76" t="s">
        <v>7028</v>
      </c>
      <c r="BE445" s="63" t="s">
        <v>4824</v>
      </c>
      <c r="BF445" s="63" t="s">
        <v>247</v>
      </c>
      <c r="BG445" s="63"/>
      <c r="BH445" s="63"/>
      <c r="BI445" s="78"/>
      <c r="BJ445" s="96">
        <v>10000000</v>
      </c>
      <c r="BK445" s="83" t="s">
        <v>4825</v>
      </c>
      <c r="BL445" s="63" t="s">
        <v>4826</v>
      </c>
      <c r="BM445" s="97" t="s">
        <v>7029</v>
      </c>
      <c r="BN445" s="64" t="s">
        <v>94</v>
      </c>
      <c r="BO445" s="75">
        <v>30572</v>
      </c>
      <c r="BP445" s="75" t="s">
        <v>96</v>
      </c>
      <c r="BQ445" s="76" t="s">
        <v>4835</v>
      </c>
      <c r="BR445" s="63" t="s">
        <v>2193</v>
      </c>
      <c r="BS445" s="63" t="s">
        <v>582</v>
      </c>
      <c r="BT445" s="63"/>
      <c r="BU445" s="64"/>
      <c r="BV445" s="98"/>
      <c r="BW445" s="79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215"/>
      <c r="CN445" s="85"/>
      <c r="CO445" s="85"/>
      <c r="CP445" s="85"/>
      <c r="CQ445" s="85"/>
      <c r="CR445" s="85"/>
      <c r="CS445" s="86"/>
    </row>
    <row r="446" spans="1:97" s="27" customFormat="1" ht="23.25" customHeight="1">
      <c r="A446" s="4">
        <v>281</v>
      </c>
      <c r="B446" s="6" t="s">
        <v>4837</v>
      </c>
      <c r="C446" s="6" t="s">
        <v>4837</v>
      </c>
      <c r="D446" s="6" t="s">
        <v>4837</v>
      </c>
      <c r="E446" s="6"/>
      <c r="F446" s="6"/>
      <c r="G446" s="6" t="s">
        <v>5952</v>
      </c>
      <c r="H446" s="5" t="s">
        <v>4839</v>
      </c>
      <c r="I446" s="6" t="s">
        <v>86</v>
      </c>
      <c r="J446" s="7" t="s">
        <v>5953</v>
      </c>
      <c r="K446" s="7" t="s">
        <v>5954</v>
      </c>
      <c r="L446" s="8"/>
      <c r="M446" s="5">
        <v>1923</v>
      </c>
      <c r="N446" s="5">
        <v>3174079990</v>
      </c>
      <c r="O446" s="9" t="s">
        <v>5955</v>
      </c>
      <c r="P446" s="10" t="s">
        <v>5956</v>
      </c>
      <c r="Q446" s="389" t="s">
        <v>5957</v>
      </c>
      <c r="R446" s="8" t="s">
        <v>8915</v>
      </c>
      <c r="S446" s="212" t="s">
        <v>12149</v>
      </c>
      <c r="T446" s="8" t="s">
        <v>4549</v>
      </c>
      <c r="U446" s="11" t="s">
        <v>93</v>
      </c>
      <c r="V446" s="12" t="s">
        <v>94</v>
      </c>
      <c r="W446" s="13">
        <v>42862</v>
      </c>
      <c r="X446" s="5" t="str">
        <f ca="1">""&amp;DATEDIF(W446,TODAY(),"y")&amp;" Th, "&amp;DATEDIF(W446,TODAY(),"ym")&amp;" Bln"</f>
        <v>9 Th, 4 Bln</v>
      </c>
      <c r="Y446" s="5"/>
      <c r="Z446" s="14"/>
      <c r="AA446" s="5" t="s">
        <v>96</v>
      </c>
      <c r="AB446" s="5" t="s">
        <v>97</v>
      </c>
      <c r="AC446" s="7" t="s">
        <v>5958</v>
      </c>
      <c r="AD446" s="131">
        <v>33</v>
      </c>
      <c r="AE446" s="131" t="s">
        <v>546</v>
      </c>
      <c r="AF446" s="7" t="s">
        <v>5959</v>
      </c>
      <c r="AG446" s="7" t="s">
        <v>140</v>
      </c>
      <c r="AH446" s="7" t="s">
        <v>141</v>
      </c>
      <c r="AI446" s="7"/>
      <c r="AJ446" s="7" t="s">
        <v>1374</v>
      </c>
      <c r="AK446" s="7" t="s">
        <v>104</v>
      </c>
      <c r="AL446" s="7" t="s">
        <v>5118</v>
      </c>
      <c r="AM446" s="15"/>
      <c r="AN446" s="15" t="s">
        <v>5960</v>
      </c>
      <c r="AO446" s="8">
        <v>2</v>
      </c>
      <c r="AP446" s="8">
        <v>1</v>
      </c>
      <c r="AQ446" s="8">
        <v>0</v>
      </c>
      <c r="AR446" s="8">
        <v>0</v>
      </c>
      <c r="AS446" s="132" t="s">
        <v>1843</v>
      </c>
      <c r="AT446" s="131" t="s">
        <v>5307</v>
      </c>
      <c r="AU446" s="132" t="s">
        <v>111</v>
      </c>
      <c r="AV446" s="16" t="s">
        <v>112</v>
      </c>
      <c r="AW446" s="56" t="s">
        <v>392</v>
      </c>
      <c r="AX446" s="56" t="s">
        <v>441</v>
      </c>
      <c r="AY446" s="7" t="s">
        <v>5961</v>
      </c>
      <c r="AZ446" s="10" t="s">
        <v>5962</v>
      </c>
      <c r="BA446" s="7" t="s">
        <v>94</v>
      </c>
      <c r="BB446" s="17">
        <v>30683</v>
      </c>
      <c r="BC446" s="17" t="s">
        <v>96</v>
      </c>
      <c r="BD446" s="18" t="s">
        <v>5963</v>
      </c>
      <c r="BE446" s="7" t="s">
        <v>118</v>
      </c>
      <c r="BF446" s="7" t="s">
        <v>471</v>
      </c>
      <c r="BG446" s="7" t="s">
        <v>5964</v>
      </c>
      <c r="BH446" s="7" t="s">
        <v>5965</v>
      </c>
      <c r="BI446" s="19" t="s">
        <v>5966</v>
      </c>
      <c r="BJ446" s="20" t="s">
        <v>2060</v>
      </c>
      <c r="BK446" s="21" t="s">
        <v>5967</v>
      </c>
      <c r="BL446" s="7" t="s">
        <v>5968</v>
      </c>
      <c r="BM446" s="22" t="s">
        <v>5969</v>
      </c>
      <c r="BN446" s="8" t="s">
        <v>395</v>
      </c>
      <c r="BO446" s="17">
        <v>32459</v>
      </c>
      <c r="BP446" s="17" t="s">
        <v>96</v>
      </c>
      <c r="BQ446" s="18" t="s">
        <v>5960</v>
      </c>
      <c r="BR446" s="7" t="s">
        <v>118</v>
      </c>
      <c r="BS446" s="7" t="s">
        <v>1731</v>
      </c>
      <c r="BT446" s="7" t="s">
        <v>5970</v>
      </c>
      <c r="BU446" s="8" t="s">
        <v>5971</v>
      </c>
      <c r="BV446" s="23" t="s">
        <v>5972</v>
      </c>
      <c r="BW446" s="24" t="s">
        <v>5973</v>
      </c>
      <c r="BX446" s="21" t="s">
        <v>5974</v>
      </c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N446" s="25"/>
      <c r="CO446" s="25"/>
      <c r="CP446" s="25"/>
      <c r="CQ446" s="25"/>
      <c r="CR446" s="25"/>
      <c r="CS446" s="26"/>
    </row>
    <row r="447" spans="1:97" s="27" customFormat="1" ht="23.25" customHeight="1">
      <c r="A447" s="4">
        <v>308</v>
      </c>
      <c r="B447" s="6" t="s">
        <v>4837</v>
      </c>
      <c r="C447" s="6" t="s">
        <v>4837</v>
      </c>
      <c r="D447" s="6" t="s">
        <v>4837</v>
      </c>
      <c r="E447" s="6"/>
      <c r="F447" s="6"/>
      <c r="G447" s="6" t="s">
        <v>6439</v>
      </c>
      <c r="H447" s="5" t="s">
        <v>4839</v>
      </c>
      <c r="I447" s="6" t="s">
        <v>86</v>
      </c>
      <c r="J447" s="7" t="s">
        <v>6440</v>
      </c>
      <c r="K447" s="7" t="s">
        <v>6441</v>
      </c>
      <c r="L447" s="8"/>
      <c r="M447" s="5">
        <v>1926</v>
      </c>
      <c r="N447" s="5">
        <v>3160136821</v>
      </c>
      <c r="O447" s="9" t="s">
        <v>6442</v>
      </c>
      <c r="P447" s="10" t="s">
        <v>6443</v>
      </c>
      <c r="Q447" s="389" t="s">
        <v>6444</v>
      </c>
      <c r="R447" s="8" t="s">
        <v>8915</v>
      </c>
      <c r="S447" s="212" t="s">
        <v>12149</v>
      </c>
      <c r="T447" s="8" t="s">
        <v>6445</v>
      </c>
      <c r="U447" s="11" t="s">
        <v>93</v>
      </c>
      <c r="V447" s="12" t="s">
        <v>94</v>
      </c>
      <c r="W447" s="13">
        <v>42627</v>
      </c>
      <c r="X447" s="5" t="str">
        <f ca="1">""&amp;DATEDIF(W447,TODAY(),"y")&amp;" Th, "&amp;DATEDIF(W447,TODAY(),"ym")&amp;" Bln"</f>
        <v>10 Th, 0 Bln</v>
      </c>
      <c r="Y447" s="5"/>
      <c r="Z447" s="14"/>
      <c r="AA447" s="5" t="s">
        <v>96</v>
      </c>
      <c r="AB447" s="5" t="s">
        <v>97</v>
      </c>
      <c r="AC447" s="7" t="s">
        <v>6446</v>
      </c>
      <c r="AD447" s="131" t="s">
        <v>358</v>
      </c>
      <c r="AE447" s="131" t="s">
        <v>3501</v>
      </c>
      <c r="AF447" s="7" t="s">
        <v>1395</v>
      </c>
      <c r="AG447" s="7" t="s">
        <v>140</v>
      </c>
      <c r="AH447" s="7" t="s">
        <v>141</v>
      </c>
      <c r="AI447" s="7"/>
      <c r="AJ447" s="7" t="s">
        <v>142</v>
      </c>
      <c r="AK447" s="7" t="s">
        <v>179</v>
      </c>
      <c r="AL447" s="7" t="s">
        <v>4861</v>
      </c>
      <c r="AM447" s="15" t="s">
        <v>6447</v>
      </c>
      <c r="AN447" s="15" t="s">
        <v>6448</v>
      </c>
      <c r="AO447" s="8">
        <v>1</v>
      </c>
      <c r="AP447" s="8">
        <v>1</v>
      </c>
      <c r="AQ447" s="8"/>
      <c r="AR447" s="8"/>
      <c r="AS447" s="132" t="s">
        <v>6449</v>
      </c>
      <c r="AT447" s="131" t="s">
        <v>5612</v>
      </c>
      <c r="AU447" s="132" t="s">
        <v>149</v>
      </c>
      <c r="AV447" s="16" t="s">
        <v>112</v>
      </c>
      <c r="AW447" s="56" t="s">
        <v>392</v>
      </c>
      <c r="AX447" s="56" t="s">
        <v>114</v>
      </c>
      <c r="AY447" s="7" t="s">
        <v>6450</v>
      </c>
      <c r="AZ447" s="10" t="s">
        <v>6451</v>
      </c>
      <c r="BA447" s="7" t="s">
        <v>6452</v>
      </c>
      <c r="BB447" s="17">
        <v>33242</v>
      </c>
      <c r="BC447" s="17" t="s">
        <v>96</v>
      </c>
      <c r="BD447" s="18" t="s">
        <v>6447</v>
      </c>
      <c r="BE447" s="7" t="s">
        <v>153</v>
      </c>
      <c r="BF447" s="7" t="s">
        <v>154</v>
      </c>
      <c r="BG447" s="7" t="s">
        <v>155</v>
      </c>
      <c r="BH447" s="7" t="s">
        <v>6453</v>
      </c>
      <c r="BI447" s="19"/>
      <c r="BJ447" s="20" t="s">
        <v>1312</v>
      </c>
      <c r="BK447" s="21" t="s">
        <v>6454</v>
      </c>
      <c r="BL447" s="7" t="s">
        <v>6455</v>
      </c>
      <c r="BM447" s="22" t="s">
        <v>6456</v>
      </c>
      <c r="BN447" s="8" t="s">
        <v>6452</v>
      </c>
      <c r="BO447" s="17">
        <v>33803</v>
      </c>
      <c r="BP447" s="17" t="s">
        <v>96</v>
      </c>
      <c r="BQ447" s="18" t="s">
        <v>6457</v>
      </c>
      <c r="BR447" s="7" t="s">
        <v>153</v>
      </c>
      <c r="BS447" s="7" t="s">
        <v>6458</v>
      </c>
      <c r="BT447" s="7" t="s">
        <v>108</v>
      </c>
      <c r="BU447" s="8" t="s">
        <v>108</v>
      </c>
      <c r="BV447" s="23"/>
      <c r="BW447" s="24"/>
      <c r="BX447" s="21" t="s">
        <v>6459</v>
      </c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N447" s="25"/>
      <c r="CO447" s="25"/>
      <c r="CP447" s="25"/>
      <c r="CQ447" s="25"/>
      <c r="CR447" s="25"/>
      <c r="CS447" s="26"/>
    </row>
    <row r="448" spans="1:97" s="27" customFormat="1" ht="23.25" customHeight="1">
      <c r="A448" s="4">
        <v>249</v>
      </c>
      <c r="B448" s="6"/>
      <c r="C448" s="6"/>
      <c r="D448" s="6"/>
      <c r="E448" s="6"/>
      <c r="F448" s="6"/>
      <c r="G448" s="6"/>
      <c r="H448" s="5">
        <v>45726</v>
      </c>
      <c r="I448" s="6" t="s">
        <v>4774</v>
      </c>
      <c r="J448" s="7" t="s">
        <v>5332</v>
      </c>
      <c r="K448" s="7" t="s">
        <v>5333</v>
      </c>
      <c r="L448" s="8"/>
      <c r="M448" s="5">
        <v>2081</v>
      </c>
      <c r="N448" s="5" t="s">
        <v>5334</v>
      </c>
      <c r="O448" s="9" t="s">
        <v>5335</v>
      </c>
      <c r="P448" s="10" t="s">
        <v>5336</v>
      </c>
      <c r="Q448" s="389" t="s">
        <v>5337</v>
      </c>
      <c r="R448" s="8" t="s">
        <v>8915</v>
      </c>
      <c r="S448" s="212" t="s">
        <v>12149</v>
      </c>
      <c r="T448" s="8" t="s">
        <v>5338</v>
      </c>
      <c r="U448" s="11" t="s">
        <v>93</v>
      </c>
      <c r="V448" s="12" t="s">
        <v>94</v>
      </c>
      <c r="W448" s="13">
        <v>42771</v>
      </c>
      <c r="X448" s="5" t="str">
        <f ca="1">""&amp;DATEDIF(W448,TODAY(),"y")&amp;" Th, "&amp;DATEDIF(W448,TODAY(),"ym")&amp;" Bln"</f>
        <v>9 Th, 7 Bln</v>
      </c>
      <c r="Y448" s="5"/>
      <c r="Z448" s="14"/>
      <c r="AA448" s="5" t="s">
        <v>96</v>
      </c>
      <c r="AB448" s="5" t="s">
        <v>97</v>
      </c>
      <c r="AC448" s="7" t="s">
        <v>5339</v>
      </c>
      <c r="AD448" s="131"/>
      <c r="AE448" s="131"/>
      <c r="AF448" s="7" t="s">
        <v>942</v>
      </c>
      <c r="AG448" s="7" t="s">
        <v>178</v>
      </c>
      <c r="AH448" s="7" t="s">
        <v>178</v>
      </c>
      <c r="AI448" s="7"/>
      <c r="AJ448" s="7" t="s">
        <v>103</v>
      </c>
      <c r="AK448" s="7" t="s">
        <v>386</v>
      </c>
      <c r="AL448" s="7" t="s">
        <v>387</v>
      </c>
      <c r="AM448" s="15" t="s">
        <v>5340</v>
      </c>
      <c r="AN448" s="15" t="s">
        <v>5340</v>
      </c>
      <c r="AO448" s="8">
        <v>1</v>
      </c>
      <c r="AP448" s="8">
        <v>4</v>
      </c>
      <c r="AQ448" s="8">
        <v>0</v>
      </c>
      <c r="AR448" s="8">
        <v>0</v>
      </c>
      <c r="AS448" s="132">
        <v>29</v>
      </c>
      <c r="AT448" s="131">
        <v>125</v>
      </c>
      <c r="AU448" s="132" t="s">
        <v>111</v>
      </c>
      <c r="AV448" s="16" t="s">
        <v>112</v>
      </c>
      <c r="AW448" s="56"/>
      <c r="AX448" s="56" t="s">
        <v>114</v>
      </c>
      <c r="AY448" s="7" t="s">
        <v>5341</v>
      </c>
      <c r="AZ448" s="10" t="s">
        <v>5342</v>
      </c>
      <c r="BA448" s="7" t="s">
        <v>5343</v>
      </c>
      <c r="BB448" s="17">
        <v>31568</v>
      </c>
      <c r="BC448" s="17" t="s">
        <v>96</v>
      </c>
      <c r="BD448" s="18" t="s">
        <v>5344</v>
      </c>
      <c r="BE448" s="7" t="s">
        <v>118</v>
      </c>
      <c r="BF448" s="7" t="s">
        <v>5345</v>
      </c>
      <c r="BG448" s="7" t="s">
        <v>5346</v>
      </c>
      <c r="BH448" s="7" t="s">
        <v>5347</v>
      </c>
      <c r="BI448" s="19" t="s">
        <v>5348</v>
      </c>
      <c r="BJ448" s="20">
        <v>10000000</v>
      </c>
      <c r="BK448" s="21" t="s">
        <v>5349</v>
      </c>
      <c r="BL448" s="7" t="s">
        <v>5350</v>
      </c>
      <c r="BM448" s="22" t="s">
        <v>5351</v>
      </c>
      <c r="BN448" s="8" t="s">
        <v>4087</v>
      </c>
      <c r="BO448" s="17">
        <v>31371</v>
      </c>
      <c r="BP448" s="17" t="s">
        <v>96</v>
      </c>
      <c r="BQ448" s="18" t="s">
        <v>5340</v>
      </c>
      <c r="BR448" s="7" t="s">
        <v>118</v>
      </c>
      <c r="BS448" s="7" t="s">
        <v>126</v>
      </c>
      <c r="BT448" s="7"/>
      <c r="BU448" s="8"/>
      <c r="BV448" s="23"/>
      <c r="BW448" s="24"/>
      <c r="BX448" s="21" t="s">
        <v>5352</v>
      </c>
      <c r="BY448" s="21" t="s">
        <v>5353</v>
      </c>
      <c r="BZ448" s="21" t="s">
        <v>5343</v>
      </c>
      <c r="CA448" s="21">
        <v>32091</v>
      </c>
      <c r="CB448" s="21" t="s">
        <v>5354</v>
      </c>
      <c r="CC448" s="21" t="s">
        <v>5355</v>
      </c>
      <c r="CD448" s="21" t="s">
        <v>153</v>
      </c>
      <c r="CE448" s="21" t="s">
        <v>332</v>
      </c>
      <c r="CF448" s="21" t="s">
        <v>96</v>
      </c>
      <c r="CG448" s="21" t="s">
        <v>5356</v>
      </c>
      <c r="CH448" s="21"/>
      <c r="CI448" s="21"/>
      <c r="CJ448" s="21" t="s">
        <v>521</v>
      </c>
      <c r="CK448" s="21" t="s">
        <v>178</v>
      </c>
      <c r="CL448" s="21" t="s">
        <v>103</v>
      </c>
      <c r="CN448" s="25"/>
      <c r="CO448" s="25"/>
      <c r="CP448" s="25"/>
      <c r="CQ448" s="25"/>
      <c r="CR448" s="25"/>
      <c r="CS448" s="26"/>
    </row>
    <row r="449" spans="1:97" s="27" customFormat="1" ht="23.25" customHeight="1">
      <c r="A449" s="4">
        <v>253</v>
      </c>
      <c r="B449" s="6"/>
      <c r="C449" s="6"/>
      <c r="D449" s="6"/>
      <c r="E449" s="6"/>
      <c r="F449" s="6"/>
      <c r="G449" s="6"/>
      <c r="H449" s="5" t="s">
        <v>4839</v>
      </c>
      <c r="I449" s="6" t="s">
        <v>86</v>
      </c>
      <c r="J449" s="7" t="s">
        <v>5418</v>
      </c>
      <c r="K449" s="7" t="s">
        <v>5419</v>
      </c>
      <c r="L449" s="8"/>
      <c r="M449" s="5">
        <v>1933</v>
      </c>
      <c r="N449" s="5">
        <v>3162731746</v>
      </c>
      <c r="O449" s="9"/>
      <c r="P449" s="10" t="s">
        <v>5420</v>
      </c>
      <c r="Q449" s="389" t="s">
        <v>13424</v>
      </c>
      <c r="R449" s="8" t="s">
        <v>8915</v>
      </c>
      <c r="S449" s="212" t="s">
        <v>12149</v>
      </c>
      <c r="T449" s="8" t="s">
        <v>5421</v>
      </c>
      <c r="U449" s="11" t="s">
        <v>93</v>
      </c>
      <c r="V449" s="12" t="s">
        <v>94</v>
      </c>
      <c r="W449" s="13">
        <v>42624</v>
      </c>
      <c r="X449" s="5" t="str">
        <f ca="1">""&amp;DATEDIF(W449,TODAY(),"y")&amp;" Th, "&amp;DATEDIF(W449,TODAY(),"ym")&amp;" Bln"</f>
        <v>10 Th, 0 Bln</v>
      </c>
      <c r="Y449" s="5"/>
      <c r="Z449" s="14"/>
      <c r="AA449" s="5" t="s">
        <v>96</v>
      </c>
      <c r="AB449" s="5" t="s">
        <v>97</v>
      </c>
      <c r="AC449" s="7" t="s">
        <v>5422</v>
      </c>
      <c r="AD449" s="131" t="s">
        <v>384</v>
      </c>
      <c r="AE449" s="131" t="s">
        <v>384</v>
      </c>
      <c r="AF449" s="7" t="s">
        <v>5423</v>
      </c>
      <c r="AG449" s="7" t="s">
        <v>102</v>
      </c>
      <c r="AH449" s="7" t="s">
        <v>102</v>
      </c>
      <c r="AI449" s="7"/>
      <c r="AJ449" s="7" t="s">
        <v>103</v>
      </c>
      <c r="AK449" s="7" t="s">
        <v>104</v>
      </c>
      <c r="AL449" s="7" t="s">
        <v>4935</v>
      </c>
      <c r="AM449" s="15"/>
      <c r="AN449" s="15" t="s">
        <v>5424</v>
      </c>
      <c r="AO449" s="8">
        <v>3</v>
      </c>
      <c r="AP449" s="8">
        <v>3</v>
      </c>
      <c r="AQ449" s="8" t="s">
        <v>127</v>
      </c>
      <c r="AR449" s="8" t="s">
        <v>127</v>
      </c>
      <c r="AS449" s="132" t="s">
        <v>873</v>
      </c>
      <c r="AT449" s="131" t="s">
        <v>1266</v>
      </c>
      <c r="AU449" s="132" t="s">
        <v>182</v>
      </c>
      <c r="AV449" s="16" t="s">
        <v>112</v>
      </c>
      <c r="AW449" s="56"/>
      <c r="AX449" s="56" t="s">
        <v>183</v>
      </c>
      <c r="AY449" s="7" t="s">
        <v>5425</v>
      </c>
      <c r="AZ449" s="10" t="s">
        <v>5426</v>
      </c>
      <c r="BA449" s="7" t="s">
        <v>1153</v>
      </c>
      <c r="BB449" s="17">
        <v>29099</v>
      </c>
      <c r="BC449" s="17" t="s">
        <v>96</v>
      </c>
      <c r="BD449" s="18" t="s">
        <v>5427</v>
      </c>
      <c r="BE449" s="7" t="s">
        <v>153</v>
      </c>
      <c r="BF449" s="7" t="s">
        <v>503</v>
      </c>
      <c r="BG449" s="7" t="s">
        <v>328</v>
      </c>
      <c r="BH449" s="7" t="s">
        <v>5428</v>
      </c>
      <c r="BI449" s="19" t="s">
        <v>127</v>
      </c>
      <c r="BJ449" s="20">
        <v>4000000</v>
      </c>
      <c r="BK449" s="21" t="s">
        <v>127</v>
      </c>
      <c r="BL449" s="7" t="s">
        <v>5429</v>
      </c>
      <c r="BM449" s="22" t="s">
        <v>5430</v>
      </c>
      <c r="BN449" s="8" t="s">
        <v>94</v>
      </c>
      <c r="BO449" s="17">
        <v>29667</v>
      </c>
      <c r="BP449" s="17" t="s">
        <v>96</v>
      </c>
      <c r="BQ449" s="18" t="s">
        <v>5424</v>
      </c>
      <c r="BR449" s="7" t="s">
        <v>118</v>
      </c>
      <c r="BS449" s="7" t="s">
        <v>5431</v>
      </c>
      <c r="BT449" s="7" t="s">
        <v>127</v>
      </c>
      <c r="BU449" s="8" t="s">
        <v>127</v>
      </c>
      <c r="BV449" s="23" t="s">
        <v>127</v>
      </c>
      <c r="BW449" s="24" t="s">
        <v>127</v>
      </c>
      <c r="BX449" s="21" t="s">
        <v>127</v>
      </c>
      <c r="BY449" s="21" t="s">
        <v>127</v>
      </c>
      <c r="BZ449" s="21" t="s">
        <v>127</v>
      </c>
      <c r="CA449" s="21" t="s">
        <v>5432</v>
      </c>
      <c r="CB449" s="21"/>
      <c r="CC449" s="21" t="s">
        <v>127</v>
      </c>
      <c r="CD449" s="21"/>
      <c r="CE449" s="21"/>
      <c r="CF449" s="21" t="s">
        <v>96</v>
      </c>
      <c r="CG449" s="21" t="s">
        <v>127</v>
      </c>
      <c r="CH449" s="21" t="s">
        <v>127</v>
      </c>
      <c r="CI449" s="21" t="s">
        <v>127</v>
      </c>
      <c r="CJ449" s="21" t="s">
        <v>127</v>
      </c>
      <c r="CK449" s="21" t="s">
        <v>127</v>
      </c>
      <c r="CL449" s="21" t="s">
        <v>127</v>
      </c>
      <c r="CN449" s="25"/>
      <c r="CO449" s="25"/>
      <c r="CP449" s="25"/>
      <c r="CQ449" s="25"/>
      <c r="CR449" s="25"/>
      <c r="CS449" s="26"/>
    </row>
    <row r="450" spans="1:97" s="27" customFormat="1" ht="23.25" customHeight="1">
      <c r="A450" s="4">
        <v>315</v>
      </c>
      <c r="B450" s="6" t="s">
        <v>4837</v>
      </c>
      <c r="C450" s="6" t="s">
        <v>4837</v>
      </c>
      <c r="D450" s="6" t="s">
        <v>4837</v>
      </c>
      <c r="E450" s="6"/>
      <c r="F450" s="6"/>
      <c r="G450" s="6" t="s">
        <v>6565</v>
      </c>
      <c r="H450" s="5" t="s">
        <v>4839</v>
      </c>
      <c r="I450" s="6" t="s">
        <v>86</v>
      </c>
      <c r="J450" s="7" t="s">
        <v>6566</v>
      </c>
      <c r="K450" s="7" t="s">
        <v>6567</v>
      </c>
      <c r="L450" s="8"/>
      <c r="M450" s="5">
        <v>1940</v>
      </c>
      <c r="N450" s="5">
        <v>3171745488</v>
      </c>
      <c r="O450" s="9" t="s">
        <v>6568</v>
      </c>
      <c r="P450" s="10" t="s">
        <v>6569</v>
      </c>
      <c r="Q450" s="389" t="s">
        <v>6570</v>
      </c>
      <c r="R450" s="8" t="s">
        <v>8915</v>
      </c>
      <c r="S450" s="212" t="s">
        <v>12149</v>
      </c>
      <c r="T450" s="8" t="s">
        <v>6571</v>
      </c>
      <c r="U450" s="11" t="s">
        <v>172</v>
      </c>
      <c r="V450" s="12" t="s">
        <v>94</v>
      </c>
      <c r="W450" s="13">
        <v>42847</v>
      </c>
      <c r="X450" s="5" t="str">
        <f t="shared" ref="X450:X480" ca="1" si="17">""&amp;DATEDIF(W450,TODAY(),"y")&amp;" Th, "&amp;DATEDIF(W450,TODAY(),"ym")&amp;" Bln"</f>
        <v>9 Th, 4 Bln</v>
      </c>
      <c r="Y450" s="5"/>
      <c r="Z450" s="14"/>
      <c r="AA450" s="5" t="s">
        <v>96</v>
      </c>
      <c r="AB450" s="5" t="s">
        <v>97</v>
      </c>
      <c r="AC450" s="7" t="s">
        <v>6572</v>
      </c>
      <c r="AD450" s="131" t="s">
        <v>100</v>
      </c>
      <c r="AE450" s="131">
        <v>15</v>
      </c>
      <c r="AF450" s="7" t="s">
        <v>6573</v>
      </c>
      <c r="AG450" s="7" t="s">
        <v>410</v>
      </c>
      <c r="AH450" s="7" t="s">
        <v>141</v>
      </c>
      <c r="AI450" s="7"/>
      <c r="AJ450" s="7" t="s">
        <v>142</v>
      </c>
      <c r="AK450" s="7" t="s">
        <v>104</v>
      </c>
      <c r="AL450" s="7" t="s">
        <v>4935</v>
      </c>
      <c r="AM450" s="15"/>
      <c r="AN450" s="15" t="s">
        <v>6574</v>
      </c>
      <c r="AO450" s="8">
        <v>3</v>
      </c>
      <c r="AP450" s="8">
        <v>2</v>
      </c>
      <c r="AQ450" s="8" t="s">
        <v>127</v>
      </c>
      <c r="AR450" s="8" t="s">
        <v>127</v>
      </c>
      <c r="AS450" s="132" t="s">
        <v>1510</v>
      </c>
      <c r="AT450" s="131" t="s">
        <v>1762</v>
      </c>
      <c r="AU450" s="132" t="s">
        <v>182</v>
      </c>
      <c r="AV450" s="16" t="s">
        <v>112</v>
      </c>
      <c r="AW450" s="56" t="s">
        <v>150</v>
      </c>
      <c r="AX450" s="56" t="s">
        <v>183</v>
      </c>
      <c r="AY450" s="7" t="s">
        <v>6575</v>
      </c>
      <c r="AZ450" s="10" t="s">
        <v>6576</v>
      </c>
      <c r="BA450" s="7" t="s">
        <v>222</v>
      </c>
      <c r="BB450" s="17">
        <v>28985</v>
      </c>
      <c r="BC450" s="17" t="s">
        <v>96</v>
      </c>
      <c r="BD450" s="18" t="s">
        <v>6577</v>
      </c>
      <c r="BE450" s="7" t="s">
        <v>118</v>
      </c>
      <c r="BF450" s="7" t="s">
        <v>327</v>
      </c>
      <c r="BG450" s="7" t="s">
        <v>6578</v>
      </c>
      <c r="BH450" s="7" t="s">
        <v>6579</v>
      </c>
      <c r="BI450" s="19" t="s">
        <v>127</v>
      </c>
      <c r="BJ450" s="20">
        <v>10000000</v>
      </c>
      <c r="BK450" s="21" t="s">
        <v>6580</v>
      </c>
      <c r="BL450" s="7" t="s">
        <v>6581</v>
      </c>
      <c r="BM450" s="22" t="s">
        <v>6582</v>
      </c>
      <c r="BN450" s="8" t="s">
        <v>4087</v>
      </c>
      <c r="BO450" s="17">
        <v>28439</v>
      </c>
      <c r="BP450" s="17" t="s">
        <v>96</v>
      </c>
      <c r="BQ450" s="18" t="s">
        <v>6583</v>
      </c>
      <c r="BR450" s="7" t="s">
        <v>118</v>
      </c>
      <c r="BS450" s="7" t="s">
        <v>126</v>
      </c>
      <c r="BT450" s="7" t="s">
        <v>127</v>
      </c>
      <c r="BU450" s="8" t="s">
        <v>127</v>
      </c>
      <c r="BV450" s="23" t="s">
        <v>127</v>
      </c>
      <c r="BW450" s="24" t="s">
        <v>127</v>
      </c>
      <c r="BX450" s="21" t="s">
        <v>6584</v>
      </c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N450" s="25"/>
      <c r="CO450" s="25"/>
      <c r="CP450" s="25"/>
      <c r="CQ450" s="25"/>
      <c r="CR450" s="25"/>
      <c r="CS450" s="26"/>
    </row>
    <row r="451" spans="1:97" s="27" customFormat="1" ht="23.25" customHeight="1">
      <c r="A451" s="4">
        <v>285</v>
      </c>
      <c r="B451" s="6" t="s">
        <v>4837</v>
      </c>
      <c r="C451" s="6" t="s">
        <v>4837</v>
      </c>
      <c r="D451" s="6" t="s">
        <v>4837</v>
      </c>
      <c r="E451" s="6"/>
      <c r="F451" s="6"/>
      <c r="G451" s="6" t="s">
        <v>6006</v>
      </c>
      <c r="H451" s="5" t="s">
        <v>4839</v>
      </c>
      <c r="I451" s="6" t="s">
        <v>86</v>
      </c>
      <c r="J451" s="7" t="s">
        <v>6007</v>
      </c>
      <c r="K451" s="7" t="s">
        <v>6008</v>
      </c>
      <c r="L451" s="8"/>
      <c r="M451" s="5">
        <v>1942</v>
      </c>
      <c r="N451" s="5">
        <v>3160166219</v>
      </c>
      <c r="O451" s="9" t="s">
        <v>6009</v>
      </c>
      <c r="P451" s="10" t="s">
        <v>6010</v>
      </c>
      <c r="Q451" s="389" t="s">
        <v>6011</v>
      </c>
      <c r="R451" s="8" t="s">
        <v>8915</v>
      </c>
      <c r="S451" s="212" t="s">
        <v>12149</v>
      </c>
      <c r="T451" s="8" t="s">
        <v>6012</v>
      </c>
      <c r="U451" s="11" t="s">
        <v>172</v>
      </c>
      <c r="V451" s="12" t="s">
        <v>94</v>
      </c>
      <c r="W451" s="13">
        <v>42614</v>
      </c>
      <c r="X451" s="5" t="str">
        <f t="shared" ca="1" si="17"/>
        <v>10 Th, 0 Bln</v>
      </c>
      <c r="Y451" s="5"/>
      <c r="Z451" s="14"/>
      <c r="AA451" s="5" t="s">
        <v>96</v>
      </c>
      <c r="AB451" s="5" t="s">
        <v>97</v>
      </c>
      <c r="AC451" s="7" t="s">
        <v>6013</v>
      </c>
      <c r="AD451" s="131" t="s">
        <v>293</v>
      </c>
      <c r="AE451" s="131" t="s">
        <v>207</v>
      </c>
      <c r="AF451" s="7" t="s">
        <v>921</v>
      </c>
      <c r="AG451" s="7" t="s">
        <v>687</v>
      </c>
      <c r="AH451" s="7" t="s">
        <v>141</v>
      </c>
      <c r="AI451" s="7"/>
      <c r="AJ451" s="7" t="s">
        <v>142</v>
      </c>
      <c r="AK451" s="7" t="s">
        <v>179</v>
      </c>
      <c r="AL451" s="7" t="s">
        <v>4861</v>
      </c>
      <c r="AM451" s="15"/>
      <c r="AN451" s="15" t="s">
        <v>6014</v>
      </c>
      <c r="AO451" s="8">
        <v>2</v>
      </c>
      <c r="AP451" s="8">
        <v>1</v>
      </c>
      <c r="AQ451" s="8" t="s">
        <v>127</v>
      </c>
      <c r="AR451" s="8" t="s">
        <v>127</v>
      </c>
      <c r="AS451" s="132" t="s">
        <v>5080</v>
      </c>
      <c r="AT451" s="131" t="s">
        <v>5612</v>
      </c>
      <c r="AU451" s="132" t="s">
        <v>111</v>
      </c>
      <c r="AV451" s="16" t="s">
        <v>112</v>
      </c>
      <c r="AW451" s="56"/>
      <c r="AX451" s="56" t="s">
        <v>183</v>
      </c>
      <c r="AY451" s="7" t="s">
        <v>6015</v>
      </c>
      <c r="AZ451" s="10" t="s">
        <v>6016</v>
      </c>
      <c r="BA451" s="7" t="s">
        <v>444</v>
      </c>
      <c r="BB451" s="17">
        <v>30335</v>
      </c>
      <c r="BC451" s="17" t="s">
        <v>96</v>
      </c>
      <c r="BD451" s="18" t="s">
        <v>6017</v>
      </c>
      <c r="BE451" s="7" t="s">
        <v>118</v>
      </c>
      <c r="BF451" s="7" t="s">
        <v>596</v>
      </c>
      <c r="BG451" s="7" t="s">
        <v>596</v>
      </c>
      <c r="BH451" s="7" t="s">
        <v>127</v>
      </c>
      <c r="BI451" s="19" t="s">
        <v>127</v>
      </c>
      <c r="BJ451" s="20">
        <v>5000000</v>
      </c>
      <c r="BK451" s="21" t="s">
        <v>6018</v>
      </c>
      <c r="BL451" s="7" t="s">
        <v>6019</v>
      </c>
      <c r="BM451" s="22" t="s">
        <v>6020</v>
      </c>
      <c r="BN451" s="8" t="s">
        <v>395</v>
      </c>
      <c r="BO451" s="17">
        <v>30603</v>
      </c>
      <c r="BP451" s="17" t="s">
        <v>96</v>
      </c>
      <c r="BQ451" s="18" t="s">
        <v>6014</v>
      </c>
      <c r="BR451" s="7" t="s">
        <v>118</v>
      </c>
      <c r="BS451" s="7" t="s">
        <v>327</v>
      </c>
      <c r="BT451" s="7" t="s">
        <v>127</v>
      </c>
      <c r="BU451" s="8" t="s">
        <v>97</v>
      </c>
      <c r="BV451" s="23" t="s">
        <v>127</v>
      </c>
      <c r="BW451" s="24">
        <v>9000000</v>
      </c>
      <c r="BX451" s="21" t="s">
        <v>6021</v>
      </c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N451" s="25"/>
      <c r="CO451" s="25"/>
      <c r="CP451" s="25"/>
      <c r="CQ451" s="25"/>
      <c r="CR451" s="25"/>
      <c r="CS451" s="26"/>
    </row>
    <row r="452" spans="1:97" s="27" customFormat="1" ht="29.25" customHeight="1">
      <c r="A452" s="4">
        <v>426</v>
      </c>
      <c r="B452" s="6"/>
      <c r="C452" s="6"/>
      <c r="D452" s="6"/>
      <c r="E452" s="6"/>
      <c r="F452" s="6"/>
      <c r="G452" s="6"/>
      <c r="H452" s="5" t="s">
        <v>7095</v>
      </c>
      <c r="I452" s="6" t="s">
        <v>86</v>
      </c>
      <c r="J452" s="7" t="s">
        <v>166</v>
      </c>
      <c r="K452" s="7" t="s">
        <v>1993</v>
      </c>
      <c r="L452" s="8"/>
      <c r="M452" s="5">
        <v>1716</v>
      </c>
      <c r="N452" s="5" t="s">
        <v>8912</v>
      </c>
      <c r="O452" s="9" t="s">
        <v>5849</v>
      </c>
      <c r="P452" s="10" t="s">
        <v>8913</v>
      </c>
      <c r="Q452" s="389" t="s">
        <v>8914</v>
      </c>
      <c r="R452" s="8" t="s">
        <v>9448</v>
      </c>
      <c r="S452" s="212" t="s">
        <v>12150</v>
      </c>
      <c r="T452" s="8" t="s">
        <v>7304</v>
      </c>
      <c r="U452" s="11" t="s">
        <v>93</v>
      </c>
      <c r="V452" s="12" t="s">
        <v>94</v>
      </c>
      <c r="W452" s="13">
        <v>42236</v>
      </c>
      <c r="X452" s="5" t="str">
        <f t="shared" ca="1" si="17"/>
        <v>11 Th, 0 Bln</v>
      </c>
      <c r="Y452" s="5"/>
      <c r="Z452" s="14"/>
      <c r="AA452" s="5" t="s">
        <v>96</v>
      </c>
      <c r="AB452" s="5" t="s">
        <v>97</v>
      </c>
      <c r="AC452" s="7" t="s">
        <v>8916</v>
      </c>
      <c r="AD452" s="131" t="s">
        <v>100</v>
      </c>
      <c r="AE452" s="131">
        <v>13</v>
      </c>
      <c r="AF452" s="7" t="s">
        <v>7730</v>
      </c>
      <c r="AG452" s="7" t="s">
        <v>7258</v>
      </c>
      <c r="AH452" s="7" t="s">
        <v>241</v>
      </c>
      <c r="AI452" s="7">
        <v>65124</v>
      </c>
      <c r="AJ452" s="7" t="s">
        <v>7106</v>
      </c>
      <c r="AK452" s="7" t="s">
        <v>104</v>
      </c>
      <c r="AL452" s="7" t="s">
        <v>6422</v>
      </c>
      <c r="AM452" s="15" t="s">
        <v>5854</v>
      </c>
      <c r="AN452" s="15" t="s">
        <v>5854</v>
      </c>
      <c r="AO452" s="8">
        <v>3</v>
      </c>
      <c r="AP452" s="8">
        <v>4</v>
      </c>
      <c r="AQ452" s="8" t="s">
        <v>127</v>
      </c>
      <c r="AR452" s="8" t="s">
        <v>127</v>
      </c>
      <c r="AS452" s="132">
        <v>114</v>
      </c>
      <c r="AT452" s="131">
        <v>16</v>
      </c>
      <c r="AU452" s="132" t="s">
        <v>111</v>
      </c>
      <c r="AV452" s="16" t="s">
        <v>212</v>
      </c>
      <c r="AW452" s="56" t="s">
        <v>8917</v>
      </c>
      <c r="AX452" s="56" t="s">
        <v>7136</v>
      </c>
      <c r="AY452" s="7" t="s">
        <v>8918</v>
      </c>
      <c r="AZ452" s="10" t="s">
        <v>5858</v>
      </c>
      <c r="BA452" s="7" t="s">
        <v>5047</v>
      </c>
      <c r="BB452" s="17">
        <v>30255</v>
      </c>
      <c r="BC452" s="17" t="s">
        <v>7112</v>
      </c>
      <c r="BD452" s="18" t="s">
        <v>5855</v>
      </c>
      <c r="BE452" s="7" t="s">
        <v>118</v>
      </c>
      <c r="BF452" s="7" t="s">
        <v>8919</v>
      </c>
      <c r="BG452" s="7" t="s">
        <v>8920</v>
      </c>
      <c r="BH452" s="7" t="s">
        <v>8921</v>
      </c>
      <c r="BI452" s="19"/>
      <c r="BJ452" s="20" t="s">
        <v>8922</v>
      </c>
      <c r="BK452" s="21"/>
      <c r="BL452" s="7" t="s">
        <v>8923</v>
      </c>
      <c r="BM452" s="22" t="s">
        <v>5865</v>
      </c>
      <c r="BN452" s="8" t="s">
        <v>5047</v>
      </c>
      <c r="BO452" s="17">
        <v>31800</v>
      </c>
      <c r="BP452" s="17" t="s">
        <v>96</v>
      </c>
      <c r="BQ452" s="18" t="s">
        <v>8924</v>
      </c>
      <c r="BR452" s="7" t="s">
        <v>118</v>
      </c>
      <c r="BS452" s="7" t="s">
        <v>8919</v>
      </c>
      <c r="BT452" s="7" t="s">
        <v>8920</v>
      </c>
      <c r="BU452" s="8" t="s">
        <v>8925</v>
      </c>
      <c r="BV452" s="23"/>
      <c r="BW452" s="24" t="s">
        <v>2700</v>
      </c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N452" s="25"/>
      <c r="CO452" s="25"/>
      <c r="CP452" s="25"/>
      <c r="CQ452" s="25"/>
      <c r="CR452" s="25"/>
      <c r="CS452" s="26"/>
    </row>
    <row r="453" spans="1:97" s="27" customFormat="1" ht="23.25" customHeight="1">
      <c r="A453" s="4">
        <v>427</v>
      </c>
      <c r="B453" s="6"/>
      <c r="C453" s="6"/>
      <c r="D453" s="6"/>
      <c r="E453" s="6"/>
      <c r="F453" s="6"/>
      <c r="G453" s="6"/>
      <c r="H453" s="5"/>
      <c r="I453" s="6" t="s">
        <v>86</v>
      </c>
      <c r="J453" s="7"/>
      <c r="K453" s="7"/>
      <c r="L453" s="8"/>
      <c r="M453" s="5">
        <v>1713</v>
      </c>
      <c r="N453" s="5" t="s">
        <v>8926</v>
      </c>
      <c r="O453" s="9" t="s">
        <v>8927</v>
      </c>
      <c r="P453" s="10" t="s">
        <v>8928</v>
      </c>
      <c r="Q453" s="389" t="s">
        <v>8929</v>
      </c>
      <c r="R453" s="8" t="s">
        <v>9448</v>
      </c>
      <c r="S453" s="212" t="s">
        <v>12150</v>
      </c>
      <c r="T453" s="8"/>
      <c r="U453" s="11" t="s">
        <v>172</v>
      </c>
      <c r="V453" s="12" t="s">
        <v>94</v>
      </c>
      <c r="W453" s="13" t="s">
        <v>8930</v>
      </c>
      <c r="X453" s="5" t="e">
        <f t="shared" ca="1" si="17"/>
        <v>#VALUE!</v>
      </c>
      <c r="Y453" s="5"/>
      <c r="Z453" s="14"/>
      <c r="AA453" s="5" t="s">
        <v>96</v>
      </c>
      <c r="AB453" s="5" t="s">
        <v>97</v>
      </c>
      <c r="AC453" s="7" t="s">
        <v>8931</v>
      </c>
      <c r="AD453" s="131">
        <v>5</v>
      </c>
      <c r="AE453" s="131">
        <v>5</v>
      </c>
      <c r="AF453" s="7" t="s">
        <v>2927</v>
      </c>
      <c r="AG453" s="7" t="s">
        <v>241</v>
      </c>
      <c r="AH453" s="7" t="s">
        <v>241</v>
      </c>
      <c r="AI453" s="7">
        <v>65126</v>
      </c>
      <c r="AJ453" s="7" t="s">
        <v>103</v>
      </c>
      <c r="AK453" s="7"/>
      <c r="AL453" s="7"/>
      <c r="AM453" s="15"/>
      <c r="AN453" s="15"/>
      <c r="AO453" s="8"/>
      <c r="AP453" s="8">
        <v>1</v>
      </c>
      <c r="AQ453" s="8"/>
      <c r="AR453" s="8"/>
      <c r="AS453" s="132"/>
      <c r="AT453" s="131"/>
      <c r="AU453" s="132"/>
      <c r="AV453" s="16"/>
      <c r="AW453" s="56"/>
      <c r="AX453" s="56"/>
      <c r="AY453" s="7" t="s">
        <v>8932</v>
      </c>
      <c r="AZ453" s="10"/>
      <c r="BA453" s="7"/>
      <c r="BB453" s="17"/>
      <c r="BC453" s="17"/>
      <c r="BD453" s="18"/>
      <c r="BE453" s="7"/>
      <c r="BF453" s="7"/>
      <c r="BG453" s="7"/>
      <c r="BH453" s="7"/>
      <c r="BI453" s="19"/>
      <c r="BJ453" s="20"/>
      <c r="BK453" s="21"/>
      <c r="BL453" s="7" t="s">
        <v>8933</v>
      </c>
      <c r="BM453" s="22" t="s">
        <v>8934</v>
      </c>
      <c r="BN453" s="8" t="s">
        <v>1208</v>
      </c>
      <c r="BO453" s="17" t="s">
        <v>8935</v>
      </c>
      <c r="BP453" s="17" t="s">
        <v>96</v>
      </c>
      <c r="BQ453" s="18"/>
      <c r="BR453" s="7" t="s">
        <v>2193</v>
      </c>
      <c r="BS453" s="7" t="s">
        <v>8936</v>
      </c>
      <c r="BT453" s="7"/>
      <c r="BU453" s="8"/>
      <c r="BV453" s="23"/>
      <c r="BW453" s="24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N453" s="25"/>
      <c r="CO453" s="25"/>
      <c r="CP453" s="25"/>
      <c r="CQ453" s="25"/>
      <c r="CR453" s="25"/>
      <c r="CS453" s="26"/>
    </row>
    <row r="454" spans="1:97" s="27" customFormat="1" ht="23.25" customHeight="1">
      <c r="A454" s="4">
        <v>346</v>
      </c>
      <c r="B454" s="6"/>
      <c r="C454" s="6"/>
      <c r="D454" s="6"/>
      <c r="E454" s="6"/>
      <c r="F454" s="6"/>
      <c r="G454" s="6"/>
      <c r="H454" s="5" t="s">
        <v>7095</v>
      </c>
      <c r="I454" s="6" t="s">
        <v>86</v>
      </c>
      <c r="J454" s="7" t="s">
        <v>7096</v>
      </c>
      <c r="K454" s="7" t="s">
        <v>7097</v>
      </c>
      <c r="L454" s="8"/>
      <c r="M454" s="5">
        <v>1715</v>
      </c>
      <c r="N454" s="5" t="s">
        <v>7098</v>
      </c>
      <c r="O454" s="9" t="s">
        <v>7099</v>
      </c>
      <c r="P454" s="10" t="s">
        <v>7100</v>
      </c>
      <c r="Q454" s="389" t="s">
        <v>7101</v>
      </c>
      <c r="R454" s="8" t="s">
        <v>9448</v>
      </c>
      <c r="S454" s="212" t="s">
        <v>12150</v>
      </c>
      <c r="T454" s="8" t="s">
        <v>7103</v>
      </c>
      <c r="U454" s="11" t="s">
        <v>172</v>
      </c>
      <c r="V454" s="12" t="s">
        <v>103</v>
      </c>
      <c r="W454" s="13">
        <v>42123</v>
      </c>
      <c r="X454" s="5" t="str">
        <f t="shared" ca="1" si="17"/>
        <v>11 Th, 4 Bln</v>
      </c>
      <c r="Y454" s="5"/>
      <c r="Z454" s="14"/>
      <c r="AA454" s="5" t="s">
        <v>96</v>
      </c>
      <c r="AB454" s="5" t="s">
        <v>97</v>
      </c>
      <c r="AC454" s="7" t="s">
        <v>7104</v>
      </c>
      <c r="AD454" s="131" t="s">
        <v>384</v>
      </c>
      <c r="AE454" s="131" t="s">
        <v>318</v>
      </c>
      <c r="AF454" s="7" t="s">
        <v>7105</v>
      </c>
      <c r="AG454" s="7" t="s">
        <v>5046</v>
      </c>
      <c r="AH454" s="7" t="s">
        <v>178</v>
      </c>
      <c r="AI454" s="7">
        <v>65144</v>
      </c>
      <c r="AJ454" s="7" t="s">
        <v>7106</v>
      </c>
      <c r="AK454" s="7" t="s">
        <v>179</v>
      </c>
      <c r="AL454" s="7">
        <v>7</v>
      </c>
      <c r="AM454" s="15" t="s">
        <v>7107</v>
      </c>
      <c r="AN454" s="15" t="s">
        <v>7107</v>
      </c>
      <c r="AO454" s="8">
        <v>1</v>
      </c>
      <c r="AP454" s="8">
        <v>0</v>
      </c>
      <c r="AQ454" s="8"/>
      <c r="AR454" s="8"/>
      <c r="AS454" s="132">
        <v>118</v>
      </c>
      <c r="AT454" s="131">
        <v>18</v>
      </c>
      <c r="AU454" s="132" t="s">
        <v>149</v>
      </c>
      <c r="AV454" s="16" t="s">
        <v>112</v>
      </c>
      <c r="AW454" s="56" t="s">
        <v>1028</v>
      </c>
      <c r="AX454" s="56" t="s">
        <v>7108</v>
      </c>
      <c r="AY454" s="7" t="s">
        <v>7109</v>
      </c>
      <c r="AZ454" s="10" t="s">
        <v>7110</v>
      </c>
      <c r="BA454" s="7" t="s">
        <v>7111</v>
      </c>
      <c r="BB454" s="17">
        <v>30970</v>
      </c>
      <c r="BC454" s="17" t="s">
        <v>7112</v>
      </c>
      <c r="BD454" s="18" t="s">
        <v>7107</v>
      </c>
      <c r="BE454" s="7" t="s">
        <v>153</v>
      </c>
      <c r="BF454" s="7" t="s">
        <v>7113</v>
      </c>
      <c r="BG454" s="7" t="s">
        <v>7114</v>
      </c>
      <c r="BH454" s="7" t="s">
        <v>7115</v>
      </c>
      <c r="BI454" s="19"/>
      <c r="BJ454" s="20">
        <v>4000000</v>
      </c>
      <c r="BK454" s="21" t="s">
        <v>7116</v>
      </c>
      <c r="BL454" s="7" t="s">
        <v>7117</v>
      </c>
      <c r="BM454" s="22" t="s">
        <v>7118</v>
      </c>
      <c r="BN454" s="8" t="s">
        <v>7119</v>
      </c>
      <c r="BO454" s="17">
        <v>33897</v>
      </c>
      <c r="BP454" s="17" t="s">
        <v>96</v>
      </c>
      <c r="BQ454" s="18" t="s">
        <v>7120</v>
      </c>
      <c r="BR454" s="7" t="s">
        <v>118</v>
      </c>
      <c r="BS454" s="7" t="s">
        <v>5653</v>
      </c>
      <c r="BT454" s="7" t="s">
        <v>7121</v>
      </c>
      <c r="BU454" s="8" t="s">
        <v>7122</v>
      </c>
      <c r="BV454" s="23"/>
      <c r="BW454" s="24">
        <v>0</v>
      </c>
      <c r="BX454" s="21" t="s">
        <v>7123</v>
      </c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N454" s="25"/>
      <c r="CO454" s="25"/>
      <c r="CP454" s="25"/>
      <c r="CQ454" s="25"/>
      <c r="CR454" s="25"/>
      <c r="CS454" s="26"/>
    </row>
    <row r="455" spans="1:97" s="100" customFormat="1" ht="41.25" customHeight="1">
      <c r="A455" s="4">
        <v>400</v>
      </c>
      <c r="B455" s="6"/>
      <c r="C455" s="6"/>
      <c r="D455" s="6"/>
      <c r="E455" s="6"/>
      <c r="F455" s="6"/>
      <c r="G455" s="6"/>
      <c r="H455" s="5" t="s">
        <v>7095</v>
      </c>
      <c r="I455" s="6" t="s">
        <v>86</v>
      </c>
      <c r="J455" s="7" t="s">
        <v>8321</v>
      </c>
      <c r="K455" s="7" t="s">
        <v>8322</v>
      </c>
      <c r="L455" s="8"/>
      <c r="M455" s="5">
        <v>1721</v>
      </c>
      <c r="N455" s="5" t="s">
        <v>8323</v>
      </c>
      <c r="O455" s="9" t="s">
        <v>8324</v>
      </c>
      <c r="P455" s="10" t="s">
        <v>8325</v>
      </c>
      <c r="Q455" s="389" t="s">
        <v>8326</v>
      </c>
      <c r="R455" s="8" t="s">
        <v>9448</v>
      </c>
      <c r="S455" s="212" t="s">
        <v>12150</v>
      </c>
      <c r="T455" s="8" t="s">
        <v>683</v>
      </c>
      <c r="U455" s="11" t="s">
        <v>93</v>
      </c>
      <c r="V455" s="12" t="s">
        <v>444</v>
      </c>
      <c r="W455" s="13">
        <v>42462</v>
      </c>
      <c r="X455" s="99" t="str">
        <f t="shared" ca="1" si="17"/>
        <v>10 Th, 5 Bln</v>
      </c>
      <c r="Y455" s="5"/>
      <c r="Z455" s="14"/>
      <c r="AA455" s="5" t="s">
        <v>96</v>
      </c>
      <c r="AB455" s="5" t="s">
        <v>97</v>
      </c>
      <c r="AC455" s="7" t="s">
        <v>8327</v>
      </c>
      <c r="AD455" s="131" t="s">
        <v>1281</v>
      </c>
      <c r="AE455" s="131" t="s">
        <v>265</v>
      </c>
      <c r="AF455" s="7" t="s">
        <v>2159</v>
      </c>
      <c r="AG455" s="7" t="s">
        <v>2159</v>
      </c>
      <c r="AH455" s="7" t="s">
        <v>2159</v>
      </c>
      <c r="AI455" s="7">
        <v>65137</v>
      </c>
      <c r="AJ455" s="7" t="s">
        <v>94</v>
      </c>
      <c r="AK455" s="7" t="s">
        <v>104</v>
      </c>
      <c r="AL455" s="7" t="s">
        <v>8328</v>
      </c>
      <c r="AM455" s="15" t="s">
        <v>8329</v>
      </c>
      <c r="AN455" s="15" t="s">
        <v>2548</v>
      </c>
      <c r="AO455" s="8">
        <v>1</v>
      </c>
      <c r="AP455" s="8">
        <v>1</v>
      </c>
      <c r="AQ455" s="8" t="s">
        <v>127</v>
      </c>
      <c r="AR455" s="8" t="s">
        <v>127</v>
      </c>
      <c r="AS455" s="132" t="s">
        <v>8330</v>
      </c>
      <c r="AT455" s="131" t="s">
        <v>7336</v>
      </c>
      <c r="AU455" s="132" t="s">
        <v>182</v>
      </c>
      <c r="AV455" s="16" t="s">
        <v>112</v>
      </c>
      <c r="AW455" s="56" t="s">
        <v>392</v>
      </c>
      <c r="AX455" s="56" t="s">
        <v>4630</v>
      </c>
      <c r="AY455" s="7" t="s">
        <v>8331</v>
      </c>
      <c r="AZ455" s="10" t="s">
        <v>2553</v>
      </c>
      <c r="BA455" s="7" t="s">
        <v>2554</v>
      </c>
      <c r="BB455" s="17">
        <v>29838</v>
      </c>
      <c r="BC455" s="17" t="s">
        <v>96</v>
      </c>
      <c r="BD455" s="18" t="s">
        <v>8329</v>
      </c>
      <c r="BE455" s="7" t="s">
        <v>118</v>
      </c>
      <c r="BF455" s="7" t="s">
        <v>8332</v>
      </c>
      <c r="BG455" s="7" t="s">
        <v>2556</v>
      </c>
      <c r="BH455" s="7" t="s">
        <v>8333</v>
      </c>
      <c r="BI455" s="19" t="s">
        <v>8334</v>
      </c>
      <c r="BJ455" s="20" t="s">
        <v>8335</v>
      </c>
      <c r="BK455" s="21" t="s">
        <v>2560</v>
      </c>
      <c r="BL455" s="7" t="s">
        <v>8336</v>
      </c>
      <c r="BM455" s="22" t="s">
        <v>2562</v>
      </c>
      <c r="BN455" s="8" t="s">
        <v>444</v>
      </c>
      <c r="BO455" s="17">
        <v>32500</v>
      </c>
      <c r="BP455" s="17" t="s">
        <v>96</v>
      </c>
      <c r="BQ455" s="18" t="s">
        <v>2548</v>
      </c>
      <c r="BR455" s="7" t="s">
        <v>153</v>
      </c>
      <c r="BS455" s="7" t="s">
        <v>154</v>
      </c>
      <c r="BT455" s="7" t="s">
        <v>8337</v>
      </c>
      <c r="BU455" s="8" t="s">
        <v>8338</v>
      </c>
      <c r="BV455" s="23" t="s">
        <v>8339</v>
      </c>
      <c r="BW455" s="24" t="s">
        <v>8340</v>
      </c>
      <c r="BX455" s="21" t="s">
        <v>2566</v>
      </c>
      <c r="BY455" s="21" t="s">
        <v>8341</v>
      </c>
      <c r="BZ455" s="21" t="s">
        <v>444</v>
      </c>
      <c r="CA455" s="21">
        <v>23468</v>
      </c>
      <c r="CB455" s="21"/>
      <c r="CC455" s="21" t="s">
        <v>8342</v>
      </c>
      <c r="CD455" s="21" t="s">
        <v>118</v>
      </c>
      <c r="CE455" s="21" t="s">
        <v>8343</v>
      </c>
      <c r="CF455" s="21" t="s">
        <v>96</v>
      </c>
      <c r="CG455" s="21" t="s">
        <v>8344</v>
      </c>
      <c r="CH455" s="21" t="s">
        <v>175</v>
      </c>
      <c r="CI455" s="21" t="s">
        <v>175</v>
      </c>
      <c r="CJ455" s="21" t="s">
        <v>8345</v>
      </c>
      <c r="CK455" s="21" t="s">
        <v>8346</v>
      </c>
      <c r="CL455" s="21" t="s">
        <v>6306</v>
      </c>
    </row>
    <row r="456" spans="1:97" s="27" customFormat="1" ht="23.25" customHeight="1">
      <c r="A456" s="4">
        <v>430</v>
      </c>
      <c r="B456" s="6"/>
      <c r="C456" s="6"/>
      <c r="D456" s="6"/>
      <c r="E456" s="6"/>
      <c r="F456" s="6"/>
      <c r="G456" s="6"/>
      <c r="H456" s="5" t="s">
        <v>7095</v>
      </c>
      <c r="I456" s="6" t="s">
        <v>86</v>
      </c>
      <c r="J456" s="7" t="s">
        <v>8981</v>
      </c>
      <c r="K456" s="7" t="s">
        <v>8982</v>
      </c>
      <c r="L456" s="8"/>
      <c r="M456" s="5">
        <v>1727</v>
      </c>
      <c r="N456" s="5" t="s">
        <v>8983</v>
      </c>
      <c r="O456" s="9" t="s">
        <v>8984</v>
      </c>
      <c r="P456" s="10" t="s">
        <v>8985</v>
      </c>
      <c r="Q456" s="389" t="s">
        <v>8986</v>
      </c>
      <c r="R456" s="8" t="s">
        <v>9448</v>
      </c>
      <c r="S456" s="212" t="s">
        <v>12150</v>
      </c>
      <c r="T456" s="8" t="s">
        <v>8987</v>
      </c>
      <c r="U456" s="11" t="s">
        <v>93</v>
      </c>
      <c r="V456" s="12" t="s">
        <v>94</v>
      </c>
      <c r="W456" s="13">
        <v>42388</v>
      </c>
      <c r="X456" s="5" t="str">
        <f t="shared" ca="1" si="17"/>
        <v>10 Th, 7 Bln</v>
      </c>
      <c r="Y456" s="5"/>
      <c r="Z456" s="14"/>
      <c r="AA456" s="5" t="s">
        <v>96</v>
      </c>
      <c r="AB456" s="5" t="s">
        <v>97</v>
      </c>
      <c r="AC456" s="7" t="s">
        <v>8988</v>
      </c>
      <c r="AD456" s="131" t="s">
        <v>175</v>
      </c>
      <c r="AE456" s="131" t="s">
        <v>239</v>
      </c>
      <c r="AF456" s="7" t="s">
        <v>8989</v>
      </c>
      <c r="AG456" s="7" t="s">
        <v>8990</v>
      </c>
      <c r="AH456" s="7" t="s">
        <v>1467</v>
      </c>
      <c r="AI456" s="7">
        <v>65111</v>
      </c>
      <c r="AJ456" s="7" t="s">
        <v>7647</v>
      </c>
      <c r="AK456" s="7" t="s">
        <v>104</v>
      </c>
      <c r="AL456" s="7" t="s">
        <v>8991</v>
      </c>
      <c r="AM456" s="15" t="s">
        <v>8992</v>
      </c>
      <c r="AN456" s="15" t="s">
        <v>8993</v>
      </c>
      <c r="AO456" s="8">
        <v>3</v>
      </c>
      <c r="AP456" s="8">
        <v>2</v>
      </c>
      <c r="AQ456" s="8"/>
      <c r="AR456" s="8"/>
      <c r="AS456" s="132">
        <v>120</v>
      </c>
      <c r="AT456" s="131">
        <v>32</v>
      </c>
      <c r="AU456" s="132" t="s">
        <v>111</v>
      </c>
      <c r="AV456" s="16" t="s">
        <v>112</v>
      </c>
      <c r="AW456" s="56" t="s">
        <v>113</v>
      </c>
      <c r="AX456" s="56" t="s">
        <v>8787</v>
      </c>
      <c r="AY456" s="7" t="s">
        <v>8994</v>
      </c>
      <c r="AZ456" s="10" t="s">
        <v>8995</v>
      </c>
      <c r="BA456" s="7" t="s">
        <v>8996</v>
      </c>
      <c r="BB456" s="17">
        <v>28508</v>
      </c>
      <c r="BC456" s="17" t="s">
        <v>7112</v>
      </c>
      <c r="BD456" s="18" t="s">
        <v>8997</v>
      </c>
      <c r="BE456" s="7" t="s">
        <v>118</v>
      </c>
      <c r="BF456" s="7" t="s">
        <v>5043</v>
      </c>
      <c r="BG456" s="7" t="s">
        <v>8998</v>
      </c>
      <c r="BH456" s="7" t="s">
        <v>8999</v>
      </c>
      <c r="BI456" s="19" t="s">
        <v>9000</v>
      </c>
      <c r="BJ456" s="20" t="s">
        <v>4254</v>
      </c>
      <c r="BK456" s="21" t="s">
        <v>9001</v>
      </c>
      <c r="BL456" s="7" t="s">
        <v>9002</v>
      </c>
      <c r="BM456" s="22" t="s">
        <v>9003</v>
      </c>
      <c r="BN456" s="8" t="s">
        <v>8798</v>
      </c>
      <c r="BO456" s="17">
        <v>29486</v>
      </c>
      <c r="BP456" s="17" t="s">
        <v>96</v>
      </c>
      <c r="BQ456" s="18" t="s">
        <v>8993</v>
      </c>
      <c r="BR456" s="7" t="s">
        <v>118</v>
      </c>
      <c r="BS456" s="7" t="s">
        <v>5043</v>
      </c>
      <c r="BT456" s="7" t="s">
        <v>8998</v>
      </c>
      <c r="BU456" s="8" t="s">
        <v>8999</v>
      </c>
      <c r="BV456" s="23" t="s">
        <v>9000</v>
      </c>
      <c r="BW456" s="24" t="s">
        <v>5567</v>
      </c>
      <c r="BX456" s="21" t="s">
        <v>9004</v>
      </c>
      <c r="BY456" s="21" t="s">
        <v>9005</v>
      </c>
      <c r="BZ456" s="21" t="s">
        <v>8798</v>
      </c>
      <c r="CA456" s="21">
        <v>29924</v>
      </c>
      <c r="CB456" s="21"/>
      <c r="CC456" s="21" t="s">
        <v>9006</v>
      </c>
      <c r="CD456" s="21" t="s">
        <v>118</v>
      </c>
      <c r="CE456" s="21" t="s">
        <v>5043</v>
      </c>
      <c r="CF456" s="21" t="s">
        <v>96</v>
      </c>
      <c r="CG456" s="21" t="s">
        <v>9007</v>
      </c>
      <c r="CH456" s="21" t="s">
        <v>966</v>
      </c>
      <c r="CI456" s="21" t="s">
        <v>966</v>
      </c>
      <c r="CJ456" s="21" t="s">
        <v>8989</v>
      </c>
      <c r="CK456" s="21" t="s">
        <v>8990</v>
      </c>
      <c r="CL456" s="21" t="s">
        <v>7647</v>
      </c>
      <c r="CN456" s="25"/>
      <c r="CO456" s="25"/>
      <c r="CP456" s="25"/>
      <c r="CQ456" s="25"/>
      <c r="CR456" s="25"/>
      <c r="CS456" s="26"/>
    </row>
    <row r="457" spans="1:97" s="27" customFormat="1" ht="23.25" customHeight="1">
      <c r="A457" s="4">
        <v>403</v>
      </c>
      <c r="B457" s="6"/>
      <c r="C457" s="6"/>
      <c r="D457" s="6"/>
      <c r="E457" s="6"/>
      <c r="F457" s="6"/>
      <c r="G457" s="6"/>
      <c r="H457" s="5" t="s">
        <v>7095</v>
      </c>
      <c r="I457" s="6" t="s">
        <v>86</v>
      </c>
      <c r="J457" s="7" t="s">
        <v>8390</v>
      </c>
      <c r="K457" s="7" t="s">
        <v>8391</v>
      </c>
      <c r="L457" s="8"/>
      <c r="M457" s="5">
        <v>1735</v>
      </c>
      <c r="N457" s="5" t="s">
        <v>8392</v>
      </c>
      <c r="O457" s="9" t="s">
        <v>8393</v>
      </c>
      <c r="P457" s="10" t="s">
        <v>8394</v>
      </c>
      <c r="Q457" s="389" t="s">
        <v>8395</v>
      </c>
      <c r="R457" s="8" t="s">
        <v>9448</v>
      </c>
      <c r="S457" s="212" t="s">
        <v>12150</v>
      </c>
      <c r="T457" s="8" t="s">
        <v>8396</v>
      </c>
      <c r="U457" s="11" t="s">
        <v>93</v>
      </c>
      <c r="V457" s="12" t="s">
        <v>94</v>
      </c>
      <c r="W457" s="13">
        <v>42544</v>
      </c>
      <c r="X457" s="5" t="str">
        <f t="shared" ca="1" si="17"/>
        <v>10 Th, 2 Bln</v>
      </c>
      <c r="Y457" s="5"/>
      <c r="Z457" s="14"/>
      <c r="AA457" s="5" t="s">
        <v>96</v>
      </c>
      <c r="AB457" s="5" t="s">
        <v>97</v>
      </c>
      <c r="AC457" s="7" t="s">
        <v>8397</v>
      </c>
      <c r="AD457" s="131" t="s">
        <v>100</v>
      </c>
      <c r="AE457" s="131">
        <v>12</v>
      </c>
      <c r="AF457" s="7" t="s">
        <v>139</v>
      </c>
      <c r="AG457" s="7" t="s">
        <v>140</v>
      </c>
      <c r="AH457" s="7" t="s">
        <v>141</v>
      </c>
      <c r="AI457" s="7">
        <v>65152</v>
      </c>
      <c r="AJ457" s="7" t="s">
        <v>94</v>
      </c>
      <c r="AK457" s="7" t="s">
        <v>104</v>
      </c>
      <c r="AL457" s="7" t="s">
        <v>4915</v>
      </c>
      <c r="AM457" s="15" t="s">
        <v>127</v>
      </c>
      <c r="AN457" s="15" t="s">
        <v>8398</v>
      </c>
      <c r="AO457" s="8">
        <v>2</v>
      </c>
      <c r="AP457" s="8">
        <v>1</v>
      </c>
      <c r="AQ457" s="8">
        <v>0</v>
      </c>
      <c r="AR457" s="8">
        <v>0</v>
      </c>
      <c r="AS457" s="132" t="s">
        <v>5190</v>
      </c>
      <c r="AT457" s="131" t="s">
        <v>4957</v>
      </c>
      <c r="AU457" s="132" t="s">
        <v>182</v>
      </c>
      <c r="AV457" s="16" t="s">
        <v>212</v>
      </c>
      <c r="AW457" s="56" t="s">
        <v>1130</v>
      </c>
      <c r="AX457" s="56" t="s">
        <v>114</v>
      </c>
      <c r="AY457" s="7" t="s">
        <v>8399</v>
      </c>
      <c r="AZ457" s="10" t="s">
        <v>8400</v>
      </c>
      <c r="BA457" s="7" t="s">
        <v>222</v>
      </c>
      <c r="BB457" s="17">
        <v>31247</v>
      </c>
      <c r="BC457" s="17" t="s">
        <v>96</v>
      </c>
      <c r="BD457" s="18" t="s">
        <v>8398</v>
      </c>
      <c r="BE457" s="7" t="s">
        <v>118</v>
      </c>
      <c r="BF457" s="7" t="s">
        <v>1571</v>
      </c>
      <c r="BG457" s="7" t="s">
        <v>8401</v>
      </c>
      <c r="BH457" s="7" t="s">
        <v>8402</v>
      </c>
      <c r="BI457" s="19" t="s">
        <v>8403</v>
      </c>
      <c r="BJ457" s="20" t="s">
        <v>7341</v>
      </c>
      <c r="BK457" s="21" t="s">
        <v>8404</v>
      </c>
      <c r="BL457" s="7" t="s">
        <v>8405</v>
      </c>
      <c r="BM457" s="22" t="s">
        <v>8406</v>
      </c>
      <c r="BN457" s="8" t="s">
        <v>603</v>
      </c>
      <c r="BO457" s="17">
        <v>29975</v>
      </c>
      <c r="BP457" s="17" t="s">
        <v>96</v>
      </c>
      <c r="BQ457" s="18" t="s">
        <v>8407</v>
      </c>
      <c r="BR457" s="7" t="s">
        <v>118</v>
      </c>
      <c r="BS457" s="7" t="s">
        <v>6871</v>
      </c>
      <c r="BT457" s="7" t="s">
        <v>8408</v>
      </c>
      <c r="BU457" s="8" t="s">
        <v>8409</v>
      </c>
      <c r="BV457" s="23" t="s">
        <v>8410</v>
      </c>
      <c r="BW457" s="24" t="s">
        <v>8411</v>
      </c>
      <c r="BX457" s="21" t="s">
        <v>8412</v>
      </c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N457" s="25"/>
      <c r="CO457" s="25"/>
      <c r="CP457" s="25"/>
      <c r="CQ457" s="25"/>
      <c r="CR457" s="25"/>
      <c r="CS457" s="26"/>
    </row>
    <row r="458" spans="1:97" s="27" customFormat="1" ht="23.25" customHeight="1">
      <c r="A458" s="4">
        <v>374</v>
      </c>
      <c r="B458" s="6"/>
      <c r="C458" s="6"/>
      <c r="D458" s="6"/>
      <c r="E458" s="6"/>
      <c r="F458" s="6"/>
      <c r="G458" s="6"/>
      <c r="H458" s="5" t="s">
        <v>7095</v>
      </c>
      <c r="I458" s="6" t="s">
        <v>86</v>
      </c>
      <c r="J458" s="7" t="s">
        <v>7752</v>
      </c>
      <c r="K458" s="7" t="s">
        <v>7753</v>
      </c>
      <c r="L458" s="8"/>
      <c r="M458" s="5">
        <v>1737</v>
      </c>
      <c r="N458" s="5" t="s">
        <v>7754</v>
      </c>
      <c r="O458" s="9" t="s">
        <v>7755</v>
      </c>
      <c r="P458" s="10" t="s">
        <v>7756</v>
      </c>
      <c r="Q458" s="389" t="s">
        <v>7757</v>
      </c>
      <c r="R458" s="8" t="s">
        <v>9448</v>
      </c>
      <c r="S458" s="212" t="s">
        <v>12150</v>
      </c>
      <c r="T458" s="8" t="s">
        <v>4165</v>
      </c>
      <c r="U458" s="11" t="s">
        <v>172</v>
      </c>
      <c r="V458" s="12" t="s">
        <v>94</v>
      </c>
      <c r="W458" s="13">
        <v>42115</v>
      </c>
      <c r="X458" s="5" t="str">
        <f t="shared" ca="1" si="17"/>
        <v>11 Th, 4 Bln</v>
      </c>
      <c r="Y458" s="5"/>
      <c r="Z458" s="14"/>
      <c r="AA458" s="5" t="s">
        <v>96</v>
      </c>
      <c r="AB458" s="5" t="s">
        <v>97</v>
      </c>
      <c r="AC458" s="7" t="s">
        <v>7758</v>
      </c>
      <c r="AD458" s="131">
        <v>12</v>
      </c>
      <c r="AE458" s="131" t="s">
        <v>384</v>
      </c>
      <c r="AF458" s="7" t="s">
        <v>4569</v>
      </c>
      <c r="AG458" s="7" t="s">
        <v>140</v>
      </c>
      <c r="AH458" s="7" t="s">
        <v>141</v>
      </c>
      <c r="AI458" s="7">
        <v>65152</v>
      </c>
      <c r="AJ458" s="7" t="s">
        <v>142</v>
      </c>
      <c r="AK458" s="7" t="s">
        <v>104</v>
      </c>
      <c r="AL458" s="7" t="s">
        <v>7759</v>
      </c>
      <c r="AM458" s="15" t="s">
        <v>7760</v>
      </c>
      <c r="AN458" s="15" t="s">
        <v>7760</v>
      </c>
      <c r="AO458" s="8">
        <v>1</v>
      </c>
      <c r="AP458" s="8">
        <v>2</v>
      </c>
      <c r="AQ458" s="8"/>
      <c r="AR458" s="8"/>
      <c r="AS458" s="132" t="s">
        <v>1266</v>
      </c>
      <c r="AT458" s="131" t="s">
        <v>5519</v>
      </c>
      <c r="AU458" s="132" t="s">
        <v>182</v>
      </c>
      <c r="AV458" s="16" t="s">
        <v>112</v>
      </c>
      <c r="AW458" s="56" t="s">
        <v>113</v>
      </c>
      <c r="AX458" s="56" t="s">
        <v>114</v>
      </c>
      <c r="AY458" s="7" t="s">
        <v>7761</v>
      </c>
      <c r="AZ458" s="10" t="s">
        <v>7762</v>
      </c>
      <c r="BA458" s="7" t="s">
        <v>2554</v>
      </c>
      <c r="BB458" s="17">
        <v>31857</v>
      </c>
      <c r="BC458" s="17" t="s">
        <v>96</v>
      </c>
      <c r="BD458" s="18" t="s">
        <v>7763</v>
      </c>
      <c r="BE458" s="7" t="s">
        <v>118</v>
      </c>
      <c r="BF458" s="7" t="s">
        <v>276</v>
      </c>
      <c r="BG458" s="7" t="s">
        <v>7764</v>
      </c>
      <c r="BH458" s="7" t="s">
        <v>7765</v>
      </c>
      <c r="BI458" s="19" t="s">
        <v>7766</v>
      </c>
      <c r="BJ458" s="20">
        <v>2200000</v>
      </c>
      <c r="BK458" s="21" t="s">
        <v>7767</v>
      </c>
      <c r="BL458" s="7" t="s">
        <v>7768</v>
      </c>
      <c r="BM458" s="22" t="s">
        <v>7769</v>
      </c>
      <c r="BN458" s="8" t="s">
        <v>222</v>
      </c>
      <c r="BO458" s="17">
        <v>31765</v>
      </c>
      <c r="BP458" s="17" t="s">
        <v>96</v>
      </c>
      <c r="BQ458" s="18" t="s">
        <v>7760</v>
      </c>
      <c r="BR458" s="7" t="s">
        <v>118</v>
      </c>
      <c r="BS458" s="7" t="s">
        <v>7770</v>
      </c>
      <c r="BT458" s="7" t="s">
        <v>7771</v>
      </c>
      <c r="BU458" s="8" t="s">
        <v>7772</v>
      </c>
      <c r="BV458" s="23" t="s">
        <v>7325</v>
      </c>
      <c r="BW458" s="24">
        <v>4000000</v>
      </c>
      <c r="BX458" s="21" t="s">
        <v>7773</v>
      </c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N458" s="25"/>
      <c r="CO458" s="25"/>
      <c r="CP458" s="25"/>
      <c r="CQ458" s="25"/>
      <c r="CR458" s="25"/>
      <c r="CS458" s="26"/>
    </row>
    <row r="459" spans="1:97" s="27" customFormat="1" ht="23.25" customHeight="1">
      <c r="A459" s="4">
        <v>405</v>
      </c>
      <c r="B459" s="6"/>
      <c r="C459" s="6"/>
      <c r="D459" s="6"/>
      <c r="E459" s="6"/>
      <c r="F459" s="6"/>
      <c r="G459" s="6"/>
      <c r="H459" s="5" t="s">
        <v>7095</v>
      </c>
      <c r="I459" s="6" t="s">
        <v>86</v>
      </c>
      <c r="J459" s="7" t="s">
        <v>8430</v>
      </c>
      <c r="K459" s="7" t="s">
        <v>8431</v>
      </c>
      <c r="L459" s="8"/>
      <c r="M459" s="5">
        <v>1740</v>
      </c>
      <c r="N459" s="5" t="s">
        <v>8432</v>
      </c>
      <c r="O459" s="9" t="s">
        <v>8433</v>
      </c>
      <c r="P459" s="10" t="s">
        <v>8434</v>
      </c>
      <c r="Q459" s="389" t="s">
        <v>8435</v>
      </c>
      <c r="R459" s="8" t="s">
        <v>9448</v>
      </c>
      <c r="S459" s="212" t="s">
        <v>12150</v>
      </c>
      <c r="T459" s="8" t="s">
        <v>8436</v>
      </c>
      <c r="U459" s="11" t="s">
        <v>172</v>
      </c>
      <c r="V459" s="12" t="s">
        <v>502</v>
      </c>
      <c r="W459" s="13">
        <v>42327</v>
      </c>
      <c r="X459" s="5" t="str">
        <f t="shared" ca="1" si="17"/>
        <v>10 Th, 9 Bln</v>
      </c>
      <c r="Y459" s="5"/>
      <c r="Z459" s="14"/>
      <c r="AA459" s="5" t="s">
        <v>96</v>
      </c>
      <c r="AB459" s="5" t="s">
        <v>97</v>
      </c>
      <c r="AC459" s="7" t="s">
        <v>8437</v>
      </c>
      <c r="AD459" s="131">
        <v>5</v>
      </c>
      <c r="AE459" s="131">
        <v>3</v>
      </c>
      <c r="AF459" s="7" t="s">
        <v>7781</v>
      </c>
      <c r="AG459" s="7" t="s">
        <v>7496</v>
      </c>
      <c r="AH459" s="7" t="s">
        <v>141</v>
      </c>
      <c r="AI459" s="7">
        <v>65152</v>
      </c>
      <c r="AJ459" s="7" t="s">
        <v>5047</v>
      </c>
      <c r="AK459" s="7" t="s">
        <v>104</v>
      </c>
      <c r="AL459" s="7" t="s">
        <v>5118</v>
      </c>
      <c r="AM459" s="15" t="s">
        <v>127</v>
      </c>
      <c r="AN459" s="15" t="s">
        <v>8438</v>
      </c>
      <c r="AO459" s="8">
        <v>1</v>
      </c>
      <c r="AP459" s="8">
        <v>0</v>
      </c>
      <c r="AQ459" s="8">
        <v>0</v>
      </c>
      <c r="AR459" s="8">
        <v>0</v>
      </c>
      <c r="AS459" s="132">
        <v>114</v>
      </c>
      <c r="AT459" s="131">
        <v>18</v>
      </c>
      <c r="AU459" s="132" t="s">
        <v>182</v>
      </c>
      <c r="AV459" s="16" t="s">
        <v>112</v>
      </c>
      <c r="AW459" s="56" t="s">
        <v>344</v>
      </c>
      <c r="AX459" s="56" t="s">
        <v>7136</v>
      </c>
      <c r="AY459" s="7" t="s">
        <v>8439</v>
      </c>
      <c r="AZ459" s="10" t="s">
        <v>8440</v>
      </c>
      <c r="BA459" s="7" t="s">
        <v>7619</v>
      </c>
      <c r="BB459" s="17">
        <v>33750</v>
      </c>
      <c r="BC459" s="17" t="s">
        <v>7112</v>
      </c>
      <c r="BD459" s="18" t="s">
        <v>8441</v>
      </c>
      <c r="BE459" s="7" t="s">
        <v>216</v>
      </c>
      <c r="BF459" s="7" t="s">
        <v>5043</v>
      </c>
      <c r="BG459" s="7" t="s">
        <v>8442</v>
      </c>
      <c r="BH459" s="7" t="s">
        <v>8443</v>
      </c>
      <c r="BI459" s="19" t="s">
        <v>8444</v>
      </c>
      <c r="BJ459" s="20">
        <v>10000000</v>
      </c>
      <c r="BK459" s="21" t="s">
        <v>8445</v>
      </c>
      <c r="BL459" s="7" t="s">
        <v>8446</v>
      </c>
      <c r="BM459" s="22" t="s">
        <v>8447</v>
      </c>
      <c r="BN459" s="8" t="s">
        <v>8038</v>
      </c>
      <c r="BO459" s="17">
        <v>34090</v>
      </c>
      <c r="BP459" s="17" t="s">
        <v>96</v>
      </c>
      <c r="BQ459" s="18" t="s">
        <v>8438</v>
      </c>
      <c r="BR459" s="7" t="s">
        <v>118</v>
      </c>
      <c r="BS459" s="7" t="s">
        <v>5043</v>
      </c>
      <c r="BT459" s="7" t="s">
        <v>8448</v>
      </c>
      <c r="BU459" s="8" t="s">
        <v>8449</v>
      </c>
      <c r="BV459" s="23" t="s">
        <v>8438</v>
      </c>
      <c r="BW459" s="24">
        <v>3000000</v>
      </c>
      <c r="BX459" s="21" t="s">
        <v>8450</v>
      </c>
      <c r="BY459" s="21" t="s">
        <v>8451</v>
      </c>
      <c r="BZ459" s="21" t="s">
        <v>8038</v>
      </c>
      <c r="CA459" s="21">
        <v>22933</v>
      </c>
      <c r="CB459" s="21"/>
      <c r="CC459" s="21" t="s">
        <v>8452</v>
      </c>
      <c r="CD459" s="21" t="s">
        <v>118</v>
      </c>
      <c r="CE459" s="21" t="s">
        <v>8453</v>
      </c>
      <c r="CF459" s="21" t="s">
        <v>96</v>
      </c>
      <c r="CG459" s="21" t="s">
        <v>8454</v>
      </c>
      <c r="CH459" s="21">
        <v>4</v>
      </c>
      <c r="CI459" s="21">
        <v>9</v>
      </c>
      <c r="CJ459" s="21" t="s">
        <v>8455</v>
      </c>
      <c r="CK459" s="21" t="s">
        <v>8038</v>
      </c>
      <c r="CL459" s="21" t="s">
        <v>8038</v>
      </c>
      <c r="CN459" s="25"/>
      <c r="CO459" s="25"/>
      <c r="CP459" s="25"/>
      <c r="CQ459" s="25"/>
      <c r="CR459" s="25"/>
      <c r="CS459" s="26"/>
    </row>
    <row r="460" spans="1:97" s="27" customFormat="1" ht="23.25" customHeight="1">
      <c r="A460" s="4">
        <v>406</v>
      </c>
      <c r="B460" s="6"/>
      <c r="C460" s="6"/>
      <c r="D460" s="6"/>
      <c r="E460" s="6"/>
      <c r="F460" s="6"/>
      <c r="G460" s="6"/>
      <c r="H460" s="5" t="s">
        <v>7095</v>
      </c>
      <c r="I460" s="6" t="s">
        <v>86</v>
      </c>
      <c r="J460" s="7" t="s">
        <v>2794</v>
      </c>
      <c r="K460" s="7" t="s">
        <v>8456</v>
      </c>
      <c r="L460" s="8"/>
      <c r="M460" s="5">
        <v>1743</v>
      </c>
      <c r="N460" s="5" t="s">
        <v>8457</v>
      </c>
      <c r="O460" s="9" t="s">
        <v>8458</v>
      </c>
      <c r="P460" s="10" t="s">
        <v>8459</v>
      </c>
      <c r="Q460" s="389" t="s">
        <v>8460</v>
      </c>
      <c r="R460" s="8" t="s">
        <v>9448</v>
      </c>
      <c r="S460" s="212" t="s">
        <v>12150</v>
      </c>
      <c r="T460" s="8" t="s">
        <v>8461</v>
      </c>
      <c r="U460" s="11" t="s">
        <v>93</v>
      </c>
      <c r="V460" s="12" t="s">
        <v>94</v>
      </c>
      <c r="W460" s="13">
        <v>42350</v>
      </c>
      <c r="X460" s="5" t="str">
        <f t="shared" ca="1" si="17"/>
        <v>10 Th, 9 Bln</v>
      </c>
      <c r="Y460" s="5"/>
      <c r="Z460" s="14"/>
      <c r="AA460" s="5" t="s">
        <v>96</v>
      </c>
      <c r="AB460" s="5" t="s">
        <v>97</v>
      </c>
      <c r="AC460" s="7" t="s">
        <v>8462</v>
      </c>
      <c r="AD460" s="131">
        <v>7</v>
      </c>
      <c r="AE460" s="131">
        <v>4</v>
      </c>
      <c r="AF460" s="7" t="s">
        <v>8463</v>
      </c>
      <c r="AG460" s="7" t="s">
        <v>7307</v>
      </c>
      <c r="AH460" s="7" t="s">
        <v>178</v>
      </c>
      <c r="AI460" s="7">
        <v>65143</v>
      </c>
      <c r="AJ460" s="7" t="s">
        <v>7713</v>
      </c>
      <c r="AK460" s="7" t="s">
        <v>104</v>
      </c>
      <c r="AL460" s="7" t="s">
        <v>7714</v>
      </c>
      <c r="AM460" s="15" t="s">
        <v>8464</v>
      </c>
      <c r="AN460" s="15" t="s">
        <v>8465</v>
      </c>
      <c r="AO460" s="8">
        <v>1</v>
      </c>
      <c r="AP460" s="8">
        <v>1</v>
      </c>
      <c r="AQ460" s="8">
        <v>0</v>
      </c>
      <c r="AR460" s="8">
        <v>0</v>
      </c>
      <c r="AS460" s="132" t="s">
        <v>618</v>
      </c>
      <c r="AT460" s="131" t="s">
        <v>8027</v>
      </c>
      <c r="AU460" s="132" t="s">
        <v>182</v>
      </c>
      <c r="AV460" s="16" t="s">
        <v>112</v>
      </c>
      <c r="AW460" s="56" t="s">
        <v>3019</v>
      </c>
      <c r="AX460" s="56" t="s">
        <v>7311</v>
      </c>
      <c r="AY460" s="7" t="s">
        <v>8466</v>
      </c>
      <c r="AZ460" s="10" t="s">
        <v>8467</v>
      </c>
      <c r="BA460" s="7" t="s">
        <v>7713</v>
      </c>
      <c r="BB460" s="17">
        <v>31966</v>
      </c>
      <c r="BC460" s="17" t="s">
        <v>7719</v>
      </c>
      <c r="BD460" s="18" t="s">
        <v>8464</v>
      </c>
      <c r="BE460" s="7" t="s">
        <v>118</v>
      </c>
      <c r="BF460" s="7" t="s">
        <v>8468</v>
      </c>
      <c r="BG460" s="7" t="s">
        <v>8469</v>
      </c>
      <c r="BH460" s="7" t="s">
        <v>8470</v>
      </c>
      <c r="BI460" s="19" t="s">
        <v>8471</v>
      </c>
      <c r="BJ460" s="20">
        <v>10000000</v>
      </c>
      <c r="BK460" s="21" t="s">
        <v>8472</v>
      </c>
      <c r="BL460" s="7" t="s">
        <v>8473</v>
      </c>
      <c r="BM460" s="22" t="s">
        <v>8474</v>
      </c>
      <c r="BN460" s="8" t="s">
        <v>7713</v>
      </c>
      <c r="BO460" s="17">
        <v>32015</v>
      </c>
      <c r="BP460" s="17" t="s">
        <v>96</v>
      </c>
      <c r="BQ460" s="18" t="s">
        <v>8465</v>
      </c>
      <c r="BR460" s="7" t="s">
        <v>118</v>
      </c>
      <c r="BS460" s="7" t="s">
        <v>254</v>
      </c>
      <c r="BT460" s="7" t="s">
        <v>8475</v>
      </c>
      <c r="BU460" s="8" t="s">
        <v>8475</v>
      </c>
      <c r="BV460" s="23" t="s">
        <v>3019</v>
      </c>
      <c r="BW460" s="24" t="s">
        <v>8476</v>
      </c>
      <c r="BX460" s="21" t="s">
        <v>8477</v>
      </c>
      <c r="BY460" s="21" t="s">
        <v>8478</v>
      </c>
      <c r="BZ460" s="21" t="s">
        <v>7713</v>
      </c>
      <c r="CA460" s="21">
        <v>21433</v>
      </c>
      <c r="CB460" s="21"/>
      <c r="CC460" s="21" t="s">
        <v>8479</v>
      </c>
      <c r="CD460" s="21" t="s">
        <v>118</v>
      </c>
      <c r="CE460" s="21" t="s">
        <v>8480</v>
      </c>
      <c r="CF460" s="21" t="s">
        <v>96</v>
      </c>
      <c r="CG460" s="21" t="s">
        <v>8481</v>
      </c>
      <c r="CH460" s="21">
        <v>7</v>
      </c>
      <c r="CI460" s="21">
        <v>7</v>
      </c>
      <c r="CJ460" s="21" t="s">
        <v>8482</v>
      </c>
      <c r="CK460" s="21" t="s">
        <v>7307</v>
      </c>
      <c r="CL460" s="21" t="s">
        <v>7713</v>
      </c>
      <c r="CN460" s="25"/>
      <c r="CO460" s="25"/>
      <c r="CP460" s="25"/>
      <c r="CQ460" s="25"/>
      <c r="CR460" s="25"/>
      <c r="CS460" s="26"/>
    </row>
    <row r="461" spans="1:97" s="27" customFormat="1" ht="23.25" customHeight="1">
      <c r="A461" s="4">
        <v>434</v>
      </c>
      <c r="B461" s="6"/>
      <c r="C461" s="6"/>
      <c r="D461" s="6"/>
      <c r="E461" s="6"/>
      <c r="F461" s="6"/>
      <c r="G461" s="6"/>
      <c r="H461" s="5" t="s">
        <v>7095</v>
      </c>
      <c r="I461" s="6" t="s">
        <v>86</v>
      </c>
      <c r="J461" s="7" t="s">
        <v>166</v>
      </c>
      <c r="K461" s="7" t="s">
        <v>609</v>
      </c>
      <c r="L461" s="8"/>
      <c r="M461" s="5">
        <v>1748</v>
      </c>
      <c r="N461" s="5" t="s">
        <v>9076</v>
      </c>
      <c r="O461" s="9" t="s">
        <v>9077</v>
      </c>
      <c r="P461" s="10" t="s">
        <v>9078</v>
      </c>
      <c r="Q461" s="389" t="s">
        <v>9079</v>
      </c>
      <c r="R461" s="8" t="s">
        <v>9448</v>
      </c>
      <c r="S461" s="212" t="s">
        <v>12150</v>
      </c>
      <c r="T461" s="8" t="s">
        <v>9080</v>
      </c>
      <c r="U461" s="11" t="s">
        <v>172</v>
      </c>
      <c r="V461" s="12" t="s">
        <v>94</v>
      </c>
      <c r="W461" s="13">
        <v>42291</v>
      </c>
      <c r="X461" s="5" t="str">
        <f t="shared" ca="1" si="17"/>
        <v>10 Th, 11 Bln</v>
      </c>
      <c r="Y461" s="5"/>
      <c r="Z461" s="14"/>
      <c r="AA461" s="5" t="s">
        <v>96</v>
      </c>
      <c r="AB461" s="5" t="s">
        <v>97</v>
      </c>
      <c r="AC461" s="7" t="s">
        <v>9081</v>
      </c>
      <c r="AD461" s="131" t="s">
        <v>138</v>
      </c>
      <c r="AE461" s="131" t="s">
        <v>1281</v>
      </c>
      <c r="AF461" s="7" t="s">
        <v>5506</v>
      </c>
      <c r="AG461" s="7" t="s">
        <v>5046</v>
      </c>
      <c r="AH461" s="7" t="s">
        <v>178</v>
      </c>
      <c r="AI461" s="7">
        <v>65142</v>
      </c>
      <c r="AJ461" s="7" t="s">
        <v>5047</v>
      </c>
      <c r="AK461" s="7" t="s">
        <v>104</v>
      </c>
      <c r="AL461" s="7" t="s">
        <v>7874</v>
      </c>
      <c r="AM461" s="15" t="s">
        <v>9082</v>
      </c>
      <c r="AN461" s="15" t="s">
        <v>9082</v>
      </c>
      <c r="AO461" s="8">
        <v>2</v>
      </c>
      <c r="AP461" s="8">
        <v>1</v>
      </c>
      <c r="AQ461" s="8"/>
      <c r="AR461" s="8"/>
      <c r="AS461" s="132" t="s">
        <v>300</v>
      </c>
      <c r="AT461" s="131" t="s">
        <v>299</v>
      </c>
      <c r="AU461" s="132" t="s">
        <v>182</v>
      </c>
      <c r="AV461" s="16" t="s">
        <v>112</v>
      </c>
      <c r="AW461" s="56" t="s">
        <v>9083</v>
      </c>
      <c r="AX461" s="56" t="s">
        <v>7108</v>
      </c>
      <c r="AY461" s="7" t="s">
        <v>9084</v>
      </c>
      <c r="AZ461" s="10" t="s">
        <v>2892</v>
      </c>
      <c r="BA461" s="7" t="s">
        <v>5042</v>
      </c>
      <c r="BB461" s="17">
        <v>31333</v>
      </c>
      <c r="BC461" s="17" t="s">
        <v>7112</v>
      </c>
      <c r="BD461" s="18" t="s">
        <v>9085</v>
      </c>
      <c r="BE461" s="7" t="s">
        <v>118</v>
      </c>
      <c r="BF461" s="7" t="s">
        <v>4975</v>
      </c>
      <c r="BG461" s="7" t="s">
        <v>9086</v>
      </c>
      <c r="BH461" s="7" t="s">
        <v>9087</v>
      </c>
      <c r="BI461" s="19"/>
      <c r="BJ461" s="20" t="s">
        <v>9088</v>
      </c>
      <c r="BK461" s="21" t="s">
        <v>9089</v>
      </c>
      <c r="BL461" s="7" t="s">
        <v>9090</v>
      </c>
      <c r="BM461" s="22" t="s">
        <v>2892</v>
      </c>
      <c r="BN461" s="8" t="s">
        <v>5047</v>
      </c>
      <c r="BO461" s="17">
        <v>31435</v>
      </c>
      <c r="BP461" s="17" t="s">
        <v>96</v>
      </c>
      <c r="BQ461" s="18" t="s">
        <v>9082</v>
      </c>
      <c r="BR461" s="7" t="s">
        <v>118</v>
      </c>
      <c r="BS461" s="7" t="s">
        <v>254</v>
      </c>
      <c r="BT461" s="7" t="s">
        <v>7983</v>
      </c>
      <c r="BU461" s="8" t="s">
        <v>7983</v>
      </c>
      <c r="BV461" s="23" t="s">
        <v>9091</v>
      </c>
      <c r="BW461" s="24" t="s">
        <v>2892</v>
      </c>
      <c r="BX461" s="21" t="s">
        <v>9089</v>
      </c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N461" s="25"/>
      <c r="CO461" s="25"/>
      <c r="CP461" s="25"/>
      <c r="CQ461" s="25"/>
      <c r="CR461" s="25"/>
      <c r="CS461" s="26"/>
    </row>
    <row r="462" spans="1:97" s="27" customFormat="1" ht="23.25" customHeight="1">
      <c r="A462" s="4">
        <v>407</v>
      </c>
      <c r="B462" s="6"/>
      <c r="C462" s="6"/>
      <c r="D462" s="6"/>
      <c r="E462" s="6"/>
      <c r="F462" s="6"/>
      <c r="G462" s="6"/>
      <c r="H462" s="5" t="s">
        <v>7095</v>
      </c>
      <c r="I462" s="6" t="s">
        <v>86</v>
      </c>
      <c r="J462" s="7" t="s">
        <v>8483</v>
      </c>
      <c r="K462" s="7" t="s">
        <v>2567</v>
      </c>
      <c r="L462" s="8"/>
      <c r="M462" s="5">
        <v>1751</v>
      </c>
      <c r="N462" s="5">
        <v>151393772</v>
      </c>
      <c r="O462" s="9" t="s">
        <v>8484</v>
      </c>
      <c r="P462" s="10" t="s">
        <v>8485</v>
      </c>
      <c r="Q462" s="389" t="s">
        <v>8486</v>
      </c>
      <c r="R462" s="8" t="s">
        <v>9448</v>
      </c>
      <c r="S462" s="504" t="s">
        <v>12150</v>
      </c>
      <c r="T462" s="8" t="s">
        <v>8487</v>
      </c>
      <c r="U462" s="11" t="s">
        <v>93</v>
      </c>
      <c r="V462" s="12" t="s">
        <v>94</v>
      </c>
      <c r="W462" s="13">
        <v>42186</v>
      </c>
      <c r="X462" s="5" t="str">
        <f t="shared" ca="1" si="17"/>
        <v>11 Th, 2 Bln</v>
      </c>
      <c r="Y462" s="5"/>
      <c r="Z462" s="14"/>
      <c r="AA462" s="5" t="s">
        <v>96</v>
      </c>
      <c r="AB462" s="5" t="s">
        <v>97</v>
      </c>
      <c r="AC462" s="7" t="s">
        <v>8488</v>
      </c>
      <c r="AD462" s="131" t="s">
        <v>358</v>
      </c>
      <c r="AE462" s="131" t="s">
        <v>1281</v>
      </c>
      <c r="AF462" s="7" t="s">
        <v>1740</v>
      </c>
      <c r="AG462" s="7" t="s">
        <v>178</v>
      </c>
      <c r="AH462" s="7" t="s">
        <v>178</v>
      </c>
      <c r="AI462" s="7">
        <v>65144</v>
      </c>
      <c r="AJ462" s="7" t="s">
        <v>544</v>
      </c>
      <c r="AK462" s="7" t="s">
        <v>179</v>
      </c>
      <c r="AL462" s="7">
        <v>2</v>
      </c>
      <c r="AM462" s="15" t="s">
        <v>8489</v>
      </c>
      <c r="AN462" s="15" t="s">
        <v>8490</v>
      </c>
      <c r="AO462" s="8">
        <v>4</v>
      </c>
      <c r="AP462" s="8">
        <v>3</v>
      </c>
      <c r="AQ462" s="8" t="s">
        <v>127</v>
      </c>
      <c r="AR462" s="8" t="s">
        <v>127</v>
      </c>
      <c r="AS462" s="132">
        <v>120</v>
      </c>
      <c r="AT462" s="131">
        <v>20</v>
      </c>
      <c r="AU462" s="132" t="s">
        <v>182</v>
      </c>
      <c r="AV462" s="16" t="s">
        <v>112</v>
      </c>
      <c r="AW462" s="56" t="s">
        <v>344</v>
      </c>
      <c r="AX462" s="56" t="s">
        <v>114</v>
      </c>
      <c r="AY462" s="7" t="s">
        <v>8491</v>
      </c>
      <c r="AZ462" s="10" t="s">
        <v>8492</v>
      </c>
      <c r="BA462" s="7" t="s">
        <v>713</v>
      </c>
      <c r="BB462" s="17">
        <v>26394</v>
      </c>
      <c r="BC462" s="17" t="s">
        <v>96</v>
      </c>
      <c r="BD462" s="18" t="s">
        <v>8493</v>
      </c>
      <c r="BE462" s="7" t="s">
        <v>224</v>
      </c>
      <c r="BF462" s="7" t="s">
        <v>154</v>
      </c>
      <c r="BG462" s="7" t="s">
        <v>8494</v>
      </c>
      <c r="BH462" s="7" t="s">
        <v>8495</v>
      </c>
      <c r="BI462" s="19" t="s">
        <v>8496</v>
      </c>
      <c r="BJ462" s="20">
        <v>25000000</v>
      </c>
      <c r="BK462" s="21" t="s">
        <v>8497</v>
      </c>
      <c r="BL462" s="7" t="s">
        <v>8498</v>
      </c>
      <c r="BM462" s="22" t="s">
        <v>8499</v>
      </c>
      <c r="BN462" s="8" t="s">
        <v>2016</v>
      </c>
      <c r="BO462" s="17">
        <v>29532</v>
      </c>
      <c r="BP462" s="17" t="s">
        <v>96</v>
      </c>
      <c r="BQ462" s="18" t="s">
        <v>8490</v>
      </c>
      <c r="BR462" s="7" t="s">
        <v>153</v>
      </c>
      <c r="BS462" s="7" t="s">
        <v>925</v>
      </c>
      <c r="BT462" s="7" t="s">
        <v>8500</v>
      </c>
      <c r="BU462" s="8" t="s">
        <v>8501</v>
      </c>
      <c r="BV462" s="23" t="s">
        <v>8502</v>
      </c>
      <c r="BW462" s="24">
        <v>25000000</v>
      </c>
      <c r="BX462" s="21" t="s">
        <v>8503</v>
      </c>
      <c r="BY462" s="21" t="s">
        <v>8504</v>
      </c>
      <c r="BZ462" s="21" t="s">
        <v>94</v>
      </c>
      <c r="CA462" s="21">
        <v>21534</v>
      </c>
      <c r="CB462" s="21"/>
      <c r="CC462" s="21" t="s">
        <v>8505</v>
      </c>
      <c r="CD462" s="21" t="s">
        <v>118</v>
      </c>
      <c r="CE462" s="21" t="s">
        <v>913</v>
      </c>
      <c r="CF462" s="21" t="s">
        <v>96</v>
      </c>
      <c r="CG462" s="21" t="s">
        <v>8506</v>
      </c>
      <c r="CH462" s="21" t="s">
        <v>1281</v>
      </c>
      <c r="CI462" s="21" t="s">
        <v>175</v>
      </c>
      <c r="CJ462" s="21" t="s">
        <v>8507</v>
      </c>
      <c r="CK462" s="21" t="s">
        <v>8508</v>
      </c>
      <c r="CL462" s="21" t="s">
        <v>544</v>
      </c>
      <c r="CN462" s="25"/>
      <c r="CO462" s="25"/>
      <c r="CP462" s="25"/>
      <c r="CQ462" s="25"/>
      <c r="CR462" s="25"/>
      <c r="CS462" s="26"/>
    </row>
    <row r="463" spans="1:97" s="27" customFormat="1" ht="23.25" customHeight="1">
      <c r="A463" s="4">
        <v>413</v>
      </c>
      <c r="B463" s="6"/>
      <c r="C463" s="6"/>
      <c r="D463" s="6"/>
      <c r="E463" s="6"/>
      <c r="F463" s="6"/>
      <c r="G463" s="6"/>
      <c r="H463" s="13">
        <v>45234</v>
      </c>
      <c r="I463" s="6" t="s">
        <v>4774</v>
      </c>
      <c r="J463" s="7" t="s">
        <v>8620</v>
      </c>
      <c r="K463" s="7" t="s">
        <v>8621</v>
      </c>
      <c r="L463" s="8"/>
      <c r="M463" s="5">
        <v>1956</v>
      </c>
      <c r="N463" s="5">
        <v>3150829055</v>
      </c>
      <c r="O463" s="9" t="s">
        <v>8622</v>
      </c>
      <c r="P463" s="10" t="s">
        <v>8623</v>
      </c>
      <c r="Q463" s="389" t="s">
        <v>8624</v>
      </c>
      <c r="R463" s="8" t="s">
        <v>9448</v>
      </c>
      <c r="S463" s="212" t="s">
        <v>12150</v>
      </c>
      <c r="T463" s="8" t="s">
        <v>8625</v>
      </c>
      <c r="U463" s="11" t="s">
        <v>93</v>
      </c>
      <c r="V463" s="12" t="s">
        <v>6690</v>
      </c>
      <c r="W463" s="13" t="s">
        <v>8626</v>
      </c>
      <c r="X463" s="5" t="e">
        <f t="shared" ca="1" si="17"/>
        <v>#VALUE!</v>
      </c>
      <c r="Y463" s="5"/>
      <c r="Z463" s="14"/>
      <c r="AA463" s="5" t="s">
        <v>737</v>
      </c>
      <c r="AB463" s="5" t="s">
        <v>8627</v>
      </c>
      <c r="AC463" s="7" t="s">
        <v>8628</v>
      </c>
      <c r="AD463" s="131">
        <v>1</v>
      </c>
      <c r="AE463" s="131">
        <v>3</v>
      </c>
      <c r="AF463" s="7" t="s">
        <v>6320</v>
      </c>
      <c r="AG463" s="7" t="s">
        <v>547</v>
      </c>
      <c r="AH463" s="7" t="s">
        <v>178</v>
      </c>
      <c r="AI463" s="7">
        <v>65141</v>
      </c>
      <c r="AJ463" s="7" t="s">
        <v>568</v>
      </c>
      <c r="AK463" s="7"/>
      <c r="AL463" s="7"/>
      <c r="AM463" s="15" t="s">
        <v>8629</v>
      </c>
      <c r="AN463" s="15" t="s">
        <v>8629</v>
      </c>
      <c r="AO463" s="8">
        <v>1</v>
      </c>
      <c r="AP463" s="8"/>
      <c r="AQ463" s="8"/>
      <c r="AR463" s="8"/>
      <c r="AS463" s="132">
        <v>115</v>
      </c>
      <c r="AT463" s="131">
        <v>28</v>
      </c>
      <c r="AU463" s="132" t="s">
        <v>182</v>
      </c>
      <c r="AV463" s="16"/>
      <c r="AW463" s="56"/>
      <c r="AX463" s="56"/>
      <c r="AY463" s="7" t="s">
        <v>8630</v>
      </c>
      <c r="AZ463" s="10" t="s">
        <v>8631</v>
      </c>
      <c r="BA463" s="7" t="s">
        <v>544</v>
      </c>
      <c r="BB463" s="17">
        <v>32155</v>
      </c>
      <c r="BC463" s="17"/>
      <c r="BD463" s="18" t="s">
        <v>8632</v>
      </c>
      <c r="BE463" s="7" t="s">
        <v>118</v>
      </c>
      <c r="BF463" s="7" t="s">
        <v>5215</v>
      </c>
      <c r="BG463" s="7" t="s">
        <v>8633</v>
      </c>
      <c r="BH463" s="7" t="s">
        <v>6873</v>
      </c>
      <c r="BI463" s="19"/>
      <c r="BJ463" s="20"/>
      <c r="BK463" s="21" t="s">
        <v>8634</v>
      </c>
      <c r="BL463" s="7" t="s">
        <v>8635</v>
      </c>
      <c r="BM463" s="22" t="s">
        <v>8636</v>
      </c>
      <c r="BN463" s="8" t="s">
        <v>8637</v>
      </c>
      <c r="BO463" s="17">
        <v>34066</v>
      </c>
      <c r="BP463" s="17"/>
      <c r="BQ463" s="18" t="s">
        <v>8629</v>
      </c>
      <c r="BR463" s="7" t="s">
        <v>8638</v>
      </c>
      <c r="BS463" s="7" t="s">
        <v>8639</v>
      </c>
      <c r="BT463" s="7"/>
      <c r="BU463" s="8" t="s">
        <v>8640</v>
      </c>
      <c r="BV463" s="23"/>
      <c r="BW463" s="24"/>
      <c r="BX463" s="21" t="s">
        <v>8641</v>
      </c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N463" s="25"/>
      <c r="CO463" s="25"/>
      <c r="CP463" s="25"/>
      <c r="CQ463" s="25"/>
      <c r="CR463" s="25"/>
      <c r="CS463" s="26"/>
    </row>
    <row r="464" spans="1:97" s="27" customFormat="1" ht="23.25" customHeight="1">
      <c r="A464" s="4">
        <v>383</v>
      </c>
      <c r="B464" s="6"/>
      <c r="C464" s="6"/>
      <c r="D464" s="6"/>
      <c r="E464" s="6"/>
      <c r="F464" s="6"/>
      <c r="G464" s="6"/>
      <c r="H464" s="5" t="s">
        <v>7095</v>
      </c>
      <c r="I464" s="6" t="s">
        <v>86</v>
      </c>
      <c r="J464" s="7" t="s">
        <v>7926</v>
      </c>
      <c r="K464" s="7" t="s">
        <v>7927</v>
      </c>
      <c r="L464" s="8"/>
      <c r="M464" s="5">
        <v>1768</v>
      </c>
      <c r="N464" s="5" t="s">
        <v>7928</v>
      </c>
      <c r="O464" s="9" t="s">
        <v>7929</v>
      </c>
      <c r="P464" s="10" t="s">
        <v>7930</v>
      </c>
      <c r="Q464" s="389" t="s">
        <v>7931</v>
      </c>
      <c r="R464" s="8" t="s">
        <v>9448</v>
      </c>
      <c r="S464" s="212" t="s">
        <v>12150</v>
      </c>
      <c r="T464" s="8" t="s">
        <v>7932</v>
      </c>
      <c r="U464" s="11" t="s">
        <v>93</v>
      </c>
      <c r="V464" s="12" t="s">
        <v>94</v>
      </c>
      <c r="W464" s="13">
        <v>42311</v>
      </c>
      <c r="X464" s="5" t="str">
        <f t="shared" ca="1" si="17"/>
        <v>10 Th, 10 Bln</v>
      </c>
      <c r="Y464" s="5"/>
      <c r="Z464" s="14"/>
      <c r="AA464" s="5" t="s">
        <v>96</v>
      </c>
      <c r="AB464" s="5" t="s">
        <v>97</v>
      </c>
      <c r="AC464" s="7" t="s">
        <v>7933</v>
      </c>
      <c r="AD464" s="131" t="s">
        <v>207</v>
      </c>
      <c r="AE464" s="131" t="s">
        <v>99</v>
      </c>
      <c r="AF464" s="7" t="s">
        <v>5506</v>
      </c>
      <c r="AG464" s="7" t="s">
        <v>5046</v>
      </c>
      <c r="AH464" s="7" t="s">
        <v>178</v>
      </c>
      <c r="AI464" s="7">
        <v>65142</v>
      </c>
      <c r="AJ464" s="7" t="s">
        <v>5047</v>
      </c>
      <c r="AK464" s="7" t="s">
        <v>104</v>
      </c>
      <c r="AL464" s="7" t="s">
        <v>7934</v>
      </c>
      <c r="AM464" s="15" t="s">
        <v>7935</v>
      </c>
      <c r="AN464" s="15" t="s">
        <v>7935</v>
      </c>
      <c r="AO464" s="8">
        <v>1</v>
      </c>
      <c r="AP464" s="8">
        <v>1</v>
      </c>
      <c r="AQ464" s="8"/>
      <c r="AR464" s="8"/>
      <c r="AS464" s="132">
        <v>120</v>
      </c>
      <c r="AT464" s="131">
        <v>25</v>
      </c>
      <c r="AU464" s="132" t="s">
        <v>149</v>
      </c>
      <c r="AV464" s="16" t="s">
        <v>112</v>
      </c>
      <c r="AW464" s="56" t="s">
        <v>344</v>
      </c>
      <c r="AX464" s="56" t="s">
        <v>7108</v>
      </c>
      <c r="AY464" s="7" t="s">
        <v>7936</v>
      </c>
      <c r="AZ464" s="10" t="s">
        <v>7937</v>
      </c>
      <c r="BA464" s="7" t="s">
        <v>5047</v>
      </c>
      <c r="BB464" s="17">
        <v>32763</v>
      </c>
      <c r="BC464" s="17" t="s">
        <v>7112</v>
      </c>
      <c r="BD464" s="18" t="s">
        <v>7935</v>
      </c>
      <c r="BE464" s="7" t="s">
        <v>118</v>
      </c>
      <c r="BF464" s="7" t="s">
        <v>471</v>
      </c>
      <c r="BG464" s="7" t="s">
        <v>7938</v>
      </c>
      <c r="BH464" s="7" t="s">
        <v>7939</v>
      </c>
      <c r="BI464" s="19"/>
      <c r="BJ464" s="20" t="s">
        <v>190</v>
      </c>
      <c r="BK464" s="21" t="s">
        <v>7940</v>
      </c>
      <c r="BL464" s="7" t="s">
        <v>7941</v>
      </c>
      <c r="BM464" s="22" t="s">
        <v>7942</v>
      </c>
      <c r="BN464" s="8" t="s">
        <v>7321</v>
      </c>
      <c r="BO464" s="17">
        <v>33817</v>
      </c>
      <c r="BP464" s="17" t="s">
        <v>96</v>
      </c>
      <c r="BQ464" s="18" t="s">
        <v>7943</v>
      </c>
      <c r="BR464" s="7" t="s">
        <v>118</v>
      </c>
      <c r="BS464" s="7" t="s">
        <v>7944</v>
      </c>
      <c r="BT464" s="7" t="s">
        <v>7945</v>
      </c>
      <c r="BU464" s="8" t="s">
        <v>7946</v>
      </c>
      <c r="BV464" s="23"/>
      <c r="BW464" s="24" t="s">
        <v>190</v>
      </c>
      <c r="BX464" s="21" t="s">
        <v>7947</v>
      </c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N464" s="25"/>
      <c r="CO464" s="25"/>
      <c r="CP464" s="25"/>
      <c r="CQ464" s="25"/>
      <c r="CR464" s="25"/>
      <c r="CS464" s="26"/>
    </row>
    <row r="465" spans="1:97" s="27" customFormat="1" ht="23.25" customHeight="1">
      <c r="A465" s="4">
        <v>440</v>
      </c>
      <c r="B465" s="6"/>
      <c r="C465" s="6"/>
      <c r="D465" s="6"/>
      <c r="E465" s="6"/>
      <c r="F465" s="6"/>
      <c r="G465" s="6"/>
      <c r="H465" s="5" t="s">
        <v>7095</v>
      </c>
      <c r="I465" s="6" t="s">
        <v>86</v>
      </c>
      <c r="J465" s="7" t="s">
        <v>166</v>
      </c>
      <c r="K465" s="7" t="s">
        <v>8547</v>
      </c>
      <c r="L465" s="8"/>
      <c r="M465" s="5">
        <v>1769</v>
      </c>
      <c r="N465" s="5" t="s">
        <v>9205</v>
      </c>
      <c r="O465" s="9" t="s">
        <v>9206</v>
      </c>
      <c r="P465" s="10" t="s">
        <v>9207</v>
      </c>
      <c r="Q465" s="389" t="s">
        <v>9208</v>
      </c>
      <c r="R465" s="8" t="s">
        <v>9448</v>
      </c>
      <c r="S465" s="212" t="s">
        <v>12150</v>
      </c>
      <c r="T465" s="8" t="s">
        <v>9209</v>
      </c>
      <c r="U465" s="11" t="s">
        <v>172</v>
      </c>
      <c r="V465" s="12" t="s">
        <v>94</v>
      </c>
      <c r="W465" s="13">
        <v>42323</v>
      </c>
      <c r="X465" s="5" t="str">
        <f t="shared" ca="1" si="17"/>
        <v>10 Th, 10 Bln</v>
      </c>
      <c r="Y465" s="5"/>
      <c r="Z465" s="14"/>
      <c r="AA465" s="5" t="s">
        <v>96</v>
      </c>
      <c r="AB465" s="5" t="s">
        <v>97</v>
      </c>
      <c r="AC465" s="7" t="s">
        <v>9210</v>
      </c>
      <c r="AD465" s="131" t="s">
        <v>265</v>
      </c>
      <c r="AE465" s="131" t="s">
        <v>2712</v>
      </c>
      <c r="AF465" s="7" t="s">
        <v>7977</v>
      </c>
      <c r="AG465" s="7" t="s">
        <v>5046</v>
      </c>
      <c r="AH465" s="7" t="s">
        <v>178</v>
      </c>
      <c r="AI465" s="7">
        <v>65142</v>
      </c>
      <c r="AJ465" s="7" t="s">
        <v>5047</v>
      </c>
      <c r="AK465" s="7" t="s">
        <v>104</v>
      </c>
      <c r="AL465" s="7" t="s">
        <v>4986</v>
      </c>
      <c r="AM465" s="15" t="s">
        <v>163</v>
      </c>
      <c r="AN465" s="15" t="s">
        <v>9211</v>
      </c>
      <c r="AO465" s="8">
        <v>1</v>
      </c>
      <c r="AP465" s="8">
        <v>2</v>
      </c>
      <c r="AQ465" s="8" t="s">
        <v>163</v>
      </c>
      <c r="AR465" s="8" t="s">
        <v>163</v>
      </c>
      <c r="AS465" s="132">
        <v>128</v>
      </c>
      <c r="AT465" s="131">
        <v>22</v>
      </c>
      <c r="AU465" s="132" t="s">
        <v>149</v>
      </c>
      <c r="AV465" s="16" t="s">
        <v>112</v>
      </c>
      <c r="AW465" s="56" t="s">
        <v>549</v>
      </c>
      <c r="AX465" s="56" t="s">
        <v>7136</v>
      </c>
      <c r="AY465" s="7" t="s">
        <v>9212</v>
      </c>
      <c r="AZ465" s="10" t="s">
        <v>9213</v>
      </c>
      <c r="BA465" s="7" t="s">
        <v>9214</v>
      </c>
      <c r="BB465" s="17">
        <v>30210</v>
      </c>
      <c r="BC465" s="17" t="s">
        <v>7112</v>
      </c>
      <c r="BD465" s="18" t="s">
        <v>9215</v>
      </c>
      <c r="BE465" s="7" t="s">
        <v>118</v>
      </c>
      <c r="BF465" s="7" t="s">
        <v>5043</v>
      </c>
      <c r="BG465" s="7" t="s">
        <v>5043</v>
      </c>
      <c r="BH465" s="7" t="s">
        <v>9216</v>
      </c>
      <c r="BI465" s="19"/>
      <c r="BJ465" s="20">
        <v>3000000</v>
      </c>
      <c r="BK465" s="21"/>
      <c r="BL465" s="7" t="s">
        <v>9217</v>
      </c>
      <c r="BM465" s="22" t="s">
        <v>9218</v>
      </c>
      <c r="BN465" s="8" t="s">
        <v>5047</v>
      </c>
      <c r="BO465" s="17">
        <v>33695</v>
      </c>
      <c r="BP465" s="17" t="s">
        <v>96</v>
      </c>
      <c r="BQ465" s="18" t="s">
        <v>9211</v>
      </c>
      <c r="BR465" s="7" t="s">
        <v>118</v>
      </c>
      <c r="BS465" s="7" t="s">
        <v>7570</v>
      </c>
      <c r="BT465" s="7" t="s">
        <v>9219</v>
      </c>
      <c r="BU465" s="8" t="s">
        <v>9220</v>
      </c>
      <c r="BV465" s="23"/>
      <c r="BW465" s="24">
        <v>0</v>
      </c>
      <c r="BX465" s="21" t="s">
        <v>9221</v>
      </c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N465" s="25"/>
      <c r="CO465" s="25"/>
      <c r="CP465" s="25"/>
      <c r="CQ465" s="25"/>
      <c r="CR465" s="25"/>
      <c r="CS465" s="26"/>
    </row>
    <row r="466" spans="1:97" s="27" customFormat="1" ht="23.25" customHeight="1">
      <c r="A466" s="4">
        <v>384</v>
      </c>
      <c r="B466" s="6"/>
      <c r="C466" s="6"/>
      <c r="D466" s="6"/>
      <c r="E466" s="6"/>
      <c r="F466" s="6"/>
      <c r="G466" s="6"/>
      <c r="H466" s="5" t="s">
        <v>7095</v>
      </c>
      <c r="I466" s="6" t="s">
        <v>86</v>
      </c>
      <c r="J466" s="7" t="s">
        <v>7948</v>
      </c>
      <c r="K466" s="7" t="s">
        <v>7949</v>
      </c>
      <c r="L466" s="8"/>
      <c r="M466" s="5">
        <v>1770</v>
      </c>
      <c r="N466" s="5" t="s">
        <v>7950</v>
      </c>
      <c r="O466" s="9" t="s">
        <v>7951</v>
      </c>
      <c r="P466" s="10" t="s">
        <v>7952</v>
      </c>
      <c r="Q466" s="389" t="s">
        <v>7953</v>
      </c>
      <c r="R466" s="8" t="s">
        <v>9448</v>
      </c>
      <c r="S466" s="212" t="s">
        <v>12150</v>
      </c>
      <c r="T466" s="8" t="s">
        <v>7954</v>
      </c>
      <c r="U466" s="11" t="s">
        <v>93</v>
      </c>
      <c r="V466" s="12" t="s">
        <v>94</v>
      </c>
      <c r="W466" s="13">
        <v>42240</v>
      </c>
      <c r="X466" s="5" t="str">
        <f t="shared" ca="1" si="17"/>
        <v>11 Th, 0 Bln</v>
      </c>
      <c r="Y466" s="5"/>
      <c r="Z466" s="14"/>
      <c r="AA466" s="5" t="s">
        <v>96</v>
      </c>
      <c r="AB466" s="5" t="s">
        <v>97</v>
      </c>
      <c r="AC466" s="7" t="s">
        <v>7955</v>
      </c>
      <c r="AD466" s="131" t="s">
        <v>137</v>
      </c>
      <c r="AE466" s="131">
        <v>12</v>
      </c>
      <c r="AF466" s="7" t="s">
        <v>7781</v>
      </c>
      <c r="AG466" s="7" t="s">
        <v>7496</v>
      </c>
      <c r="AH466" s="7" t="s">
        <v>141</v>
      </c>
      <c r="AI466" s="7">
        <v>65152</v>
      </c>
      <c r="AJ466" s="7" t="s">
        <v>5047</v>
      </c>
      <c r="AK466" s="7" t="s">
        <v>179</v>
      </c>
      <c r="AL466" s="7" t="s">
        <v>7956</v>
      </c>
      <c r="AM466" s="15" t="s">
        <v>7957</v>
      </c>
      <c r="AN466" s="15" t="s">
        <v>7957</v>
      </c>
      <c r="AO466" s="8">
        <v>1</v>
      </c>
      <c r="AP466" s="8">
        <v>1</v>
      </c>
      <c r="AQ466" s="8"/>
      <c r="AR466" s="8"/>
      <c r="AS466" s="132">
        <v>103</v>
      </c>
      <c r="AT466" s="131">
        <v>15.5</v>
      </c>
      <c r="AU466" s="132" t="s">
        <v>149</v>
      </c>
      <c r="AV466" s="16" t="s">
        <v>112</v>
      </c>
      <c r="AW466" s="56" t="s">
        <v>113</v>
      </c>
      <c r="AX466" s="56" t="s">
        <v>7136</v>
      </c>
      <c r="AY466" s="7" t="s">
        <v>7958</v>
      </c>
      <c r="AZ466" s="10" t="s">
        <v>7959</v>
      </c>
      <c r="BA466" s="7" t="s">
        <v>7960</v>
      </c>
      <c r="BB466" s="17">
        <v>31793</v>
      </c>
      <c r="BC466" s="17" t="s">
        <v>7112</v>
      </c>
      <c r="BD466" s="18" t="s">
        <v>7961</v>
      </c>
      <c r="BE466" s="7" t="s">
        <v>118</v>
      </c>
      <c r="BF466" s="7" t="s">
        <v>7263</v>
      </c>
      <c r="BG466" s="7" t="s">
        <v>7962</v>
      </c>
      <c r="BH466" s="7" t="s">
        <v>7963</v>
      </c>
      <c r="BI466" s="19"/>
      <c r="BJ466" s="20">
        <v>22000000</v>
      </c>
      <c r="BK466" s="21" t="s">
        <v>7964</v>
      </c>
      <c r="BL466" s="7" t="s">
        <v>7965</v>
      </c>
      <c r="BM466" s="22" t="s">
        <v>7966</v>
      </c>
      <c r="BN466" s="8" t="s">
        <v>5047</v>
      </c>
      <c r="BO466" s="17">
        <v>33086</v>
      </c>
      <c r="BP466" s="17" t="s">
        <v>96</v>
      </c>
      <c r="BQ466" s="18" t="s">
        <v>7957</v>
      </c>
      <c r="BR466" s="7" t="s">
        <v>118</v>
      </c>
      <c r="BS466" s="7" t="s">
        <v>7967</v>
      </c>
      <c r="BT466" s="7" t="s">
        <v>7968</v>
      </c>
      <c r="BU466" s="8" t="s">
        <v>7968</v>
      </c>
      <c r="BV466" s="23"/>
      <c r="BW466" s="24" t="s">
        <v>7968</v>
      </c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N466" s="25"/>
      <c r="CO466" s="25"/>
      <c r="CP466" s="25"/>
      <c r="CQ466" s="25"/>
      <c r="CR466" s="25"/>
      <c r="CS466" s="26"/>
    </row>
    <row r="467" spans="1:97" s="27" customFormat="1" ht="23.25" customHeight="1">
      <c r="A467" s="4">
        <v>385</v>
      </c>
      <c r="B467" s="6"/>
      <c r="C467" s="6"/>
      <c r="D467" s="6"/>
      <c r="E467" s="6"/>
      <c r="F467" s="6"/>
      <c r="G467" s="6"/>
      <c r="H467" s="5" t="s">
        <v>7095</v>
      </c>
      <c r="I467" s="6" t="s">
        <v>86</v>
      </c>
      <c r="J467" s="7" t="s">
        <v>7969</v>
      </c>
      <c r="K467" s="7" t="s">
        <v>7970</v>
      </c>
      <c r="L467" s="8"/>
      <c r="M467" s="5">
        <v>1771</v>
      </c>
      <c r="N467" s="5" t="s">
        <v>7971</v>
      </c>
      <c r="O467" s="9" t="s">
        <v>7972</v>
      </c>
      <c r="P467" s="10" t="s">
        <v>7973</v>
      </c>
      <c r="Q467" s="389" t="s">
        <v>7974</v>
      </c>
      <c r="R467" s="8" t="s">
        <v>9448</v>
      </c>
      <c r="S467" s="212" t="s">
        <v>12150</v>
      </c>
      <c r="T467" s="8" t="s">
        <v>7975</v>
      </c>
      <c r="U467" s="11" t="s">
        <v>93</v>
      </c>
      <c r="V467" s="12" t="s">
        <v>395</v>
      </c>
      <c r="W467" s="13">
        <v>42309</v>
      </c>
      <c r="X467" s="5" t="str">
        <f t="shared" ca="1" si="17"/>
        <v>10 Th, 10 Bln</v>
      </c>
      <c r="Y467" s="5"/>
      <c r="Z467" s="14"/>
      <c r="AA467" s="5" t="s">
        <v>96</v>
      </c>
      <c r="AB467" s="5" t="s">
        <v>97</v>
      </c>
      <c r="AC467" s="7" t="s">
        <v>7976</v>
      </c>
      <c r="AD467" s="131" t="s">
        <v>293</v>
      </c>
      <c r="AE467" s="131" t="s">
        <v>138</v>
      </c>
      <c r="AF467" s="7" t="s">
        <v>7977</v>
      </c>
      <c r="AG467" s="7" t="s">
        <v>5046</v>
      </c>
      <c r="AH467" s="7" t="s">
        <v>178</v>
      </c>
      <c r="AI467" s="7">
        <v>65142</v>
      </c>
      <c r="AJ467" s="7" t="s">
        <v>7106</v>
      </c>
      <c r="AK467" s="7" t="s">
        <v>179</v>
      </c>
      <c r="AL467" s="7" t="s">
        <v>7978</v>
      </c>
      <c r="AM467" s="15" t="s">
        <v>7979</v>
      </c>
      <c r="AN467" s="15" t="s">
        <v>7979</v>
      </c>
      <c r="AO467" s="8">
        <v>2</v>
      </c>
      <c r="AP467" s="8">
        <v>1</v>
      </c>
      <c r="AQ467" s="8"/>
      <c r="AR467" s="8"/>
      <c r="AS467" s="132">
        <v>95</v>
      </c>
      <c r="AT467" s="131">
        <v>25</v>
      </c>
      <c r="AU467" s="132" t="s">
        <v>182</v>
      </c>
      <c r="AV467" s="16" t="s">
        <v>112</v>
      </c>
      <c r="AW467" s="56" t="s">
        <v>150</v>
      </c>
      <c r="AX467" s="56" t="s">
        <v>7136</v>
      </c>
      <c r="AY467" s="7" t="s">
        <v>7980</v>
      </c>
      <c r="AZ467" s="10" t="s">
        <v>7981</v>
      </c>
      <c r="BA467" s="7" t="s">
        <v>7982</v>
      </c>
      <c r="BB467" s="17">
        <v>29700</v>
      </c>
      <c r="BC467" s="17" t="s">
        <v>7112</v>
      </c>
      <c r="BD467" s="18" t="s">
        <v>7979</v>
      </c>
      <c r="BE467" s="7" t="s">
        <v>118</v>
      </c>
      <c r="BF467" s="7" t="s">
        <v>5043</v>
      </c>
      <c r="BG467" s="7" t="s">
        <v>7983</v>
      </c>
      <c r="BH467" s="7" t="s">
        <v>7984</v>
      </c>
      <c r="BI467" s="19" t="s">
        <v>7985</v>
      </c>
      <c r="BJ467" s="20" t="s">
        <v>7986</v>
      </c>
      <c r="BK467" s="21"/>
      <c r="BL467" s="7" t="s">
        <v>7987</v>
      </c>
      <c r="BM467" s="22" t="s">
        <v>7988</v>
      </c>
      <c r="BN467" s="8" t="s">
        <v>7989</v>
      </c>
      <c r="BO467" s="17">
        <v>29805</v>
      </c>
      <c r="BP467" s="17" t="s">
        <v>96</v>
      </c>
      <c r="BQ467" s="18" t="s">
        <v>7979</v>
      </c>
      <c r="BR467" s="7" t="s">
        <v>118</v>
      </c>
      <c r="BS467" s="7" t="s">
        <v>7990</v>
      </c>
      <c r="BT467" s="7" t="s">
        <v>7991</v>
      </c>
      <c r="BU467" s="8" t="s">
        <v>7992</v>
      </c>
      <c r="BV467" s="23" t="s">
        <v>7993</v>
      </c>
      <c r="BW467" s="24">
        <v>800000</v>
      </c>
      <c r="BX467" s="21" t="s">
        <v>7994</v>
      </c>
      <c r="BY467" s="21" t="s">
        <v>7995</v>
      </c>
      <c r="BZ467" s="21" t="s">
        <v>5042</v>
      </c>
      <c r="CA467" s="21">
        <v>19481</v>
      </c>
      <c r="CB467" s="21"/>
      <c r="CC467" s="21" t="s">
        <v>7996</v>
      </c>
      <c r="CD467" s="21" t="s">
        <v>216</v>
      </c>
      <c r="CE467" s="21" t="s">
        <v>7997</v>
      </c>
      <c r="CF467" s="21" t="s">
        <v>96</v>
      </c>
      <c r="CG467" s="21" t="s">
        <v>7998</v>
      </c>
      <c r="CH467" s="21" t="s">
        <v>175</v>
      </c>
      <c r="CI467" s="21" t="s">
        <v>138</v>
      </c>
      <c r="CJ467" s="21" t="s">
        <v>7977</v>
      </c>
      <c r="CK467" s="21" t="s">
        <v>5046</v>
      </c>
      <c r="CL467" s="21" t="s">
        <v>7647</v>
      </c>
      <c r="CN467" s="25"/>
      <c r="CO467" s="25"/>
      <c r="CP467" s="25"/>
      <c r="CQ467" s="25"/>
      <c r="CR467" s="25"/>
      <c r="CS467" s="26"/>
    </row>
    <row r="468" spans="1:97" s="27" customFormat="1" ht="23.25" customHeight="1">
      <c r="A468" s="4">
        <v>414</v>
      </c>
      <c r="B468" s="6"/>
      <c r="C468" s="6"/>
      <c r="D468" s="6"/>
      <c r="E468" s="6"/>
      <c r="F468" s="6"/>
      <c r="G468" s="6"/>
      <c r="H468" s="5" t="s">
        <v>7095</v>
      </c>
      <c r="I468" s="6" t="s">
        <v>86</v>
      </c>
      <c r="J468" s="7" t="s">
        <v>8642</v>
      </c>
      <c r="K468" s="7" t="s">
        <v>8643</v>
      </c>
      <c r="L468" s="8"/>
      <c r="M468" s="5">
        <v>1772</v>
      </c>
      <c r="N468" s="5" t="s">
        <v>8644</v>
      </c>
      <c r="O468" s="9" t="s">
        <v>8645</v>
      </c>
      <c r="P468" s="10" t="s">
        <v>8646</v>
      </c>
      <c r="Q468" s="389" t="s">
        <v>8647</v>
      </c>
      <c r="R468" s="8" t="s">
        <v>9448</v>
      </c>
      <c r="S468" s="212" t="s">
        <v>12150</v>
      </c>
      <c r="T468" s="8" t="s">
        <v>8648</v>
      </c>
      <c r="U468" s="11" t="s">
        <v>172</v>
      </c>
      <c r="V468" s="12" t="s">
        <v>94</v>
      </c>
      <c r="W468" s="13">
        <v>42228</v>
      </c>
      <c r="X468" s="5" t="str">
        <f t="shared" ca="1" si="17"/>
        <v>11 Th, 1 Bln</v>
      </c>
      <c r="Y468" s="5"/>
      <c r="Z468" s="14"/>
      <c r="AA468" s="5" t="s">
        <v>96</v>
      </c>
      <c r="AB468" s="5" t="s">
        <v>97</v>
      </c>
      <c r="AC468" s="7" t="s">
        <v>8649</v>
      </c>
      <c r="AD468" s="131">
        <v>19</v>
      </c>
      <c r="AE468" s="131" t="s">
        <v>318</v>
      </c>
      <c r="AF468" s="7" t="s">
        <v>7495</v>
      </c>
      <c r="AG468" s="7" t="s">
        <v>7496</v>
      </c>
      <c r="AH468" s="7" t="s">
        <v>141</v>
      </c>
      <c r="AI468" s="7">
        <v>65152</v>
      </c>
      <c r="AJ468" s="7" t="s">
        <v>5047</v>
      </c>
      <c r="AK468" s="7" t="s">
        <v>104</v>
      </c>
      <c r="AL468" s="7" t="s">
        <v>4915</v>
      </c>
      <c r="AM468" s="15" t="s">
        <v>127</v>
      </c>
      <c r="AN468" s="15" t="s">
        <v>8650</v>
      </c>
      <c r="AO468" s="8">
        <v>1</v>
      </c>
      <c r="AP468" s="8">
        <v>2</v>
      </c>
      <c r="AQ468" s="8">
        <v>1</v>
      </c>
      <c r="AR468" s="8"/>
      <c r="AS468" s="132">
        <v>99</v>
      </c>
      <c r="AT468" s="131" t="s">
        <v>271</v>
      </c>
      <c r="AU468" s="132" t="s">
        <v>182</v>
      </c>
      <c r="AV468" s="16" t="s">
        <v>112</v>
      </c>
      <c r="AW468" s="56" t="s">
        <v>150</v>
      </c>
      <c r="AX468" s="56" t="s">
        <v>8651</v>
      </c>
      <c r="AY468" s="7" t="s">
        <v>8652</v>
      </c>
      <c r="AZ468" s="10" t="s">
        <v>8653</v>
      </c>
      <c r="BA468" s="7" t="s">
        <v>5047</v>
      </c>
      <c r="BB468" s="17" t="s">
        <v>8654</v>
      </c>
      <c r="BC468" s="17" t="s">
        <v>7112</v>
      </c>
      <c r="BD468" s="18" t="s">
        <v>8655</v>
      </c>
      <c r="BE468" s="7" t="s">
        <v>216</v>
      </c>
      <c r="BF468" s="7" t="s">
        <v>5043</v>
      </c>
      <c r="BG468" s="7" t="s">
        <v>8656</v>
      </c>
      <c r="BH468" s="7" t="s">
        <v>8657</v>
      </c>
      <c r="BI468" s="19"/>
      <c r="BJ468" s="20">
        <v>3000000</v>
      </c>
      <c r="BK468" s="21"/>
      <c r="BL468" s="7" t="s">
        <v>8658</v>
      </c>
      <c r="BM468" s="22" t="s">
        <v>8659</v>
      </c>
      <c r="BN468" s="8" t="s">
        <v>5047</v>
      </c>
      <c r="BO468" s="17">
        <v>34464</v>
      </c>
      <c r="BP468" s="17" t="s">
        <v>96</v>
      </c>
      <c r="BQ468" s="18" t="s">
        <v>8650</v>
      </c>
      <c r="BR468" s="7" t="s">
        <v>216</v>
      </c>
      <c r="BS468" s="7" t="s">
        <v>5653</v>
      </c>
      <c r="BT468" s="7" t="s">
        <v>127</v>
      </c>
      <c r="BU468" s="8" t="s">
        <v>127</v>
      </c>
      <c r="BV468" s="23"/>
      <c r="BW468" s="24" t="s">
        <v>127</v>
      </c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N468" s="25"/>
      <c r="CO468" s="25"/>
      <c r="CP468" s="25"/>
      <c r="CQ468" s="25"/>
      <c r="CR468" s="25"/>
      <c r="CS468" s="26"/>
    </row>
    <row r="469" spans="1:97" s="27" customFormat="1" ht="23.25" customHeight="1">
      <c r="A469" s="4">
        <v>441</v>
      </c>
      <c r="B469" s="6"/>
      <c r="C469" s="6"/>
      <c r="D469" s="6"/>
      <c r="E469" s="6"/>
      <c r="F469" s="6"/>
      <c r="G469" s="6"/>
      <c r="H469" s="5" t="s">
        <v>7095</v>
      </c>
      <c r="I469" s="6" t="s">
        <v>86</v>
      </c>
      <c r="J469" s="7" t="s">
        <v>402</v>
      </c>
      <c r="K469" s="7" t="s">
        <v>9222</v>
      </c>
      <c r="L469" s="8"/>
      <c r="M469" s="5">
        <v>1773</v>
      </c>
      <c r="N469" s="5" t="s">
        <v>9223</v>
      </c>
      <c r="O469" s="9" t="s">
        <v>9224</v>
      </c>
      <c r="P469" s="10" t="s">
        <v>9225</v>
      </c>
      <c r="Q469" s="389" t="s">
        <v>9226</v>
      </c>
      <c r="R469" s="8" t="s">
        <v>9448</v>
      </c>
      <c r="S469" s="212" t="s">
        <v>12150</v>
      </c>
      <c r="T469" s="8" t="s">
        <v>9227</v>
      </c>
      <c r="U469" s="11" t="s">
        <v>172</v>
      </c>
      <c r="V469" s="12" t="s">
        <v>94</v>
      </c>
      <c r="W469" s="13">
        <v>42435</v>
      </c>
      <c r="X469" s="5" t="str">
        <f t="shared" ca="1" si="17"/>
        <v>10 Th, 6 Bln</v>
      </c>
      <c r="Y469" s="5"/>
      <c r="Z469" s="14"/>
      <c r="AA469" s="5" t="s">
        <v>96</v>
      </c>
      <c r="AB469" s="5" t="s">
        <v>97</v>
      </c>
      <c r="AC469" s="7" t="s">
        <v>9228</v>
      </c>
      <c r="AD469" s="131">
        <v>19</v>
      </c>
      <c r="AE469" s="131" t="s">
        <v>293</v>
      </c>
      <c r="AF469" s="7" t="s">
        <v>177</v>
      </c>
      <c r="AG469" s="7" t="s">
        <v>178</v>
      </c>
      <c r="AH469" s="7" t="s">
        <v>178</v>
      </c>
      <c r="AI469" s="7">
        <v>65143</v>
      </c>
      <c r="AJ469" s="7" t="s">
        <v>94</v>
      </c>
      <c r="AK469" s="7" t="s">
        <v>104</v>
      </c>
      <c r="AL469" s="7" t="s">
        <v>9229</v>
      </c>
      <c r="AM469" s="15" t="s">
        <v>9230</v>
      </c>
      <c r="AN469" s="15" t="s">
        <v>9231</v>
      </c>
      <c r="AO469" s="8">
        <v>1</v>
      </c>
      <c r="AP469" s="8">
        <v>0</v>
      </c>
      <c r="AQ469" s="8">
        <v>0</v>
      </c>
      <c r="AR469" s="8">
        <v>0</v>
      </c>
      <c r="AS469" s="132" t="s">
        <v>9232</v>
      </c>
      <c r="AT469" s="131" t="s">
        <v>2430</v>
      </c>
      <c r="AU469" s="132" t="s">
        <v>149</v>
      </c>
      <c r="AV469" s="16" t="s">
        <v>112</v>
      </c>
      <c r="AW469" s="56" t="s">
        <v>1028</v>
      </c>
      <c r="AX469" s="56" t="s">
        <v>9233</v>
      </c>
      <c r="AY469" s="7" t="s">
        <v>9234</v>
      </c>
      <c r="AZ469" s="10" t="s">
        <v>9235</v>
      </c>
      <c r="BA469" s="7" t="s">
        <v>94</v>
      </c>
      <c r="BB469" s="17">
        <v>29369</v>
      </c>
      <c r="BC469" s="17" t="s">
        <v>96</v>
      </c>
      <c r="BD469" s="18" t="s">
        <v>9230</v>
      </c>
      <c r="BE469" s="7" t="s">
        <v>118</v>
      </c>
      <c r="BF469" s="7" t="s">
        <v>119</v>
      </c>
      <c r="BG469" s="7" t="s">
        <v>9236</v>
      </c>
      <c r="BH469" s="7" t="s">
        <v>9237</v>
      </c>
      <c r="BI469" s="19" t="s">
        <v>9238</v>
      </c>
      <c r="BJ469" s="20" t="s">
        <v>4254</v>
      </c>
      <c r="BK469" s="21" t="s">
        <v>9239</v>
      </c>
      <c r="BL469" s="7" t="s">
        <v>9240</v>
      </c>
      <c r="BM469" s="22" t="s">
        <v>9241</v>
      </c>
      <c r="BN469" s="8" t="s">
        <v>94</v>
      </c>
      <c r="BO469" s="17">
        <v>32759</v>
      </c>
      <c r="BP469" s="17" t="s">
        <v>96</v>
      </c>
      <c r="BQ469" s="18" t="s">
        <v>9231</v>
      </c>
      <c r="BR469" s="7" t="s">
        <v>118</v>
      </c>
      <c r="BS469" s="7" t="s">
        <v>119</v>
      </c>
      <c r="BT469" s="7" t="s">
        <v>9242</v>
      </c>
      <c r="BU469" s="8" t="s">
        <v>9243</v>
      </c>
      <c r="BV469" s="23" t="s">
        <v>9244</v>
      </c>
      <c r="BW469" s="24" t="s">
        <v>2707</v>
      </c>
      <c r="BX469" s="21" t="s">
        <v>9245</v>
      </c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N469" s="25"/>
      <c r="CO469" s="25"/>
      <c r="CP469" s="25"/>
      <c r="CQ469" s="25"/>
      <c r="CR469" s="25"/>
      <c r="CS469" s="26"/>
    </row>
    <row r="470" spans="1:97" s="27" customFormat="1" ht="23.25" customHeight="1">
      <c r="A470" s="4">
        <v>363</v>
      </c>
      <c r="B470" s="28"/>
      <c r="C470" s="28"/>
      <c r="D470" s="28"/>
      <c r="E470" s="28"/>
      <c r="F470" s="28"/>
      <c r="G470" s="28"/>
      <c r="H470" s="29" t="s">
        <v>7095</v>
      </c>
      <c r="I470" s="28" t="s">
        <v>86</v>
      </c>
      <c r="J470" s="30" t="s">
        <v>7488</v>
      </c>
      <c r="K470" s="30" t="s">
        <v>3373</v>
      </c>
      <c r="L470" s="31"/>
      <c r="M470" s="29">
        <v>1775</v>
      </c>
      <c r="N470" s="29" t="s">
        <v>7489</v>
      </c>
      <c r="O470" s="92" t="s">
        <v>7490</v>
      </c>
      <c r="P470" s="32" t="s">
        <v>7491</v>
      </c>
      <c r="Q470" s="390" t="s">
        <v>7492</v>
      </c>
      <c r="R470" s="8" t="s">
        <v>9448</v>
      </c>
      <c r="S470" s="212" t="s">
        <v>12150</v>
      </c>
      <c r="T470" s="31" t="s">
        <v>7493</v>
      </c>
      <c r="U470" s="33" t="s">
        <v>172</v>
      </c>
      <c r="V470" s="34" t="s">
        <v>94</v>
      </c>
      <c r="W470" s="35">
        <v>42132</v>
      </c>
      <c r="X470" s="31" t="str">
        <f t="shared" ca="1" si="17"/>
        <v>11 Th, 4 Bln</v>
      </c>
      <c r="Y470" s="31"/>
      <c r="Z470" s="36"/>
      <c r="AA470" s="31" t="s">
        <v>96</v>
      </c>
      <c r="AB470" s="31" t="s">
        <v>97</v>
      </c>
      <c r="AC470" s="30" t="s">
        <v>7494</v>
      </c>
      <c r="AD470" s="129">
        <v>42</v>
      </c>
      <c r="AE470" s="129">
        <v>13</v>
      </c>
      <c r="AF470" s="30" t="s">
        <v>7495</v>
      </c>
      <c r="AG470" s="30" t="s">
        <v>7496</v>
      </c>
      <c r="AH470" s="30" t="s">
        <v>141</v>
      </c>
      <c r="AI470" s="30">
        <v>65142</v>
      </c>
      <c r="AJ470" s="30" t="s">
        <v>7497</v>
      </c>
      <c r="AK470" s="30" t="s">
        <v>104</v>
      </c>
      <c r="AL470" s="30" t="s">
        <v>7498</v>
      </c>
      <c r="AM470" s="37">
        <v>4385621</v>
      </c>
      <c r="AN470" s="37" t="s">
        <v>7499</v>
      </c>
      <c r="AO470" s="31">
        <v>3</v>
      </c>
      <c r="AP470" s="31">
        <v>1</v>
      </c>
      <c r="AQ470" s="31">
        <v>1</v>
      </c>
      <c r="AR470" s="31"/>
      <c r="AS470" s="130">
        <v>120</v>
      </c>
      <c r="AT470" s="129">
        <v>30</v>
      </c>
      <c r="AU470" s="130" t="s">
        <v>149</v>
      </c>
      <c r="AV470" s="38" t="s">
        <v>112</v>
      </c>
      <c r="AW470" s="123" t="s">
        <v>113</v>
      </c>
      <c r="AX470" s="123" t="s">
        <v>7500</v>
      </c>
      <c r="AY470" s="30" t="s">
        <v>7501</v>
      </c>
      <c r="AZ470" s="32" t="s">
        <v>7502</v>
      </c>
      <c r="BA470" s="30" t="s">
        <v>7503</v>
      </c>
      <c r="BB470" s="39">
        <v>27651</v>
      </c>
      <c r="BC470" s="39" t="s">
        <v>7112</v>
      </c>
      <c r="BD470" s="40">
        <v>82337304077</v>
      </c>
      <c r="BE470" s="30" t="s">
        <v>118</v>
      </c>
      <c r="BF470" s="30" t="s">
        <v>5043</v>
      </c>
      <c r="BG470" s="30" t="s">
        <v>7504</v>
      </c>
      <c r="BH470" s="30" t="s">
        <v>7505</v>
      </c>
      <c r="BI470" s="41">
        <v>4385621</v>
      </c>
      <c r="BJ470" s="42" t="s">
        <v>250</v>
      </c>
      <c r="BK470" s="43" t="s">
        <v>7506</v>
      </c>
      <c r="BL470" s="30" t="s">
        <v>7507</v>
      </c>
      <c r="BM470" s="44" t="s">
        <v>7508</v>
      </c>
      <c r="BN470" s="125" t="s">
        <v>7509</v>
      </c>
      <c r="BO470" s="39">
        <v>29487</v>
      </c>
      <c r="BP470" s="39" t="s">
        <v>96</v>
      </c>
      <c r="BQ470" s="40" t="s">
        <v>7510</v>
      </c>
      <c r="BR470" s="30" t="s">
        <v>118</v>
      </c>
      <c r="BS470" s="30" t="s">
        <v>5043</v>
      </c>
      <c r="BT470" s="30" t="s">
        <v>7511</v>
      </c>
      <c r="BU470" s="30" t="s">
        <v>7512</v>
      </c>
      <c r="BV470" s="45">
        <v>4385621</v>
      </c>
      <c r="BW470" s="46" t="s">
        <v>122</v>
      </c>
      <c r="BX470" s="47" t="s">
        <v>7513</v>
      </c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N470" s="25"/>
      <c r="CO470" s="25"/>
      <c r="CP470" s="25"/>
      <c r="CQ470" s="25"/>
      <c r="CR470" s="25"/>
      <c r="CS470" s="26"/>
    </row>
    <row r="471" spans="1:97" s="27" customFormat="1" ht="23.25" customHeight="1">
      <c r="A471" s="4">
        <v>366</v>
      </c>
      <c r="B471" s="6"/>
      <c r="C471" s="6"/>
      <c r="D471" s="6"/>
      <c r="E471" s="6"/>
      <c r="F471" s="6"/>
      <c r="G471" s="6"/>
      <c r="H471" s="5" t="s">
        <v>7095</v>
      </c>
      <c r="I471" s="6" t="s">
        <v>86</v>
      </c>
      <c r="J471" s="7" t="s">
        <v>166</v>
      </c>
      <c r="K471" s="7" t="s">
        <v>312</v>
      </c>
      <c r="L471" s="8"/>
      <c r="M471" s="5">
        <v>1784</v>
      </c>
      <c r="N471" s="5" t="s">
        <v>7559</v>
      </c>
      <c r="O471" s="9" t="s">
        <v>7560</v>
      </c>
      <c r="P471" s="10" t="s">
        <v>7561</v>
      </c>
      <c r="Q471" s="389" t="s">
        <v>7562</v>
      </c>
      <c r="R471" s="8" t="s">
        <v>9448</v>
      </c>
      <c r="S471" s="212" t="s">
        <v>12150</v>
      </c>
      <c r="T471" s="8" t="s">
        <v>7563</v>
      </c>
      <c r="U471" s="11" t="s">
        <v>172</v>
      </c>
      <c r="V471" s="12" t="s">
        <v>94</v>
      </c>
      <c r="W471" s="13">
        <v>42491</v>
      </c>
      <c r="X471" s="5" t="str">
        <f t="shared" ca="1" si="17"/>
        <v>10 Th, 4 Bln</v>
      </c>
      <c r="Y471" s="5"/>
      <c r="Z471" s="14"/>
      <c r="AA471" s="5" t="s">
        <v>96</v>
      </c>
      <c r="AB471" s="5" t="s">
        <v>97</v>
      </c>
      <c r="AC471" s="7" t="s">
        <v>7564</v>
      </c>
      <c r="AD471" s="131" t="s">
        <v>99</v>
      </c>
      <c r="AE471" s="131" t="s">
        <v>294</v>
      </c>
      <c r="AF471" s="7" t="s">
        <v>5045</v>
      </c>
      <c r="AG471" s="7" t="s">
        <v>5046</v>
      </c>
      <c r="AH471" s="7" t="s">
        <v>178</v>
      </c>
      <c r="AI471" s="7">
        <v>65141</v>
      </c>
      <c r="AJ471" s="7" t="s">
        <v>7106</v>
      </c>
      <c r="AK471" s="7" t="s">
        <v>179</v>
      </c>
      <c r="AL471" s="7" t="s">
        <v>7565</v>
      </c>
      <c r="AM471" s="15" t="s">
        <v>127</v>
      </c>
      <c r="AN471" s="15" t="s">
        <v>7566</v>
      </c>
      <c r="AO471" s="8">
        <v>2</v>
      </c>
      <c r="AP471" s="8">
        <v>2</v>
      </c>
      <c r="AQ471" s="8"/>
      <c r="AR471" s="8"/>
      <c r="AS471" s="132" t="s">
        <v>5811</v>
      </c>
      <c r="AT471" s="131" t="s">
        <v>2137</v>
      </c>
      <c r="AU471" s="132" t="s">
        <v>111</v>
      </c>
      <c r="AV471" s="16" t="s">
        <v>112</v>
      </c>
      <c r="AW471" s="56" t="s">
        <v>344</v>
      </c>
      <c r="AX471" s="56" t="s">
        <v>7108</v>
      </c>
      <c r="AY471" s="7" t="s">
        <v>7567</v>
      </c>
      <c r="AZ471" s="10" t="s">
        <v>7568</v>
      </c>
      <c r="BA471" s="7" t="s">
        <v>5047</v>
      </c>
      <c r="BB471" s="17">
        <v>17419</v>
      </c>
      <c r="BC471" s="17" t="s">
        <v>7112</v>
      </c>
      <c r="BD471" s="18" t="s">
        <v>7569</v>
      </c>
      <c r="BE471" s="7" t="s">
        <v>224</v>
      </c>
      <c r="BF471" s="7" t="s">
        <v>7570</v>
      </c>
      <c r="BG471" s="7" t="s">
        <v>7571</v>
      </c>
      <c r="BH471" s="7" t="s">
        <v>7572</v>
      </c>
      <c r="BI471" s="19"/>
      <c r="BJ471" s="20" t="s">
        <v>7573</v>
      </c>
      <c r="BK471" s="21"/>
      <c r="BL471" s="7" t="s">
        <v>7574</v>
      </c>
      <c r="BM471" s="22" t="s">
        <v>7575</v>
      </c>
      <c r="BN471" s="8" t="s">
        <v>7576</v>
      </c>
      <c r="BO471" s="17">
        <v>29722</v>
      </c>
      <c r="BP471" s="17" t="s">
        <v>96</v>
      </c>
      <c r="BQ471" s="18" t="s">
        <v>7566</v>
      </c>
      <c r="BR471" s="7" t="s">
        <v>153</v>
      </c>
      <c r="BS471" s="7" t="s">
        <v>7577</v>
      </c>
      <c r="BT471" s="7" t="s">
        <v>7578</v>
      </c>
      <c r="BU471" s="8" t="s">
        <v>7579</v>
      </c>
      <c r="BV471" s="23"/>
      <c r="BW471" s="24" t="s">
        <v>7580</v>
      </c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N471" s="25"/>
      <c r="CO471" s="25"/>
      <c r="CP471" s="25"/>
      <c r="CQ471" s="25"/>
      <c r="CR471" s="25"/>
      <c r="CS471" s="26"/>
    </row>
    <row r="472" spans="1:97" s="27" customFormat="1" ht="23.25" customHeight="1">
      <c r="A472" s="4">
        <v>367</v>
      </c>
      <c r="B472" s="6"/>
      <c r="C472" s="6"/>
      <c r="D472" s="6"/>
      <c r="E472" s="6"/>
      <c r="F472" s="6"/>
      <c r="G472" s="6"/>
      <c r="H472" s="5" t="s">
        <v>7095</v>
      </c>
      <c r="I472" s="6" t="s">
        <v>86</v>
      </c>
      <c r="J472" s="7" t="s">
        <v>166</v>
      </c>
      <c r="K472" s="7" t="s">
        <v>4642</v>
      </c>
      <c r="L472" s="8"/>
      <c r="M472" s="5">
        <v>1790</v>
      </c>
      <c r="N472" s="5" t="s">
        <v>7581</v>
      </c>
      <c r="O472" s="9" t="s">
        <v>7582</v>
      </c>
      <c r="P472" s="10" t="s">
        <v>7583</v>
      </c>
      <c r="Q472" s="389" t="s">
        <v>7584</v>
      </c>
      <c r="R472" s="8" t="s">
        <v>9448</v>
      </c>
      <c r="S472" s="212" t="s">
        <v>12150</v>
      </c>
      <c r="T472" s="8" t="s">
        <v>7585</v>
      </c>
      <c r="U472" s="11" t="s">
        <v>172</v>
      </c>
      <c r="V472" s="12" t="s">
        <v>94</v>
      </c>
      <c r="W472" s="13">
        <v>42363</v>
      </c>
      <c r="X472" s="5" t="str">
        <f t="shared" ca="1" si="17"/>
        <v>10 Th, 8 Bln</v>
      </c>
      <c r="Y472" s="5"/>
      <c r="Z472" s="14"/>
      <c r="AA472" s="5" t="s">
        <v>96</v>
      </c>
      <c r="AB472" s="5" t="s">
        <v>97</v>
      </c>
      <c r="AC472" s="7" t="s">
        <v>7586</v>
      </c>
      <c r="AD472" s="131">
        <v>6</v>
      </c>
      <c r="AE472" s="131">
        <v>3</v>
      </c>
      <c r="AF472" s="7" t="s">
        <v>7587</v>
      </c>
      <c r="AG472" s="7" t="s">
        <v>7133</v>
      </c>
      <c r="AH472" s="7" t="s">
        <v>102</v>
      </c>
      <c r="AI472" s="7">
        <v>65147</v>
      </c>
      <c r="AJ472" s="7" t="s">
        <v>7106</v>
      </c>
      <c r="AK472" s="7" t="s">
        <v>179</v>
      </c>
      <c r="AL472" s="7" t="s">
        <v>1282</v>
      </c>
      <c r="AM472" s="15" t="s">
        <v>127</v>
      </c>
      <c r="AN472" s="15" t="s">
        <v>7588</v>
      </c>
      <c r="AO472" s="8">
        <v>3</v>
      </c>
      <c r="AP472" s="8">
        <v>2</v>
      </c>
      <c r="AQ472" s="8" t="s">
        <v>127</v>
      </c>
      <c r="AR472" s="8" t="s">
        <v>127</v>
      </c>
      <c r="AS472" s="132">
        <v>112</v>
      </c>
      <c r="AT472" s="131" t="s">
        <v>7589</v>
      </c>
      <c r="AU472" s="132" t="s">
        <v>182</v>
      </c>
      <c r="AV472" s="16" t="s">
        <v>112</v>
      </c>
      <c r="AW472" s="56" t="s">
        <v>392</v>
      </c>
      <c r="AX472" s="56" t="s">
        <v>7590</v>
      </c>
      <c r="AY472" s="7" t="s">
        <v>7591</v>
      </c>
      <c r="AZ472" s="10" t="s">
        <v>7592</v>
      </c>
      <c r="BA472" s="7" t="s">
        <v>5047</v>
      </c>
      <c r="BB472" s="17">
        <v>28343</v>
      </c>
      <c r="BC472" s="17" t="s">
        <v>7112</v>
      </c>
      <c r="BD472" s="18" t="s">
        <v>7593</v>
      </c>
      <c r="BE472" s="7" t="s">
        <v>216</v>
      </c>
      <c r="BF472" s="7" t="s">
        <v>5043</v>
      </c>
      <c r="BG472" s="7" t="s">
        <v>7594</v>
      </c>
      <c r="BH472" s="7" t="s">
        <v>7595</v>
      </c>
      <c r="BI472" s="19" t="s">
        <v>127</v>
      </c>
      <c r="BJ472" s="20">
        <v>2000000</v>
      </c>
      <c r="BK472" s="21" t="s">
        <v>7596</v>
      </c>
      <c r="BL472" s="7" t="s">
        <v>7597</v>
      </c>
      <c r="BM472" s="22" t="s">
        <v>7598</v>
      </c>
      <c r="BN472" s="8" t="s">
        <v>5047</v>
      </c>
      <c r="BO472" s="17">
        <v>28771</v>
      </c>
      <c r="BP472" s="17" t="s">
        <v>96</v>
      </c>
      <c r="BQ472" s="18" t="s">
        <v>7588</v>
      </c>
      <c r="BR472" s="7" t="s">
        <v>118</v>
      </c>
      <c r="BS472" s="7" t="s">
        <v>7599</v>
      </c>
      <c r="BT472" s="7" t="s">
        <v>7600</v>
      </c>
      <c r="BU472" s="8" t="s">
        <v>7601</v>
      </c>
      <c r="BV472" s="23" t="s">
        <v>7602</v>
      </c>
      <c r="BW472" s="24">
        <v>4000000</v>
      </c>
      <c r="BX472" s="21" t="s">
        <v>7603</v>
      </c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N472" s="25"/>
      <c r="CO472" s="25"/>
      <c r="CP472" s="25"/>
      <c r="CQ472" s="25"/>
      <c r="CR472" s="25"/>
      <c r="CS472" s="26"/>
    </row>
    <row r="473" spans="1:97" s="27" customFormat="1" ht="23.25" customHeight="1">
      <c r="A473" s="4">
        <v>394</v>
      </c>
      <c r="B473" s="28"/>
      <c r="C473" s="28"/>
      <c r="D473" s="28"/>
      <c r="E473" s="28"/>
      <c r="F473" s="28"/>
      <c r="G473" s="28"/>
      <c r="H473" s="29" t="s">
        <v>7095</v>
      </c>
      <c r="I473" s="28" t="s">
        <v>86</v>
      </c>
      <c r="J473" s="30" t="s">
        <v>166</v>
      </c>
      <c r="K473" s="30" t="s">
        <v>8179</v>
      </c>
      <c r="L473" s="31"/>
      <c r="M473" s="29">
        <v>1805</v>
      </c>
      <c r="N473" s="29">
        <v>3157956554</v>
      </c>
      <c r="O473" s="92" t="s">
        <v>8180</v>
      </c>
      <c r="P473" s="32" t="s">
        <v>8181</v>
      </c>
      <c r="Q473" s="390" t="s">
        <v>8182</v>
      </c>
      <c r="R473" s="8" t="s">
        <v>9448</v>
      </c>
      <c r="S473" s="212" t="s">
        <v>12150</v>
      </c>
      <c r="T473" s="31" t="s">
        <v>8183</v>
      </c>
      <c r="U473" s="33" t="s">
        <v>172</v>
      </c>
      <c r="V473" s="34" t="s">
        <v>8184</v>
      </c>
      <c r="W473" s="35">
        <v>42203</v>
      </c>
      <c r="X473" s="31" t="str">
        <f t="shared" ca="1" si="17"/>
        <v>11 Th, 1 Bln</v>
      </c>
      <c r="Y473" s="31"/>
      <c r="Z473" s="36"/>
      <c r="AA473" s="31" t="s">
        <v>96</v>
      </c>
      <c r="AB473" s="31" t="s">
        <v>97</v>
      </c>
      <c r="AC473" s="30" t="s">
        <v>8185</v>
      </c>
      <c r="AD473" s="129">
        <v>4</v>
      </c>
      <c r="AE473" s="129">
        <v>4</v>
      </c>
      <c r="AF473" s="30" t="s">
        <v>8186</v>
      </c>
      <c r="AG473" s="30" t="s">
        <v>8187</v>
      </c>
      <c r="AH473" s="30" t="s">
        <v>178</v>
      </c>
      <c r="AI473" s="30">
        <v>65144</v>
      </c>
      <c r="AJ473" s="30" t="s">
        <v>8188</v>
      </c>
      <c r="AK473" s="30" t="s">
        <v>179</v>
      </c>
      <c r="AL473" s="30" t="s">
        <v>8189</v>
      </c>
      <c r="AM473" s="37" t="s">
        <v>8190</v>
      </c>
      <c r="AN473" s="37" t="s">
        <v>8191</v>
      </c>
      <c r="AO473" s="31">
        <v>2</v>
      </c>
      <c r="AP473" s="31">
        <v>2</v>
      </c>
      <c r="AQ473" s="31">
        <v>0</v>
      </c>
      <c r="AR473" s="31">
        <v>0</v>
      </c>
      <c r="AS473" s="130" t="s">
        <v>8192</v>
      </c>
      <c r="AT473" s="129" t="s">
        <v>8193</v>
      </c>
      <c r="AU473" s="130" t="s">
        <v>111</v>
      </c>
      <c r="AV473" s="38" t="s">
        <v>112</v>
      </c>
      <c r="AW473" s="123" t="s">
        <v>113</v>
      </c>
      <c r="AX473" s="123" t="s">
        <v>8194</v>
      </c>
      <c r="AY473" s="30" t="s">
        <v>8195</v>
      </c>
      <c r="AZ473" s="32" t="s">
        <v>8196</v>
      </c>
      <c r="BA473" s="30" t="s">
        <v>8197</v>
      </c>
      <c r="BB473" s="39">
        <v>27404</v>
      </c>
      <c r="BC473" s="39" t="s">
        <v>8198</v>
      </c>
      <c r="BD473" s="40" t="s">
        <v>8199</v>
      </c>
      <c r="BE473" s="30" t="s">
        <v>118</v>
      </c>
      <c r="BF473" s="30" t="s">
        <v>276</v>
      </c>
      <c r="BG473" s="30" t="s">
        <v>8200</v>
      </c>
      <c r="BH473" s="30" t="s">
        <v>8201</v>
      </c>
      <c r="BI473" s="41" t="s">
        <v>8202</v>
      </c>
      <c r="BJ473" s="42" t="s">
        <v>8203</v>
      </c>
      <c r="BK473" s="43" t="s">
        <v>8204</v>
      </c>
      <c r="BL473" s="30" t="s">
        <v>8205</v>
      </c>
      <c r="BM473" s="44" t="s">
        <v>8206</v>
      </c>
      <c r="BN473" s="125" t="s">
        <v>8184</v>
      </c>
      <c r="BO473" s="39">
        <v>29448</v>
      </c>
      <c r="BP473" s="39" t="s">
        <v>96</v>
      </c>
      <c r="BQ473" s="40" t="s">
        <v>8191</v>
      </c>
      <c r="BR473" s="30" t="s">
        <v>153</v>
      </c>
      <c r="BS473" s="30" t="s">
        <v>8207</v>
      </c>
      <c r="BT473" s="30" t="s">
        <v>8208</v>
      </c>
      <c r="BU473" s="30" t="s">
        <v>8209</v>
      </c>
      <c r="BV473" s="45" t="s">
        <v>8210</v>
      </c>
      <c r="BW473" s="46" t="s">
        <v>8211</v>
      </c>
      <c r="BX473" s="47" t="s">
        <v>8212</v>
      </c>
      <c r="BY473" s="47" t="s">
        <v>8213</v>
      </c>
      <c r="BZ473" s="47" t="s">
        <v>8214</v>
      </c>
      <c r="CA473" s="47">
        <v>20609</v>
      </c>
      <c r="CB473" s="47"/>
      <c r="CC473" s="47">
        <v>8123353006</v>
      </c>
      <c r="CD473" s="47" t="s">
        <v>224</v>
      </c>
      <c r="CE473" s="47" t="s">
        <v>8215</v>
      </c>
      <c r="CF473" s="47" t="s">
        <v>96</v>
      </c>
      <c r="CG473" s="47" t="s">
        <v>8185</v>
      </c>
      <c r="CH473" s="47">
        <v>4</v>
      </c>
      <c r="CI473" s="47">
        <v>4</v>
      </c>
      <c r="CJ473" s="47" t="s">
        <v>8216</v>
      </c>
      <c r="CK473" s="47" t="s">
        <v>178</v>
      </c>
      <c r="CL473" s="47" t="s">
        <v>8217</v>
      </c>
      <c r="CN473" s="25"/>
      <c r="CO473" s="25"/>
      <c r="CP473" s="25"/>
      <c r="CQ473" s="25"/>
      <c r="CR473" s="25"/>
      <c r="CS473" s="26"/>
    </row>
    <row r="474" spans="1:97" s="27" customFormat="1" ht="23.25" customHeight="1">
      <c r="A474" s="4">
        <v>451</v>
      </c>
      <c r="B474" s="6"/>
      <c r="C474" s="6"/>
      <c r="D474" s="6"/>
      <c r="E474" s="6"/>
      <c r="F474" s="6"/>
      <c r="G474" s="6"/>
      <c r="H474" s="5" t="s">
        <v>9408</v>
      </c>
      <c r="I474" s="6" t="s">
        <v>4774</v>
      </c>
      <c r="J474" s="7" t="s">
        <v>9409</v>
      </c>
      <c r="K474" s="7" t="s">
        <v>9410</v>
      </c>
      <c r="L474" s="8"/>
      <c r="M474" s="5">
        <v>1829</v>
      </c>
      <c r="N474" s="5" t="s">
        <v>9411</v>
      </c>
      <c r="O474" s="9" t="s">
        <v>9412</v>
      </c>
      <c r="P474" s="10" t="s">
        <v>9413</v>
      </c>
      <c r="Q474" s="389" t="s">
        <v>9414</v>
      </c>
      <c r="R474" s="8" t="s">
        <v>9448</v>
      </c>
      <c r="S474" s="212" t="s">
        <v>12150</v>
      </c>
      <c r="T474" s="8" t="s">
        <v>8112</v>
      </c>
      <c r="U474" s="11" t="s">
        <v>93</v>
      </c>
      <c r="V474" s="12" t="s">
        <v>94</v>
      </c>
      <c r="W474" s="13">
        <v>42207</v>
      </c>
      <c r="X474" s="5" t="str">
        <f t="shared" ca="1" si="17"/>
        <v>11 Th, 1 Bln</v>
      </c>
      <c r="Y474" s="5"/>
      <c r="Z474" s="14"/>
      <c r="AA474" s="5" t="s">
        <v>96</v>
      </c>
      <c r="AB474" s="5" t="s">
        <v>97</v>
      </c>
      <c r="AC474" s="7" t="s">
        <v>9415</v>
      </c>
      <c r="AD474" s="131">
        <v>2</v>
      </c>
      <c r="AE474" s="131">
        <v>7</v>
      </c>
      <c r="AF474" s="7" t="s">
        <v>295</v>
      </c>
      <c r="AG474" s="7" t="s">
        <v>178</v>
      </c>
      <c r="AH474" s="7" t="s">
        <v>178</v>
      </c>
      <c r="AI474" s="7">
        <v>65144</v>
      </c>
      <c r="AJ474" s="7" t="s">
        <v>103</v>
      </c>
      <c r="AK474" s="7" t="s">
        <v>104</v>
      </c>
      <c r="AL474" s="7"/>
      <c r="AM474" s="15"/>
      <c r="AN474" s="15"/>
      <c r="AO474" s="8">
        <v>1</v>
      </c>
      <c r="AP474" s="8">
        <v>0</v>
      </c>
      <c r="AQ474" s="8">
        <v>0</v>
      </c>
      <c r="AR474" s="8">
        <v>0</v>
      </c>
      <c r="AS474" s="132"/>
      <c r="AT474" s="131"/>
      <c r="AU474" s="132"/>
      <c r="AV474" s="16"/>
      <c r="AW474" s="56"/>
      <c r="AX474" s="56"/>
      <c r="AY474" s="7" t="s">
        <v>9416</v>
      </c>
      <c r="AZ474" s="10" t="s">
        <v>9417</v>
      </c>
      <c r="BA474" s="7" t="s">
        <v>94</v>
      </c>
      <c r="BB474" s="17">
        <v>27200</v>
      </c>
      <c r="BC474" s="17" t="s">
        <v>96</v>
      </c>
      <c r="BD474" s="18" t="s">
        <v>9418</v>
      </c>
      <c r="BE474" s="7" t="s">
        <v>2193</v>
      </c>
      <c r="BF474" s="7" t="s">
        <v>247</v>
      </c>
      <c r="BG474" s="7" t="s">
        <v>9419</v>
      </c>
      <c r="BH474" s="7" t="s">
        <v>9420</v>
      </c>
      <c r="BI474" s="19"/>
      <c r="BJ474" s="20">
        <v>15000000</v>
      </c>
      <c r="BK474" s="21"/>
      <c r="BL474" s="7" t="s">
        <v>9421</v>
      </c>
      <c r="BM474" s="22" t="s">
        <v>9422</v>
      </c>
      <c r="BN474" s="8" t="s">
        <v>559</v>
      </c>
      <c r="BO474" s="17">
        <v>28891</v>
      </c>
      <c r="BP474" s="17" t="s">
        <v>96</v>
      </c>
      <c r="BQ474" s="18" t="s">
        <v>9423</v>
      </c>
      <c r="BR474" s="7" t="s">
        <v>7863</v>
      </c>
      <c r="BS474" s="7" t="s">
        <v>126</v>
      </c>
      <c r="BT474" s="7"/>
      <c r="BU474" s="8"/>
      <c r="BV474" s="23"/>
      <c r="BW474" s="24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N474" s="25"/>
      <c r="CO474" s="25"/>
      <c r="CP474" s="25"/>
      <c r="CQ474" s="25"/>
      <c r="CR474" s="25"/>
      <c r="CS474" s="26"/>
    </row>
    <row r="475" spans="1:97" s="27" customFormat="1" ht="23.25" customHeight="1">
      <c r="A475" s="4">
        <v>424</v>
      </c>
      <c r="B475" s="6"/>
      <c r="C475" s="6"/>
      <c r="D475" s="6"/>
      <c r="E475" s="6"/>
      <c r="F475" s="6"/>
      <c r="G475" s="6"/>
      <c r="H475" s="5" t="s">
        <v>7095</v>
      </c>
      <c r="I475" s="6" t="s">
        <v>86</v>
      </c>
      <c r="J475" s="7" t="s">
        <v>8234</v>
      </c>
      <c r="K475" s="7" t="s">
        <v>8867</v>
      </c>
      <c r="L475" s="8"/>
      <c r="M475" s="5">
        <v>1815</v>
      </c>
      <c r="N475" s="5" t="s">
        <v>8868</v>
      </c>
      <c r="O475" s="9" t="s">
        <v>8237</v>
      </c>
      <c r="P475" s="10" t="s">
        <v>8869</v>
      </c>
      <c r="Q475" s="389" t="s">
        <v>8870</v>
      </c>
      <c r="R475" s="8" t="s">
        <v>9448</v>
      </c>
      <c r="S475" s="212" t="s">
        <v>12150</v>
      </c>
      <c r="T475" s="8" t="s">
        <v>8871</v>
      </c>
      <c r="U475" s="11" t="s">
        <v>172</v>
      </c>
      <c r="V475" s="12" t="s">
        <v>395</v>
      </c>
      <c r="W475" s="13">
        <v>42247</v>
      </c>
      <c r="X475" s="5" t="str">
        <f t="shared" ca="1" si="17"/>
        <v>11 Th, 0 Bln</v>
      </c>
      <c r="Y475" s="5"/>
      <c r="Z475" s="14"/>
      <c r="AA475" s="5" t="s">
        <v>96</v>
      </c>
      <c r="AB475" s="5" t="s">
        <v>97</v>
      </c>
      <c r="AC475" s="7" t="s">
        <v>8872</v>
      </c>
      <c r="AD475" s="131" t="s">
        <v>293</v>
      </c>
      <c r="AE475" s="131" t="s">
        <v>137</v>
      </c>
      <c r="AF475" s="7" t="s">
        <v>8873</v>
      </c>
      <c r="AG475" s="7" t="s">
        <v>7496</v>
      </c>
      <c r="AH475" s="7" t="s">
        <v>141</v>
      </c>
      <c r="AI475" s="7">
        <v>65152</v>
      </c>
      <c r="AJ475" s="7" t="s">
        <v>5047</v>
      </c>
      <c r="AK475" s="7" t="s">
        <v>104</v>
      </c>
      <c r="AL475" s="7" t="s">
        <v>4986</v>
      </c>
      <c r="AM475" s="15" t="s">
        <v>6077</v>
      </c>
      <c r="AN475" s="15" t="s">
        <v>8874</v>
      </c>
      <c r="AO475" s="8">
        <v>1</v>
      </c>
      <c r="AP475" s="8">
        <v>3</v>
      </c>
      <c r="AQ475" s="8" t="s">
        <v>6077</v>
      </c>
      <c r="AR475" s="8" t="s">
        <v>6077</v>
      </c>
      <c r="AS475" s="132">
        <v>97</v>
      </c>
      <c r="AT475" s="131">
        <v>16</v>
      </c>
      <c r="AU475" s="132" t="s">
        <v>149</v>
      </c>
      <c r="AV475" s="16" t="s">
        <v>112</v>
      </c>
      <c r="AW475" s="56" t="s">
        <v>113</v>
      </c>
      <c r="AX475" s="56" t="s">
        <v>7136</v>
      </c>
      <c r="AY475" s="7" t="s">
        <v>8875</v>
      </c>
      <c r="AZ475" s="10" t="s">
        <v>8245</v>
      </c>
      <c r="BA475" s="7" t="s">
        <v>5047</v>
      </c>
      <c r="BB475" s="17">
        <v>29914</v>
      </c>
      <c r="BC475" s="17" t="s">
        <v>7112</v>
      </c>
      <c r="BD475" s="18" t="s">
        <v>8242</v>
      </c>
      <c r="BE475" s="7" t="s">
        <v>118</v>
      </c>
      <c r="BF475" s="7" t="s">
        <v>5043</v>
      </c>
      <c r="BG475" s="7" t="s">
        <v>8876</v>
      </c>
      <c r="BH475" s="7" t="s">
        <v>8877</v>
      </c>
      <c r="BI475" s="19" t="s">
        <v>8248</v>
      </c>
      <c r="BJ475" s="20" t="s">
        <v>8878</v>
      </c>
      <c r="BK475" s="21" t="s">
        <v>8250</v>
      </c>
      <c r="BL475" s="7" t="s">
        <v>8879</v>
      </c>
      <c r="BM475" s="22" t="s">
        <v>8252</v>
      </c>
      <c r="BN475" s="8" t="s">
        <v>8790</v>
      </c>
      <c r="BO475" s="17">
        <v>29839</v>
      </c>
      <c r="BP475" s="17" t="s">
        <v>96</v>
      </c>
      <c r="BQ475" s="18" t="s">
        <v>8243</v>
      </c>
      <c r="BR475" s="7" t="s">
        <v>118</v>
      </c>
      <c r="BS475" s="7" t="s">
        <v>7967</v>
      </c>
      <c r="BT475" s="7" t="s">
        <v>6077</v>
      </c>
      <c r="BU475" s="8" t="s">
        <v>6077</v>
      </c>
      <c r="BV475" s="23" t="s">
        <v>6077</v>
      </c>
      <c r="BW475" s="24" t="s">
        <v>6077</v>
      </c>
      <c r="BX475" s="21" t="s">
        <v>8880</v>
      </c>
      <c r="BY475" s="21" t="s">
        <v>8881</v>
      </c>
      <c r="BZ475" s="21" t="s">
        <v>5047</v>
      </c>
      <c r="CA475" s="21">
        <v>27854</v>
      </c>
      <c r="CB475" s="21"/>
      <c r="CC475" s="21" t="s">
        <v>8256</v>
      </c>
      <c r="CD475" s="21" t="s">
        <v>216</v>
      </c>
      <c r="CE475" s="21" t="s">
        <v>7967</v>
      </c>
      <c r="CF475" s="21" t="s">
        <v>96</v>
      </c>
      <c r="CG475" s="21" t="s">
        <v>8882</v>
      </c>
      <c r="CH475" s="21" t="s">
        <v>384</v>
      </c>
      <c r="CI475" s="21" t="s">
        <v>318</v>
      </c>
      <c r="CJ475" s="21" t="s">
        <v>8883</v>
      </c>
      <c r="CK475" s="21" t="s">
        <v>7133</v>
      </c>
      <c r="CL475" s="21" t="s">
        <v>5047</v>
      </c>
      <c r="CN475" s="25"/>
      <c r="CO475" s="25"/>
      <c r="CP475" s="25"/>
      <c r="CQ475" s="25"/>
      <c r="CR475" s="25"/>
      <c r="CS475" s="26"/>
    </row>
    <row r="476" spans="1:97" s="27" customFormat="1" ht="23.25" customHeight="1">
      <c r="A476" s="4">
        <v>370</v>
      </c>
      <c r="B476" s="6"/>
      <c r="C476" s="6"/>
      <c r="D476" s="6"/>
      <c r="E476" s="6"/>
      <c r="F476" s="6"/>
      <c r="G476" s="6"/>
      <c r="H476" s="5" t="s">
        <v>7095</v>
      </c>
      <c r="I476" s="6" t="s">
        <v>86</v>
      </c>
      <c r="J476" s="7" t="s">
        <v>166</v>
      </c>
      <c r="K476" s="7" t="s">
        <v>7666</v>
      </c>
      <c r="L476" s="8"/>
      <c r="M476" s="5">
        <v>1816</v>
      </c>
      <c r="N476" s="5" t="s">
        <v>7667</v>
      </c>
      <c r="O476" s="9" t="s">
        <v>7668</v>
      </c>
      <c r="P476" s="10" t="s">
        <v>7669</v>
      </c>
      <c r="Q476" s="389" t="s">
        <v>7670</v>
      </c>
      <c r="R476" s="8" t="s">
        <v>9448</v>
      </c>
      <c r="S476" s="212" t="s">
        <v>12150</v>
      </c>
      <c r="T476" s="8" t="s">
        <v>7671</v>
      </c>
      <c r="U476" s="11" t="s">
        <v>93</v>
      </c>
      <c r="V476" s="12" t="s">
        <v>94</v>
      </c>
      <c r="W476" s="13">
        <v>42502</v>
      </c>
      <c r="X476" s="5" t="str">
        <f t="shared" ca="1" si="17"/>
        <v>10 Th, 4 Bln</v>
      </c>
      <c r="Y476" s="5"/>
      <c r="Z476" s="14"/>
      <c r="AA476" s="5" t="s">
        <v>96</v>
      </c>
      <c r="AB476" s="5" t="s">
        <v>97</v>
      </c>
      <c r="AC476" s="7" t="s">
        <v>7672</v>
      </c>
      <c r="AD476" s="131" t="s">
        <v>358</v>
      </c>
      <c r="AE476" s="131" t="s">
        <v>967</v>
      </c>
      <c r="AF476" s="7" t="s">
        <v>7673</v>
      </c>
      <c r="AG476" s="7" t="s">
        <v>7674</v>
      </c>
      <c r="AH476" s="7" t="s">
        <v>2159</v>
      </c>
      <c r="AI476" s="7">
        <v>65138</v>
      </c>
      <c r="AJ476" s="7" t="s">
        <v>5047</v>
      </c>
      <c r="AK476" s="7" t="s">
        <v>104</v>
      </c>
      <c r="AL476" s="7" t="s">
        <v>4935</v>
      </c>
      <c r="AM476" s="15" t="s">
        <v>127</v>
      </c>
      <c r="AN476" s="15" t="s">
        <v>7675</v>
      </c>
      <c r="AO476" s="8">
        <v>2</v>
      </c>
      <c r="AP476" s="8">
        <v>1</v>
      </c>
      <c r="AQ476" s="8"/>
      <c r="AR476" s="8"/>
      <c r="AS476" s="132">
        <v>130</v>
      </c>
      <c r="AT476" s="131" t="s">
        <v>7676</v>
      </c>
      <c r="AU476" s="132" t="s">
        <v>182</v>
      </c>
      <c r="AV476" s="16" t="s">
        <v>112</v>
      </c>
      <c r="AW476" s="56" t="s">
        <v>7677</v>
      </c>
      <c r="AX476" s="56" t="s">
        <v>7678</v>
      </c>
      <c r="AY476" s="7" t="s">
        <v>7679</v>
      </c>
      <c r="AZ476" s="10" t="s">
        <v>7680</v>
      </c>
      <c r="BA476" s="7" t="s">
        <v>7681</v>
      </c>
      <c r="BB476" s="17">
        <v>31546</v>
      </c>
      <c r="BC476" s="17" t="s">
        <v>7112</v>
      </c>
      <c r="BD476" s="18" t="s">
        <v>7682</v>
      </c>
      <c r="BE476" s="7" t="s">
        <v>118</v>
      </c>
      <c r="BF476" s="7" t="s">
        <v>5043</v>
      </c>
      <c r="BG476" s="7" t="s">
        <v>7683</v>
      </c>
      <c r="BH476" s="7" t="s">
        <v>7672</v>
      </c>
      <c r="BI476" s="19" t="s">
        <v>7684</v>
      </c>
      <c r="BJ476" s="20" t="s">
        <v>7685</v>
      </c>
      <c r="BK476" s="21" t="s">
        <v>7686</v>
      </c>
      <c r="BL476" s="7" t="s">
        <v>7687</v>
      </c>
      <c r="BM476" s="22" t="s">
        <v>7688</v>
      </c>
      <c r="BN476" s="8" t="s">
        <v>5047</v>
      </c>
      <c r="BO476" s="17">
        <v>31969</v>
      </c>
      <c r="BP476" s="17" t="s">
        <v>96</v>
      </c>
      <c r="BQ476" s="18" t="s">
        <v>7675</v>
      </c>
      <c r="BR476" s="7" t="s">
        <v>118</v>
      </c>
      <c r="BS476" s="7" t="s">
        <v>254</v>
      </c>
      <c r="BT476" s="7" t="s">
        <v>127</v>
      </c>
      <c r="BU476" s="8" t="s">
        <v>127</v>
      </c>
      <c r="BV476" s="23" t="s">
        <v>127</v>
      </c>
      <c r="BW476" s="24" t="s">
        <v>127</v>
      </c>
      <c r="BX476" s="21" t="s">
        <v>7689</v>
      </c>
      <c r="BY476" s="21" t="s">
        <v>127</v>
      </c>
      <c r="BZ476" s="21" t="s">
        <v>127</v>
      </c>
      <c r="CA476" s="21"/>
      <c r="CB476" s="21"/>
      <c r="CC476" s="21" t="s">
        <v>127</v>
      </c>
      <c r="CD476" s="21"/>
      <c r="CE476" s="21" t="s">
        <v>127</v>
      </c>
      <c r="CF476" s="21"/>
      <c r="CG476" s="21" t="s">
        <v>127</v>
      </c>
      <c r="CH476" s="21" t="s">
        <v>127</v>
      </c>
      <c r="CI476" s="21" t="s">
        <v>127</v>
      </c>
      <c r="CJ476" s="21" t="s">
        <v>127</v>
      </c>
      <c r="CK476" s="21" t="s">
        <v>127</v>
      </c>
      <c r="CL476" s="21" t="s">
        <v>127</v>
      </c>
      <c r="CN476" s="25"/>
      <c r="CO476" s="25"/>
      <c r="CP476" s="25"/>
      <c r="CQ476" s="25"/>
      <c r="CR476" s="25"/>
      <c r="CS476" s="26"/>
    </row>
    <row r="477" spans="1:97" s="27" customFormat="1" ht="23.25" customHeight="1">
      <c r="A477" s="4">
        <v>372</v>
      </c>
      <c r="B477" s="6"/>
      <c r="C477" s="6"/>
      <c r="D477" s="6"/>
      <c r="E477" s="6"/>
      <c r="F477" s="6"/>
      <c r="G477" s="6"/>
      <c r="H477" s="5" t="s">
        <v>7095</v>
      </c>
      <c r="I477" s="6" t="s">
        <v>86</v>
      </c>
      <c r="J477" s="7" t="s">
        <v>166</v>
      </c>
      <c r="K477" s="7" t="s">
        <v>7705</v>
      </c>
      <c r="L477" s="8"/>
      <c r="M477" s="5">
        <v>1820</v>
      </c>
      <c r="N477" s="5" t="s">
        <v>7706</v>
      </c>
      <c r="O477" s="9" t="s">
        <v>7707</v>
      </c>
      <c r="P477" s="10" t="s">
        <v>7708</v>
      </c>
      <c r="Q477" s="389" t="s">
        <v>7709</v>
      </c>
      <c r="R477" s="8" t="s">
        <v>9448</v>
      </c>
      <c r="S477" s="212" t="s">
        <v>12150</v>
      </c>
      <c r="T477" s="8" t="s">
        <v>7710</v>
      </c>
      <c r="U477" s="11" t="s">
        <v>172</v>
      </c>
      <c r="V477" s="12" t="s">
        <v>94</v>
      </c>
      <c r="W477" s="13">
        <v>42228</v>
      </c>
      <c r="X477" s="5" t="str">
        <f t="shared" ca="1" si="17"/>
        <v>11 Th, 1 Bln</v>
      </c>
      <c r="Y477" s="5"/>
      <c r="Z477" s="14"/>
      <c r="AA477" s="5" t="s">
        <v>96</v>
      </c>
      <c r="AB477" s="5" t="s">
        <v>97</v>
      </c>
      <c r="AC477" s="7" t="s">
        <v>7711</v>
      </c>
      <c r="AD477" s="131" t="s">
        <v>100</v>
      </c>
      <c r="AE477" s="131" t="s">
        <v>293</v>
      </c>
      <c r="AF477" s="7" t="s">
        <v>7712</v>
      </c>
      <c r="AG477" s="7" t="s">
        <v>7307</v>
      </c>
      <c r="AH477" s="7" t="s">
        <v>178</v>
      </c>
      <c r="AI477" s="7">
        <v>65141</v>
      </c>
      <c r="AJ477" s="7" t="s">
        <v>7713</v>
      </c>
      <c r="AK477" s="7" t="s">
        <v>104</v>
      </c>
      <c r="AL477" s="7" t="s">
        <v>7714</v>
      </c>
      <c r="AM477" s="15" t="s">
        <v>7715</v>
      </c>
      <c r="AN477" s="15" t="s">
        <v>7716</v>
      </c>
      <c r="AO477" s="8">
        <v>2</v>
      </c>
      <c r="AP477" s="8">
        <v>3</v>
      </c>
      <c r="AQ477" s="8" t="s">
        <v>3019</v>
      </c>
      <c r="AR477" s="8" t="s">
        <v>3019</v>
      </c>
      <c r="AS477" s="132">
        <v>120</v>
      </c>
      <c r="AT477" s="131">
        <v>22</v>
      </c>
      <c r="AU477" s="132" t="s">
        <v>182</v>
      </c>
      <c r="AV477" s="16" t="s">
        <v>212</v>
      </c>
      <c r="AW477" s="56" t="s">
        <v>549</v>
      </c>
      <c r="AX477" s="56" t="s">
        <v>7717</v>
      </c>
      <c r="AY477" s="7" t="s">
        <v>7718</v>
      </c>
      <c r="AZ477" s="10">
        <v>3573051208820020</v>
      </c>
      <c r="BA477" s="7" t="s">
        <v>7713</v>
      </c>
      <c r="BB477" s="17">
        <v>30175</v>
      </c>
      <c r="BC477" s="17" t="s">
        <v>7719</v>
      </c>
      <c r="BD477" s="18" t="s">
        <v>7720</v>
      </c>
      <c r="BE477" s="7" t="s">
        <v>118</v>
      </c>
      <c r="BF477" s="7" t="s">
        <v>7721</v>
      </c>
      <c r="BG477" s="7" t="s">
        <v>7722</v>
      </c>
      <c r="BH477" s="7" t="s">
        <v>7711</v>
      </c>
      <c r="BI477" s="19" t="s">
        <v>7715</v>
      </c>
      <c r="BJ477" s="20">
        <v>5000000</v>
      </c>
      <c r="BK477" s="21" t="s">
        <v>7723</v>
      </c>
      <c r="BL477" s="7" t="s">
        <v>7724</v>
      </c>
      <c r="BM477" s="22" t="s">
        <v>7725</v>
      </c>
      <c r="BN477" s="8" t="s">
        <v>7713</v>
      </c>
      <c r="BO477" s="17">
        <v>31590</v>
      </c>
      <c r="BP477" s="17" t="s">
        <v>96</v>
      </c>
      <c r="BQ477" s="18" t="s">
        <v>7726</v>
      </c>
      <c r="BR477" s="7" t="s">
        <v>216</v>
      </c>
      <c r="BS477" s="7" t="s">
        <v>7721</v>
      </c>
      <c r="BT477" s="7" t="s">
        <v>7727</v>
      </c>
      <c r="BU477" s="8" t="s">
        <v>7711</v>
      </c>
      <c r="BV477" s="23" t="s">
        <v>7726</v>
      </c>
      <c r="BW477" s="24">
        <v>5000000</v>
      </c>
      <c r="BX477" s="21" t="s">
        <v>7728</v>
      </c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N477" s="25"/>
      <c r="CO477" s="25"/>
      <c r="CP477" s="25"/>
      <c r="CQ477" s="25"/>
      <c r="CR477" s="25"/>
      <c r="CS477" s="26"/>
    </row>
    <row r="478" spans="1:97" s="27" customFormat="1" ht="23.25" customHeight="1">
      <c r="A478" s="4">
        <v>398</v>
      </c>
      <c r="B478" s="6"/>
      <c r="C478" s="6"/>
      <c r="D478" s="6"/>
      <c r="E478" s="6"/>
      <c r="F478" s="6"/>
      <c r="G478" s="6"/>
      <c r="H478" s="5" t="s">
        <v>7095</v>
      </c>
      <c r="I478" s="6" t="s">
        <v>86</v>
      </c>
      <c r="J478" s="7" t="s">
        <v>166</v>
      </c>
      <c r="K478" s="7" t="s">
        <v>8281</v>
      </c>
      <c r="L478" s="8"/>
      <c r="M478" s="5">
        <v>1822</v>
      </c>
      <c r="N478" s="5" t="s">
        <v>8282</v>
      </c>
      <c r="O478" s="9" t="s">
        <v>8283</v>
      </c>
      <c r="P478" s="10" t="s">
        <v>8284</v>
      </c>
      <c r="Q478" s="389" t="s">
        <v>8285</v>
      </c>
      <c r="R478" s="8" t="s">
        <v>9448</v>
      </c>
      <c r="S478" s="212" t="s">
        <v>12150</v>
      </c>
      <c r="T478" s="8" t="s">
        <v>8286</v>
      </c>
      <c r="U478" s="11" t="s">
        <v>172</v>
      </c>
      <c r="V478" s="12" t="s">
        <v>94</v>
      </c>
      <c r="W478" s="13">
        <v>42480</v>
      </c>
      <c r="X478" s="5" t="str">
        <f t="shared" ca="1" si="17"/>
        <v>10 Th, 4 Bln</v>
      </c>
      <c r="Y478" s="5"/>
      <c r="Z478" s="14"/>
      <c r="AA478" s="5" t="s">
        <v>96</v>
      </c>
      <c r="AB478" s="5" t="s">
        <v>97</v>
      </c>
      <c r="AC478" s="7" t="s">
        <v>8287</v>
      </c>
      <c r="AD478" s="131" t="s">
        <v>137</v>
      </c>
      <c r="AE478" s="131" t="s">
        <v>3524</v>
      </c>
      <c r="AF478" s="7" t="s">
        <v>521</v>
      </c>
      <c r="AG478" s="7" t="s">
        <v>178</v>
      </c>
      <c r="AH478" s="7" t="s">
        <v>178</v>
      </c>
      <c r="AI478" s="7">
        <v>65141</v>
      </c>
      <c r="AJ478" s="7" t="s">
        <v>103</v>
      </c>
      <c r="AK478" s="7" t="s">
        <v>179</v>
      </c>
      <c r="AL478" s="7" t="s">
        <v>8288</v>
      </c>
      <c r="AM478" s="15" t="s">
        <v>127</v>
      </c>
      <c r="AN478" s="15" t="s">
        <v>8289</v>
      </c>
      <c r="AO478" s="8">
        <v>2</v>
      </c>
      <c r="AP478" s="8">
        <v>1</v>
      </c>
      <c r="AQ478" s="8" t="s">
        <v>127</v>
      </c>
      <c r="AR478" s="8" t="s">
        <v>127</v>
      </c>
      <c r="AS478" s="132">
        <v>111</v>
      </c>
      <c r="AT478" s="131">
        <v>16.5</v>
      </c>
      <c r="AU478" s="132" t="s">
        <v>111</v>
      </c>
      <c r="AV478" s="16" t="s">
        <v>112</v>
      </c>
      <c r="AW478" s="56" t="s">
        <v>113</v>
      </c>
      <c r="AX478" s="56" t="s">
        <v>183</v>
      </c>
      <c r="AY478" s="7" t="s">
        <v>8290</v>
      </c>
      <c r="AZ478" s="10" t="s">
        <v>8291</v>
      </c>
      <c r="BA478" s="7" t="s">
        <v>670</v>
      </c>
      <c r="BB478" s="17">
        <v>30213</v>
      </c>
      <c r="BC478" s="17" t="s">
        <v>96</v>
      </c>
      <c r="BD478" s="18" t="s">
        <v>8292</v>
      </c>
      <c r="BE478" s="7" t="s">
        <v>118</v>
      </c>
      <c r="BF478" s="7" t="s">
        <v>247</v>
      </c>
      <c r="BG478" s="7" t="s">
        <v>127</v>
      </c>
      <c r="BH478" s="7" t="s">
        <v>670</v>
      </c>
      <c r="BI478" s="19" t="s">
        <v>127</v>
      </c>
      <c r="BJ478" s="20">
        <v>5000000</v>
      </c>
      <c r="BK478" s="21" t="s">
        <v>8293</v>
      </c>
      <c r="BL478" s="7" t="s">
        <v>8294</v>
      </c>
      <c r="BM478" s="22" t="s">
        <v>8295</v>
      </c>
      <c r="BN478" s="8" t="s">
        <v>1208</v>
      </c>
      <c r="BO478" s="17">
        <v>31895</v>
      </c>
      <c r="BP478" s="17" t="s">
        <v>96</v>
      </c>
      <c r="BQ478" s="18" t="s">
        <v>8289</v>
      </c>
      <c r="BR478" s="7" t="s">
        <v>118</v>
      </c>
      <c r="BS478" s="7" t="s">
        <v>503</v>
      </c>
      <c r="BT478" s="7" t="s">
        <v>257</v>
      </c>
      <c r="BU478" s="8" t="s">
        <v>8296</v>
      </c>
      <c r="BV478" s="23" t="s">
        <v>8297</v>
      </c>
      <c r="BW478" s="24">
        <v>1000000</v>
      </c>
      <c r="BX478" s="21" t="s">
        <v>8298</v>
      </c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N478" s="25"/>
      <c r="CO478" s="25"/>
      <c r="CP478" s="25"/>
      <c r="CQ478" s="25"/>
      <c r="CR478" s="25"/>
      <c r="CS478" s="26"/>
    </row>
    <row r="479" spans="1:97" s="27" customFormat="1" ht="23.25" customHeight="1">
      <c r="A479" s="4">
        <v>401</v>
      </c>
      <c r="B479" s="6"/>
      <c r="C479" s="6"/>
      <c r="D479" s="6"/>
      <c r="E479" s="6"/>
      <c r="F479" s="6"/>
      <c r="G479" s="6"/>
      <c r="H479" s="5" t="s">
        <v>7095</v>
      </c>
      <c r="I479" s="6" t="s">
        <v>86</v>
      </c>
      <c r="J479" s="7" t="s">
        <v>166</v>
      </c>
      <c r="K479" s="7" t="s">
        <v>8347</v>
      </c>
      <c r="L479" s="8"/>
      <c r="M479" s="5">
        <v>1723</v>
      </c>
      <c r="N479" s="5" t="s">
        <v>8348</v>
      </c>
      <c r="O479" s="9" t="s">
        <v>8349</v>
      </c>
      <c r="P479" s="10" t="s">
        <v>8350</v>
      </c>
      <c r="Q479" s="389" t="s">
        <v>8351</v>
      </c>
      <c r="R479" s="8" t="s">
        <v>9928</v>
      </c>
      <c r="S479" s="212" t="s">
        <v>12151</v>
      </c>
      <c r="T479" s="8" t="s">
        <v>8352</v>
      </c>
      <c r="U479" s="11" t="s">
        <v>172</v>
      </c>
      <c r="V479" s="12" t="s">
        <v>94</v>
      </c>
      <c r="W479" s="13">
        <v>42485</v>
      </c>
      <c r="X479" s="5" t="str">
        <f t="shared" ca="1" si="17"/>
        <v>10 Th, 4 Bln</v>
      </c>
      <c r="Y479" s="5"/>
      <c r="Z479" s="14"/>
      <c r="AA479" s="5" t="s">
        <v>96</v>
      </c>
      <c r="AB479" s="5" t="s">
        <v>97</v>
      </c>
      <c r="AC479" s="7" t="s">
        <v>8353</v>
      </c>
      <c r="AD479" s="131" t="s">
        <v>100</v>
      </c>
      <c r="AE479" s="131" t="s">
        <v>99</v>
      </c>
      <c r="AF479" s="7" t="s">
        <v>8354</v>
      </c>
      <c r="AG479" s="7" t="s">
        <v>5046</v>
      </c>
      <c r="AH479" s="7" t="s">
        <v>178</v>
      </c>
      <c r="AI479" s="7">
        <v>65143</v>
      </c>
      <c r="AJ479" s="7" t="s">
        <v>5047</v>
      </c>
      <c r="AK479" s="7" t="s">
        <v>179</v>
      </c>
      <c r="AL479" s="7" t="s">
        <v>8355</v>
      </c>
      <c r="AM479" s="15">
        <v>0</v>
      </c>
      <c r="AN479" s="15" t="s">
        <v>8356</v>
      </c>
      <c r="AO479" s="8">
        <v>2</v>
      </c>
      <c r="AP479" s="8">
        <v>1</v>
      </c>
      <c r="AQ479" s="8">
        <v>0</v>
      </c>
      <c r="AR479" s="8">
        <v>0</v>
      </c>
      <c r="AS479" s="132" t="s">
        <v>8357</v>
      </c>
      <c r="AT479" s="131" t="s">
        <v>109</v>
      </c>
      <c r="AU479" s="132" t="s">
        <v>111</v>
      </c>
      <c r="AV479" s="16" t="s">
        <v>112</v>
      </c>
      <c r="AW479" s="56" t="s">
        <v>150</v>
      </c>
      <c r="AX479" s="56" t="s">
        <v>7136</v>
      </c>
      <c r="AY479" s="7" t="s">
        <v>8358</v>
      </c>
      <c r="AZ479" s="10" t="s">
        <v>8359</v>
      </c>
      <c r="BA479" s="7" t="s">
        <v>5047</v>
      </c>
      <c r="BB479" s="17">
        <v>32042</v>
      </c>
      <c r="BC479" s="17" t="s">
        <v>7112</v>
      </c>
      <c r="BD479" s="18" t="s">
        <v>8360</v>
      </c>
      <c r="BE479" s="7" t="s">
        <v>153</v>
      </c>
      <c r="BF479" s="7" t="s">
        <v>8361</v>
      </c>
      <c r="BG479" s="7" t="s">
        <v>8362</v>
      </c>
      <c r="BH479" s="7" t="s">
        <v>8363</v>
      </c>
      <c r="BI479" s="19">
        <v>0</v>
      </c>
      <c r="BJ479" s="20" t="s">
        <v>1078</v>
      </c>
      <c r="BK479" s="21" t="s">
        <v>8364</v>
      </c>
      <c r="BL479" s="7" t="s">
        <v>8365</v>
      </c>
      <c r="BM479" s="22" t="s">
        <v>8366</v>
      </c>
      <c r="BN479" s="8" t="s">
        <v>8367</v>
      </c>
      <c r="BO479" s="17">
        <v>32115</v>
      </c>
      <c r="BP479" s="17" t="s">
        <v>96</v>
      </c>
      <c r="BQ479" s="18" t="s">
        <v>8356</v>
      </c>
      <c r="BR479" s="7" t="s">
        <v>153</v>
      </c>
      <c r="BS479" s="7" t="s">
        <v>7113</v>
      </c>
      <c r="BT479" s="7" t="s">
        <v>7114</v>
      </c>
      <c r="BU479" s="8" t="s">
        <v>8368</v>
      </c>
      <c r="BV479" s="23">
        <v>0</v>
      </c>
      <c r="BW479" s="24" t="s">
        <v>1528</v>
      </c>
      <c r="BX479" s="21" t="s">
        <v>8369</v>
      </c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N479" s="25"/>
      <c r="CO479" s="25"/>
      <c r="CP479" s="25"/>
      <c r="CQ479" s="25"/>
      <c r="CR479" s="25"/>
      <c r="CS479" s="26"/>
    </row>
    <row r="480" spans="1:97" s="27" customFormat="1" ht="23.25" customHeight="1">
      <c r="A480" s="4">
        <v>431</v>
      </c>
      <c r="B480" s="6"/>
      <c r="C480" s="6"/>
      <c r="D480" s="6"/>
      <c r="E480" s="6"/>
      <c r="F480" s="6"/>
      <c r="G480" s="6"/>
      <c r="H480" s="5" t="s">
        <v>7095</v>
      </c>
      <c r="I480" s="6" t="s">
        <v>86</v>
      </c>
      <c r="J480" s="7" t="s">
        <v>9008</v>
      </c>
      <c r="K480" s="7" t="s">
        <v>9009</v>
      </c>
      <c r="L480" s="8"/>
      <c r="M480" s="5">
        <v>1730</v>
      </c>
      <c r="N480" s="5" t="s">
        <v>9010</v>
      </c>
      <c r="O480" s="9" t="s">
        <v>9011</v>
      </c>
      <c r="P480" s="10" t="s">
        <v>9012</v>
      </c>
      <c r="Q480" s="389" t="s">
        <v>9013</v>
      </c>
      <c r="R480" s="8" t="s">
        <v>9928</v>
      </c>
      <c r="S480" s="212" t="s">
        <v>12151</v>
      </c>
      <c r="T480" s="8" t="s">
        <v>7154</v>
      </c>
      <c r="U480" s="11" t="s">
        <v>93</v>
      </c>
      <c r="V480" s="12" t="s">
        <v>94</v>
      </c>
      <c r="W480" s="13">
        <v>42353</v>
      </c>
      <c r="X480" s="5" t="str">
        <f t="shared" ca="1" si="17"/>
        <v>10 Th, 9 Bln</v>
      </c>
      <c r="Y480" s="5"/>
      <c r="Z480" s="14"/>
      <c r="AA480" s="5" t="s">
        <v>96</v>
      </c>
      <c r="AB480" s="5" t="s">
        <v>97</v>
      </c>
      <c r="AC480" s="7" t="s">
        <v>9014</v>
      </c>
      <c r="AD480" s="131" t="s">
        <v>293</v>
      </c>
      <c r="AE480" s="131" t="s">
        <v>318</v>
      </c>
      <c r="AF480" s="7" t="s">
        <v>4904</v>
      </c>
      <c r="AG480" s="7" t="s">
        <v>4904</v>
      </c>
      <c r="AH480" s="7" t="s">
        <v>141</v>
      </c>
      <c r="AI480" s="7">
        <v>65321</v>
      </c>
      <c r="AJ480" s="7" t="s">
        <v>4905</v>
      </c>
      <c r="AK480" s="7" t="s">
        <v>179</v>
      </c>
      <c r="AL480" s="7" t="s">
        <v>9015</v>
      </c>
      <c r="AM480" s="15" t="s">
        <v>127</v>
      </c>
      <c r="AN480" s="15" t="s">
        <v>9016</v>
      </c>
      <c r="AO480" s="8">
        <v>2</v>
      </c>
      <c r="AP480" s="8">
        <v>1</v>
      </c>
      <c r="AQ480" s="8"/>
      <c r="AR480" s="8"/>
      <c r="AS480" s="132">
        <v>120</v>
      </c>
      <c r="AT480" s="131">
        <v>25</v>
      </c>
      <c r="AU480" s="132" t="s">
        <v>111</v>
      </c>
      <c r="AV480" s="16" t="s">
        <v>112</v>
      </c>
      <c r="AW480" s="56" t="s">
        <v>113</v>
      </c>
      <c r="AX480" s="56" t="s">
        <v>7136</v>
      </c>
      <c r="AY480" s="7" t="s">
        <v>9017</v>
      </c>
      <c r="AZ480" s="10" t="s">
        <v>9018</v>
      </c>
      <c r="BA480" s="7" t="s">
        <v>5047</v>
      </c>
      <c r="BB480" s="17">
        <v>30984</v>
      </c>
      <c r="BC480" s="17" t="s">
        <v>7112</v>
      </c>
      <c r="BD480" s="18" t="s">
        <v>9019</v>
      </c>
      <c r="BE480" s="7" t="s">
        <v>118</v>
      </c>
      <c r="BF480" s="7" t="s">
        <v>9020</v>
      </c>
      <c r="BG480" s="7" t="s">
        <v>9021</v>
      </c>
      <c r="BH480" s="7" t="s">
        <v>9022</v>
      </c>
      <c r="BI480" s="19" t="s">
        <v>9023</v>
      </c>
      <c r="BJ480" s="20" t="s">
        <v>1078</v>
      </c>
      <c r="BK480" s="21" t="s">
        <v>9024</v>
      </c>
      <c r="BL480" s="7" t="s">
        <v>9025</v>
      </c>
      <c r="BM480" s="22" t="s">
        <v>9026</v>
      </c>
      <c r="BN480" s="8" t="s">
        <v>7576</v>
      </c>
      <c r="BO480" s="17">
        <v>30374</v>
      </c>
      <c r="BP480" s="17" t="s">
        <v>96</v>
      </c>
      <c r="BQ480" s="18" t="s">
        <v>9016</v>
      </c>
      <c r="BR480" s="7" t="s">
        <v>118</v>
      </c>
      <c r="BS480" s="7" t="s">
        <v>7967</v>
      </c>
      <c r="BT480" s="7" t="s">
        <v>127</v>
      </c>
      <c r="BU480" s="8" t="s">
        <v>127</v>
      </c>
      <c r="BV480" s="23" t="s">
        <v>127</v>
      </c>
      <c r="BW480" s="24" t="s">
        <v>127</v>
      </c>
      <c r="BX480" s="21"/>
      <c r="BY480" s="21" t="s">
        <v>127</v>
      </c>
      <c r="BZ480" s="21" t="s">
        <v>127</v>
      </c>
      <c r="CA480" s="21"/>
      <c r="CB480" s="21"/>
      <c r="CC480" s="21"/>
      <c r="CD480" s="21"/>
      <c r="CE480" s="21"/>
      <c r="CF480" s="21"/>
      <c r="CG480" s="21" t="s">
        <v>127</v>
      </c>
      <c r="CH480" s="21" t="s">
        <v>127</v>
      </c>
      <c r="CI480" s="21" t="s">
        <v>127</v>
      </c>
      <c r="CJ480" s="21" t="s">
        <v>127</v>
      </c>
      <c r="CK480" s="21" t="s">
        <v>127</v>
      </c>
      <c r="CL480" s="21" t="s">
        <v>127</v>
      </c>
      <c r="CN480" s="25"/>
      <c r="CO480" s="25"/>
      <c r="CP480" s="25"/>
      <c r="CQ480" s="25"/>
      <c r="CR480" s="25"/>
      <c r="CS480" s="26"/>
    </row>
    <row r="481" spans="1:97" s="27" customFormat="1" ht="23.25" customHeight="1">
      <c r="A481" s="4">
        <v>349</v>
      </c>
      <c r="B481" s="6"/>
      <c r="C481" s="6"/>
      <c r="D481" s="6"/>
      <c r="E481" s="6"/>
      <c r="F481" s="6"/>
      <c r="G481" s="6"/>
      <c r="H481" s="95" t="s">
        <v>7168</v>
      </c>
      <c r="I481" s="6" t="s">
        <v>4774</v>
      </c>
      <c r="J481" s="7" t="s">
        <v>7169</v>
      </c>
      <c r="K481" s="7" t="s">
        <v>7170</v>
      </c>
      <c r="L481" s="8"/>
      <c r="M481" s="5">
        <v>1943</v>
      </c>
      <c r="N481" s="5" t="s">
        <v>7171</v>
      </c>
      <c r="O481" s="9" t="s">
        <v>7172</v>
      </c>
      <c r="P481" s="10" t="s">
        <v>7173</v>
      </c>
      <c r="Q481" s="389" t="s">
        <v>7174</v>
      </c>
      <c r="R481" s="8" t="s">
        <v>9928</v>
      </c>
      <c r="S481" s="212" t="s">
        <v>12151</v>
      </c>
      <c r="T481" s="8" t="s">
        <v>7175</v>
      </c>
      <c r="U481" s="11" t="s">
        <v>93</v>
      </c>
      <c r="V481" s="12" t="s">
        <v>544</v>
      </c>
      <c r="W481" s="13" t="s">
        <v>7176</v>
      </c>
      <c r="X481" s="5" t="s">
        <v>7177</v>
      </c>
      <c r="Y481" s="5"/>
      <c r="Z481" s="14">
        <v>42208</v>
      </c>
      <c r="AA481" s="5" t="s">
        <v>737</v>
      </c>
      <c r="AB481" s="5" t="s">
        <v>7178</v>
      </c>
      <c r="AC481" s="7" t="s">
        <v>7179</v>
      </c>
      <c r="AD481" s="131">
        <v>2</v>
      </c>
      <c r="AE481" s="131">
        <v>4</v>
      </c>
      <c r="AF481" s="7" t="s">
        <v>4265</v>
      </c>
      <c r="AG481" s="7" t="s">
        <v>547</v>
      </c>
      <c r="AH481" s="7" t="s">
        <v>178</v>
      </c>
      <c r="AI481" s="7"/>
      <c r="AJ481" s="7" t="s">
        <v>568</v>
      </c>
      <c r="AK481" s="7"/>
      <c r="AL481" s="7" t="s">
        <v>7180</v>
      </c>
      <c r="AM481" s="15"/>
      <c r="AN481" s="15"/>
      <c r="AO481" s="8">
        <v>1</v>
      </c>
      <c r="AP481" s="8">
        <v>1</v>
      </c>
      <c r="AQ481" s="8"/>
      <c r="AR481" s="8"/>
      <c r="AS481" s="132"/>
      <c r="AT481" s="131">
        <v>29</v>
      </c>
      <c r="AU481" s="132" t="s">
        <v>149</v>
      </c>
      <c r="AV481" s="16"/>
      <c r="AW481" s="56" t="s">
        <v>7181</v>
      </c>
      <c r="AX481" s="56" t="s">
        <v>427</v>
      </c>
      <c r="AY481" s="7" t="s">
        <v>7182</v>
      </c>
      <c r="AZ481" s="10" t="s">
        <v>2314</v>
      </c>
      <c r="BA481" s="7" t="s">
        <v>7183</v>
      </c>
      <c r="BB481" s="17" t="s">
        <v>7184</v>
      </c>
      <c r="BC481" s="17"/>
      <c r="BD481" s="18"/>
      <c r="BE481" s="7" t="s">
        <v>153</v>
      </c>
      <c r="BF481" s="7" t="s">
        <v>7185</v>
      </c>
      <c r="BG481" s="7" t="s">
        <v>7186</v>
      </c>
      <c r="BH481" s="7"/>
      <c r="BI481" s="19"/>
      <c r="BJ481" s="20" t="s">
        <v>7187</v>
      </c>
      <c r="BK481" s="21"/>
      <c r="BL481" s="7" t="s">
        <v>7188</v>
      </c>
      <c r="BM481" s="22" t="s">
        <v>2322</v>
      </c>
      <c r="BN481" s="8" t="s">
        <v>544</v>
      </c>
      <c r="BO481" s="17" t="s">
        <v>7189</v>
      </c>
      <c r="BP481" s="17" t="s">
        <v>737</v>
      </c>
      <c r="BQ481" s="18" t="s">
        <v>2311</v>
      </c>
      <c r="BR481" s="7" t="s">
        <v>118</v>
      </c>
      <c r="BS481" s="7"/>
      <c r="BT481" s="7"/>
      <c r="BU481" s="8"/>
      <c r="BV481" s="23"/>
      <c r="BW481" s="24"/>
      <c r="BX481" s="21"/>
      <c r="BY481" s="21" t="s">
        <v>7190</v>
      </c>
      <c r="BZ481" s="21" t="s">
        <v>7191</v>
      </c>
      <c r="CA481" s="21" t="s">
        <v>7192</v>
      </c>
      <c r="CB481" s="21" t="s">
        <v>7193</v>
      </c>
      <c r="CC481" s="21" t="s">
        <v>2327</v>
      </c>
      <c r="CD481" s="21" t="s">
        <v>153</v>
      </c>
      <c r="CE481" s="21"/>
      <c r="CF481" s="21" t="s">
        <v>737</v>
      </c>
      <c r="CG481" s="21" t="s">
        <v>7179</v>
      </c>
      <c r="CH481" s="21">
        <v>2</v>
      </c>
      <c r="CI481" s="21">
        <v>4</v>
      </c>
      <c r="CJ481" s="21" t="s">
        <v>942</v>
      </c>
      <c r="CK481" s="21" t="s">
        <v>547</v>
      </c>
      <c r="CL481" s="21" t="s">
        <v>568</v>
      </c>
      <c r="CN481" s="25"/>
      <c r="CO481" s="25"/>
      <c r="CP481" s="25"/>
      <c r="CQ481" s="25"/>
      <c r="CR481" s="25"/>
      <c r="CS481" s="26"/>
    </row>
    <row r="482" spans="1:97" s="27" customFormat="1" ht="23.25" customHeight="1">
      <c r="A482" s="4">
        <v>350</v>
      </c>
      <c r="B482" s="6"/>
      <c r="C482" s="6"/>
      <c r="D482" s="6"/>
      <c r="E482" s="6"/>
      <c r="F482" s="6"/>
      <c r="G482" s="6"/>
      <c r="H482" s="5" t="s">
        <v>7095</v>
      </c>
      <c r="I482" s="6" t="s">
        <v>86</v>
      </c>
      <c r="J482" s="7" t="s">
        <v>7194</v>
      </c>
      <c r="K482" s="7" t="s">
        <v>7195</v>
      </c>
      <c r="L482" s="8"/>
      <c r="M482" s="5">
        <v>1732</v>
      </c>
      <c r="N482" s="5" t="s">
        <v>7196</v>
      </c>
      <c r="O482" s="9" t="s">
        <v>1199</v>
      </c>
      <c r="P482" s="10" t="s">
        <v>7197</v>
      </c>
      <c r="Q482" s="389" t="s">
        <v>7198</v>
      </c>
      <c r="R482" s="8" t="s">
        <v>9928</v>
      </c>
      <c r="S482" s="212" t="s">
        <v>12151</v>
      </c>
      <c r="T482" s="8" t="s">
        <v>7199</v>
      </c>
      <c r="U482" s="11" t="s">
        <v>93</v>
      </c>
      <c r="V482" s="12" t="s">
        <v>263</v>
      </c>
      <c r="W482" s="13">
        <v>42348</v>
      </c>
      <c r="X482" s="5" t="str">
        <f ca="1">""&amp;DATEDIF(W482,TODAY(),"y")&amp;" Th, "&amp;DATEDIF(W482,TODAY(),"ym")&amp;" Bln"</f>
        <v>10 Th, 9 Bln</v>
      </c>
      <c r="Y482" s="5"/>
      <c r="Z482" s="14"/>
      <c r="AA482" s="5" t="s">
        <v>96</v>
      </c>
      <c r="AB482" s="5" t="s">
        <v>97</v>
      </c>
      <c r="AC482" s="7" t="s">
        <v>7200</v>
      </c>
      <c r="AD482" s="131" t="s">
        <v>100</v>
      </c>
      <c r="AE482" s="131" t="s">
        <v>318</v>
      </c>
      <c r="AF482" s="7" t="s">
        <v>993</v>
      </c>
      <c r="AG482" s="7" t="s">
        <v>994</v>
      </c>
      <c r="AH482" s="7" t="s">
        <v>141</v>
      </c>
      <c r="AI482" s="7">
        <v>65323</v>
      </c>
      <c r="AJ482" s="7" t="s">
        <v>263</v>
      </c>
      <c r="AK482" s="7" t="s">
        <v>179</v>
      </c>
      <c r="AL482" s="7" t="s">
        <v>4915</v>
      </c>
      <c r="AM482" s="15" t="s">
        <v>127</v>
      </c>
      <c r="AN482" s="15" t="s">
        <v>7201</v>
      </c>
      <c r="AO482" s="8">
        <v>2</v>
      </c>
      <c r="AP482" s="8">
        <v>2</v>
      </c>
      <c r="AQ482" s="8"/>
      <c r="AR482" s="8"/>
      <c r="AS482" s="132">
        <v>110</v>
      </c>
      <c r="AT482" s="131">
        <v>31</v>
      </c>
      <c r="AU482" s="132" t="s">
        <v>111</v>
      </c>
      <c r="AV482" s="16" t="s">
        <v>112</v>
      </c>
      <c r="AW482" s="56" t="s">
        <v>113</v>
      </c>
      <c r="AX482" s="56" t="s">
        <v>114</v>
      </c>
      <c r="AY482" s="7" t="s">
        <v>1206</v>
      </c>
      <c r="AZ482" s="10" t="s">
        <v>1207</v>
      </c>
      <c r="BA482" s="7" t="s">
        <v>1208</v>
      </c>
      <c r="BB482" s="17">
        <v>27756</v>
      </c>
      <c r="BC482" s="17" t="s">
        <v>96</v>
      </c>
      <c r="BD482" s="18" t="s">
        <v>1205</v>
      </c>
      <c r="BE482" s="7" t="s">
        <v>153</v>
      </c>
      <c r="BF482" s="7" t="s">
        <v>7202</v>
      </c>
      <c r="BG482" s="7" t="s">
        <v>1210</v>
      </c>
      <c r="BH482" s="7" t="s">
        <v>7203</v>
      </c>
      <c r="BI482" s="19"/>
      <c r="BJ482" s="20" t="s">
        <v>1912</v>
      </c>
      <c r="BK482" s="21" t="s">
        <v>1212</v>
      </c>
      <c r="BL482" s="7" t="s">
        <v>1213</v>
      </c>
      <c r="BM482" s="22" t="s">
        <v>7204</v>
      </c>
      <c r="BN482" s="8" t="s">
        <v>222</v>
      </c>
      <c r="BO482" s="17">
        <v>29382</v>
      </c>
      <c r="BP482" s="17" t="s">
        <v>96</v>
      </c>
      <c r="BQ482" s="18" t="s">
        <v>7201</v>
      </c>
      <c r="BR482" s="7" t="s">
        <v>153</v>
      </c>
      <c r="BS482" s="7" t="s">
        <v>126</v>
      </c>
      <c r="BT482" s="7" t="s">
        <v>127</v>
      </c>
      <c r="BU482" s="8" t="s">
        <v>127</v>
      </c>
      <c r="BV482" s="23"/>
      <c r="BW482" s="24" t="s">
        <v>127</v>
      </c>
      <c r="BX482" s="21"/>
      <c r="BY482" s="21" t="s">
        <v>1206</v>
      </c>
      <c r="BZ482" s="21" t="s">
        <v>1208</v>
      </c>
      <c r="CA482" s="21">
        <v>27756</v>
      </c>
      <c r="CB482" s="21"/>
      <c r="CC482" s="21" t="s">
        <v>1205</v>
      </c>
      <c r="CD482" s="21" t="s">
        <v>153</v>
      </c>
      <c r="CE482" s="21" t="s">
        <v>7202</v>
      </c>
      <c r="CF482" s="21" t="s">
        <v>96</v>
      </c>
      <c r="CG482" s="21" t="s">
        <v>7205</v>
      </c>
      <c r="CH482" s="21" t="s">
        <v>100</v>
      </c>
      <c r="CI482" s="21" t="s">
        <v>318</v>
      </c>
      <c r="CJ482" s="21" t="s">
        <v>993</v>
      </c>
      <c r="CK482" s="21" t="s">
        <v>994</v>
      </c>
      <c r="CL482" s="21" t="s">
        <v>263</v>
      </c>
      <c r="CN482" s="25"/>
      <c r="CO482" s="25"/>
      <c r="CP482" s="25"/>
      <c r="CQ482" s="25"/>
      <c r="CR482" s="25"/>
      <c r="CS482" s="26"/>
    </row>
    <row r="483" spans="1:97" s="27" customFormat="1" ht="23.25" customHeight="1">
      <c r="A483" s="180">
        <v>433</v>
      </c>
      <c r="B483" s="181"/>
      <c r="C483" s="181"/>
      <c r="D483" s="181"/>
      <c r="E483" s="181"/>
      <c r="F483" s="181"/>
      <c r="G483" s="181"/>
      <c r="H483" s="99" t="s">
        <v>7168</v>
      </c>
      <c r="I483" s="181" t="s">
        <v>4774</v>
      </c>
      <c r="J483" s="182" t="s">
        <v>9050</v>
      </c>
      <c r="K483" s="182" t="s">
        <v>9051</v>
      </c>
      <c r="L483" s="183"/>
      <c r="M483" s="99">
        <v>1944</v>
      </c>
      <c r="N483" s="99" t="s">
        <v>9052</v>
      </c>
      <c r="O483" s="230" t="s">
        <v>9053</v>
      </c>
      <c r="P483" s="184" t="s">
        <v>9054</v>
      </c>
      <c r="Q483" s="393" t="s">
        <v>9055</v>
      </c>
      <c r="R483" s="8" t="s">
        <v>9928</v>
      </c>
      <c r="S483" s="212" t="s">
        <v>12151</v>
      </c>
      <c r="T483" s="183" t="s">
        <v>9056</v>
      </c>
      <c r="U483" s="185" t="s">
        <v>172</v>
      </c>
      <c r="V483" s="186" t="s">
        <v>2524</v>
      </c>
      <c r="W483" s="187" t="s">
        <v>9057</v>
      </c>
      <c r="X483" s="5" t="str">
        <f ca="1">""&amp;DATEDIF(W483,TODAY(),"y")&amp;" Th, "&amp;DATEDIF(W483,TODAY(),"ym")&amp;" Bln"</f>
        <v>10 Th, 10 Bln</v>
      </c>
      <c r="Y483" s="99"/>
      <c r="Z483" s="188">
        <v>42318</v>
      </c>
      <c r="AA483" s="99" t="s">
        <v>737</v>
      </c>
      <c r="AB483" s="99" t="s">
        <v>7178</v>
      </c>
      <c r="AC483" s="182" t="s">
        <v>9058</v>
      </c>
      <c r="AD483" s="189">
        <v>19</v>
      </c>
      <c r="AE483" s="189">
        <v>5</v>
      </c>
      <c r="AF483" s="182" t="s">
        <v>9059</v>
      </c>
      <c r="AG483" s="182" t="s">
        <v>4719</v>
      </c>
      <c r="AH483" s="182" t="s">
        <v>141</v>
      </c>
      <c r="AI483" s="182"/>
      <c r="AJ483" s="182" t="s">
        <v>2024</v>
      </c>
      <c r="AK483" s="182"/>
      <c r="AL483" s="182" t="s">
        <v>9060</v>
      </c>
      <c r="AM483" s="190" t="s">
        <v>9061</v>
      </c>
      <c r="AN483" s="190"/>
      <c r="AO483" s="183">
        <v>1</v>
      </c>
      <c r="AP483" s="183">
        <v>1</v>
      </c>
      <c r="AQ483" s="183"/>
      <c r="AR483" s="183"/>
      <c r="AS483" s="191">
        <v>125</v>
      </c>
      <c r="AT483" s="189">
        <v>23</v>
      </c>
      <c r="AU483" s="191" t="s">
        <v>182</v>
      </c>
      <c r="AV483" s="192"/>
      <c r="AW483" s="193" t="s">
        <v>9062</v>
      </c>
      <c r="AX483" s="193" t="s">
        <v>427</v>
      </c>
      <c r="AY483" s="182" t="s">
        <v>9063</v>
      </c>
      <c r="AZ483" s="184" t="s">
        <v>9064</v>
      </c>
      <c r="BA483" s="182" t="s">
        <v>1765</v>
      </c>
      <c r="BB483" s="195" t="s">
        <v>9065</v>
      </c>
      <c r="BC483" s="195"/>
      <c r="BD483" s="196" t="s">
        <v>9066</v>
      </c>
      <c r="BE483" s="182" t="s">
        <v>118</v>
      </c>
      <c r="BF483" s="182" t="s">
        <v>9067</v>
      </c>
      <c r="BG483" s="182" t="s">
        <v>9068</v>
      </c>
      <c r="BH483" s="182" t="s">
        <v>9069</v>
      </c>
      <c r="BI483" s="197"/>
      <c r="BJ483" s="198" t="s">
        <v>9070</v>
      </c>
      <c r="BK483" s="199" t="s">
        <v>9071</v>
      </c>
      <c r="BL483" s="182" t="s">
        <v>9072</v>
      </c>
      <c r="BM483" s="200" t="s">
        <v>9073</v>
      </c>
      <c r="BN483" s="183" t="s">
        <v>1765</v>
      </c>
      <c r="BO483" s="195" t="s">
        <v>9074</v>
      </c>
      <c r="BP483" s="195" t="s">
        <v>737</v>
      </c>
      <c r="BQ483" s="196" t="s">
        <v>9061</v>
      </c>
      <c r="BR483" s="182" t="s">
        <v>153</v>
      </c>
      <c r="BS483" s="182" t="s">
        <v>582</v>
      </c>
      <c r="BT483" s="182"/>
      <c r="BU483" s="183"/>
      <c r="BV483" s="202"/>
      <c r="BW483" s="203"/>
      <c r="BX483" s="199" t="s">
        <v>9075</v>
      </c>
      <c r="BY483" s="199"/>
      <c r="BZ483" s="199"/>
      <c r="CA483" s="199"/>
      <c r="CB483" s="199"/>
      <c r="CC483" s="199"/>
      <c r="CD483" s="199"/>
      <c r="CE483" s="199"/>
      <c r="CF483" s="199"/>
      <c r="CG483" s="199"/>
      <c r="CH483" s="199"/>
      <c r="CI483" s="199"/>
      <c r="CJ483" s="199"/>
      <c r="CK483" s="199"/>
      <c r="CL483" s="199"/>
      <c r="CN483" s="25"/>
      <c r="CO483" s="25"/>
      <c r="CP483" s="25"/>
      <c r="CQ483" s="25"/>
      <c r="CR483" s="25"/>
      <c r="CS483" s="26"/>
    </row>
    <row r="484" spans="1:97" s="291" customFormat="1" ht="23.25" customHeight="1">
      <c r="H484" s="305">
        <v>46179</v>
      </c>
      <c r="I484" s="288" t="s">
        <v>4774</v>
      </c>
      <c r="J484" s="291" t="s">
        <v>13262</v>
      </c>
      <c r="K484" s="291" t="s">
        <v>13263</v>
      </c>
      <c r="M484" s="288">
        <v>2326</v>
      </c>
      <c r="N484" s="301" t="s">
        <v>13264</v>
      </c>
      <c r="O484" s="302" t="s">
        <v>13265</v>
      </c>
      <c r="P484" s="288" t="s">
        <v>13249</v>
      </c>
      <c r="Q484" s="291" t="s">
        <v>12135</v>
      </c>
      <c r="R484" s="48" t="s">
        <v>9928</v>
      </c>
      <c r="S484" s="505" t="s">
        <v>12151</v>
      </c>
      <c r="T484" s="288" t="s">
        <v>13250</v>
      </c>
      <c r="U484" s="291" t="s">
        <v>172</v>
      </c>
      <c r="V484" s="291" t="s">
        <v>395</v>
      </c>
      <c r="W484" s="294">
        <v>42402</v>
      </c>
      <c r="X484" s="303" t="str">
        <f ca="1">""&amp;DATEDIF(W484,TODAY(),"y")&amp;" Th, "&amp;DATEDIF(W484,TODAY(),"ym")&amp;" Bln"</f>
        <v>10 Th, 7 Bln</v>
      </c>
      <c r="AA484" s="291" t="s">
        <v>96</v>
      </c>
      <c r="AB484" s="5" t="s">
        <v>97</v>
      </c>
      <c r="AC484" s="291" t="s">
        <v>13251</v>
      </c>
      <c r="AD484" s="288"/>
      <c r="AE484" s="288"/>
      <c r="AF484" s="291" t="s">
        <v>13252</v>
      </c>
      <c r="AG484" s="291" t="s">
        <v>4057</v>
      </c>
      <c r="AH484" s="291" t="s">
        <v>141</v>
      </c>
      <c r="AJ484" s="291" t="s">
        <v>519</v>
      </c>
      <c r="AO484" s="288"/>
      <c r="AP484" s="288"/>
      <c r="AQ484" s="288"/>
      <c r="AR484" s="288"/>
      <c r="AS484" s="288"/>
      <c r="AT484" s="288"/>
      <c r="AU484" s="288"/>
      <c r="AW484" s="292"/>
      <c r="AX484" s="292" t="s">
        <v>114</v>
      </c>
      <c r="AY484" s="292" t="s">
        <v>13253</v>
      </c>
      <c r="AZ484" s="291" t="s">
        <v>13254</v>
      </c>
      <c r="BA484" s="294" t="s">
        <v>5903</v>
      </c>
      <c r="BB484" s="289">
        <v>29710</v>
      </c>
      <c r="BE484" s="291" t="s">
        <v>118</v>
      </c>
      <c r="BF484" s="291" t="s">
        <v>247</v>
      </c>
      <c r="BG484" s="291" t="s">
        <v>13255</v>
      </c>
      <c r="BH484" s="291" t="s">
        <v>13256</v>
      </c>
      <c r="BI484" s="296" t="s">
        <v>13257</v>
      </c>
      <c r="BJ484" s="291" t="s">
        <v>13258</v>
      </c>
      <c r="BK484" s="298" t="s">
        <v>13259</v>
      </c>
      <c r="BL484" s="293" t="s">
        <v>2277</v>
      </c>
      <c r="BM484" s="291" t="s">
        <v>13260</v>
      </c>
      <c r="BN484" s="288" t="s">
        <v>7217</v>
      </c>
      <c r="BO484" s="299">
        <v>46048</v>
      </c>
      <c r="BQ484" s="296" t="s">
        <v>13261</v>
      </c>
      <c r="BR484" s="291" t="s">
        <v>118</v>
      </c>
      <c r="BS484" s="291" t="s">
        <v>126</v>
      </c>
    </row>
    <row r="485" spans="1:97" s="27" customFormat="1" ht="23.25" customHeight="1">
      <c r="A485" s="4">
        <v>379</v>
      </c>
      <c r="B485" s="6"/>
      <c r="C485" s="6"/>
      <c r="D485" s="6"/>
      <c r="E485" s="6"/>
      <c r="F485" s="6"/>
      <c r="G485" s="6" t="s">
        <v>7842</v>
      </c>
      <c r="H485" s="5" t="s">
        <v>7843</v>
      </c>
      <c r="I485" s="6" t="s">
        <v>4774</v>
      </c>
      <c r="J485" s="7" t="s">
        <v>7844</v>
      </c>
      <c r="K485" s="7" t="s">
        <v>7845</v>
      </c>
      <c r="L485" s="8"/>
      <c r="M485" s="5">
        <v>1954</v>
      </c>
      <c r="N485" s="5" t="s">
        <v>7846</v>
      </c>
      <c r="O485" s="9" t="s">
        <v>7847</v>
      </c>
      <c r="P485" s="10" t="s">
        <v>7848</v>
      </c>
      <c r="Q485" s="389" t="s">
        <v>7849</v>
      </c>
      <c r="R485" s="8" t="s">
        <v>9928</v>
      </c>
      <c r="S485" s="212" t="s">
        <v>12151</v>
      </c>
      <c r="T485" s="8" t="s">
        <v>7850</v>
      </c>
      <c r="U485" s="11" t="s">
        <v>93</v>
      </c>
      <c r="V485" s="12" t="s">
        <v>94</v>
      </c>
      <c r="W485" s="13" t="s">
        <v>7443</v>
      </c>
      <c r="X485" s="5" t="str">
        <f ca="1">""&amp;DATEDIF(Z485,TODAY(),"y")&amp;" Th, "&amp;DATEDIF(Z485,TODAY(),"ym")&amp;" Bln"</f>
        <v>11 Th, 1 Bln</v>
      </c>
      <c r="Y485" s="5"/>
      <c r="Z485" s="14">
        <v>42221</v>
      </c>
      <c r="AA485" s="5" t="s">
        <v>96</v>
      </c>
      <c r="AB485" s="5" t="s">
        <v>7851</v>
      </c>
      <c r="AC485" s="7" t="s">
        <v>7852</v>
      </c>
      <c r="AD485" s="131">
        <v>1</v>
      </c>
      <c r="AE485" s="131">
        <v>16</v>
      </c>
      <c r="AF485" s="7" t="s">
        <v>891</v>
      </c>
      <c r="AG485" s="7" t="s">
        <v>178</v>
      </c>
      <c r="AH485" s="7" t="s">
        <v>178</v>
      </c>
      <c r="AI485" s="7">
        <v>65141</v>
      </c>
      <c r="AJ485" s="7" t="s">
        <v>103</v>
      </c>
      <c r="AK485" s="7" t="s">
        <v>104</v>
      </c>
      <c r="AL485" s="7" t="s">
        <v>1325</v>
      </c>
      <c r="AM485" s="15" t="s">
        <v>7853</v>
      </c>
      <c r="AN485" s="15" t="s">
        <v>7854</v>
      </c>
      <c r="AO485" s="8">
        <v>2</v>
      </c>
      <c r="AP485" s="8">
        <v>1</v>
      </c>
      <c r="AQ485" s="8"/>
      <c r="AR485" s="8"/>
      <c r="AS485" s="132">
        <v>26</v>
      </c>
      <c r="AT485" s="131"/>
      <c r="AU485" s="132"/>
      <c r="AV485" s="16"/>
      <c r="AW485" s="56"/>
      <c r="AX485" s="56"/>
      <c r="AY485" s="7" t="s">
        <v>7855</v>
      </c>
      <c r="AZ485" s="10" t="s">
        <v>127</v>
      </c>
      <c r="BA485" s="7" t="s">
        <v>7856</v>
      </c>
      <c r="BB485" s="17" t="s">
        <v>7857</v>
      </c>
      <c r="BC485" s="17" t="s">
        <v>96</v>
      </c>
      <c r="BD485" s="18" t="s">
        <v>7858</v>
      </c>
      <c r="BE485" s="7" t="s">
        <v>2193</v>
      </c>
      <c r="BF485" s="7" t="s">
        <v>7859</v>
      </c>
      <c r="BG485" s="7"/>
      <c r="BH485" s="7"/>
      <c r="BI485" s="19"/>
      <c r="BJ485" s="20">
        <v>25000000</v>
      </c>
      <c r="BK485" s="21"/>
      <c r="BL485" s="7" t="s">
        <v>7860</v>
      </c>
      <c r="BM485" s="22" t="s">
        <v>7861</v>
      </c>
      <c r="BN485" s="8" t="s">
        <v>94</v>
      </c>
      <c r="BO485" s="17" t="s">
        <v>7862</v>
      </c>
      <c r="BP485" s="17" t="s">
        <v>96</v>
      </c>
      <c r="BQ485" s="18" t="s">
        <v>7854</v>
      </c>
      <c r="BR485" s="7" t="s">
        <v>7863</v>
      </c>
      <c r="BS485" s="7" t="s">
        <v>247</v>
      </c>
      <c r="BT485" s="7"/>
      <c r="BU485" s="8" t="s">
        <v>7864</v>
      </c>
      <c r="BV485" s="23" t="s">
        <v>7865</v>
      </c>
      <c r="BW485" s="24">
        <v>10000000</v>
      </c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N485" s="25"/>
      <c r="CO485" s="25"/>
      <c r="CP485" s="25"/>
      <c r="CQ485" s="25"/>
      <c r="CR485" s="25"/>
      <c r="CS485" s="26"/>
    </row>
    <row r="486" spans="1:97" s="87" customFormat="1" ht="23.25" customHeight="1">
      <c r="A486" s="4">
        <v>356</v>
      </c>
      <c r="B486" s="6"/>
      <c r="C486" s="6"/>
      <c r="D486" s="6"/>
      <c r="E486" s="6"/>
      <c r="F486" s="6"/>
      <c r="G486" s="6"/>
      <c r="H486" s="5" t="s">
        <v>7095</v>
      </c>
      <c r="I486" s="6" t="s">
        <v>86</v>
      </c>
      <c r="J486" s="7" t="s">
        <v>1809</v>
      </c>
      <c r="K486" s="7" t="s">
        <v>7327</v>
      </c>
      <c r="L486" s="8"/>
      <c r="M486" s="5">
        <v>1758</v>
      </c>
      <c r="N486" s="5" t="s">
        <v>7328</v>
      </c>
      <c r="O486" s="9" t="s">
        <v>7329</v>
      </c>
      <c r="P486" s="10" t="s">
        <v>7330</v>
      </c>
      <c r="Q486" s="389" t="s">
        <v>7331</v>
      </c>
      <c r="R486" s="8" t="s">
        <v>9928</v>
      </c>
      <c r="S486" s="212" t="s">
        <v>12151</v>
      </c>
      <c r="T486" s="8" t="s">
        <v>7332</v>
      </c>
      <c r="U486" s="11" t="s">
        <v>172</v>
      </c>
      <c r="V486" s="12" t="s">
        <v>94</v>
      </c>
      <c r="W486" s="13">
        <v>42267</v>
      </c>
      <c r="X486" s="5" t="str">
        <f ca="1">""&amp;DATEDIF(W486,TODAY(),"y")&amp;" Th, "&amp;DATEDIF(W486,TODAY(),"ym")&amp;" Bln"</f>
        <v>10 Th, 11 Bln</v>
      </c>
      <c r="Y486" s="5"/>
      <c r="Z486" s="14"/>
      <c r="AA486" s="5" t="s">
        <v>96</v>
      </c>
      <c r="AB486" s="5" t="s">
        <v>97</v>
      </c>
      <c r="AC486" s="7" t="s">
        <v>7333</v>
      </c>
      <c r="AD486" s="131" t="s">
        <v>265</v>
      </c>
      <c r="AE486" s="131" t="s">
        <v>2589</v>
      </c>
      <c r="AF486" s="7" t="s">
        <v>7334</v>
      </c>
      <c r="AG486" s="7" t="s">
        <v>687</v>
      </c>
      <c r="AH486" s="7" t="s">
        <v>141</v>
      </c>
      <c r="AI486" s="7">
        <v>65151</v>
      </c>
      <c r="AJ486" s="7" t="s">
        <v>5047</v>
      </c>
      <c r="AK486" s="7" t="s">
        <v>104</v>
      </c>
      <c r="AL486" s="7" t="s">
        <v>7335</v>
      </c>
      <c r="AM486" s="15" t="s">
        <v>3546</v>
      </c>
      <c r="AN486" s="15" t="s">
        <v>3546</v>
      </c>
      <c r="AO486" s="8">
        <v>1</v>
      </c>
      <c r="AP486" s="8">
        <v>1</v>
      </c>
      <c r="AQ486" s="8">
        <v>0</v>
      </c>
      <c r="AR486" s="8">
        <v>0</v>
      </c>
      <c r="AS486" s="132" t="s">
        <v>391</v>
      </c>
      <c r="AT486" s="131" t="s">
        <v>7336</v>
      </c>
      <c r="AU486" s="132" t="s">
        <v>182</v>
      </c>
      <c r="AV486" s="16" t="s">
        <v>112</v>
      </c>
      <c r="AW486" s="56" t="s">
        <v>113</v>
      </c>
      <c r="AX486" s="56" t="s">
        <v>7136</v>
      </c>
      <c r="AY486" s="7" t="s">
        <v>7337</v>
      </c>
      <c r="AZ486" s="10" t="s">
        <v>3548</v>
      </c>
      <c r="BA486" s="7" t="s">
        <v>5047</v>
      </c>
      <c r="BB486" s="17">
        <v>30407</v>
      </c>
      <c r="BC486" s="17" t="s">
        <v>7112</v>
      </c>
      <c r="BD486" s="18" t="s">
        <v>3549</v>
      </c>
      <c r="BE486" s="7" t="s">
        <v>118</v>
      </c>
      <c r="BF486" s="7" t="s">
        <v>7338</v>
      </c>
      <c r="BG486" s="7" t="s">
        <v>7339</v>
      </c>
      <c r="BH486" s="7" t="s">
        <v>7340</v>
      </c>
      <c r="BI486" s="19" t="s">
        <v>3546</v>
      </c>
      <c r="BJ486" s="20" t="s">
        <v>7341</v>
      </c>
      <c r="BK486" s="21" t="s">
        <v>7342</v>
      </c>
      <c r="BL486" s="7" t="s">
        <v>7343</v>
      </c>
      <c r="BM486" s="22" t="s">
        <v>3554</v>
      </c>
      <c r="BN486" s="8" t="s">
        <v>5047</v>
      </c>
      <c r="BO486" s="17">
        <v>31234</v>
      </c>
      <c r="BP486" s="17" t="s">
        <v>96</v>
      </c>
      <c r="BQ486" s="18" t="s">
        <v>3546</v>
      </c>
      <c r="BR486" s="7" t="s">
        <v>118</v>
      </c>
      <c r="BS486" s="7" t="s">
        <v>7338</v>
      </c>
      <c r="BT486" s="7" t="s">
        <v>7344</v>
      </c>
      <c r="BU486" s="8" t="s">
        <v>7345</v>
      </c>
      <c r="BV486" s="23" t="s">
        <v>3546</v>
      </c>
      <c r="BW486" s="24" t="s">
        <v>7341</v>
      </c>
      <c r="BX486" s="21" t="s">
        <v>7346</v>
      </c>
      <c r="BY486" s="21" t="s">
        <v>7347</v>
      </c>
      <c r="BZ486" s="21" t="s">
        <v>5047</v>
      </c>
      <c r="CA486" s="21">
        <v>28477</v>
      </c>
      <c r="CB486" s="21"/>
      <c r="CC486" s="21"/>
      <c r="CD486" s="21" t="s">
        <v>153</v>
      </c>
      <c r="CE486" s="21" t="s">
        <v>7348</v>
      </c>
      <c r="CF486" s="21" t="s">
        <v>96</v>
      </c>
      <c r="CG486" s="21" t="s">
        <v>7349</v>
      </c>
      <c r="CH486" s="21" t="s">
        <v>265</v>
      </c>
      <c r="CI486" s="21" t="s">
        <v>2589</v>
      </c>
      <c r="CJ486" s="21" t="s">
        <v>7334</v>
      </c>
      <c r="CK486" s="21" t="s">
        <v>687</v>
      </c>
      <c r="CL486" s="21" t="s">
        <v>5047</v>
      </c>
      <c r="CN486" s="85"/>
      <c r="CO486" s="85"/>
      <c r="CP486" s="85"/>
      <c r="CQ486" s="85"/>
      <c r="CR486" s="85"/>
      <c r="CS486" s="86"/>
    </row>
    <row r="487" spans="1:97" s="27" customFormat="1" ht="23.25" customHeight="1">
      <c r="A487" s="4">
        <v>410</v>
      </c>
      <c r="B487" s="6"/>
      <c r="C487" s="6"/>
      <c r="D487" s="6"/>
      <c r="E487" s="6"/>
      <c r="F487" s="6"/>
      <c r="G487" s="6"/>
      <c r="H487" s="5" t="s">
        <v>7095</v>
      </c>
      <c r="I487" s="6" t="s">
        <v>86</v>
      </c>
      <c r="J487" s="7" t="s">
        <v>166</v>
      </c>
      <c r="K487" s="7" t="s">
        <v>8547</v>
      </c>
      <c r="L487" s="8"/>
      <c r="M487" s="5">
        <v>1759</v>
      </c>
      <c r="N487" s="5" t="s">
        <v>8548</v>
      </c>
      <c r="O487" s="9" t="s">
        <v>8549</v>
      </c>
      <c r="P487" s="10" t="s">
        <v>8550</v>
      </c>
      <c r="Q487" s="389" t="s">
        <v>8551</v>
      </c>
      <c r="R487" s="8" t="s">
        <v>9928</v>
      </c>
      <c r="S487" s="212" t="s">
        <v>12151</v>
      </c>
      <c r="T487" s="8" t="s">
        <v>8552</v>
      </c>
      <c r="U487" s="11" t="s">
        <v>172</v>
      </c>
      <c r="V487" s="12" t="s">
        <v>94</v>
      </c>
      <c r="W487" s="13">
        <v>42250</v>
      </c>
      <c r="X487" s="5" t="str">
        <f ca="1">""&amp;DATEDIF(W487,TODAY(),"y")&amp;" Th, "&amp;DATEDIF(W487,TODAY(),"ym")&amp;" Bln"</f>
        <v>11 Th, 0 Bln</v>
      </c>
      <c r="Y487" s="5"/>
      <c r="Z487" s="14"/>
      <c r="AA487" s="5" t="s">
        <v>96</v>
      </c>
      <c r="AB487" s="5" t="s">
        <v>97</v>
      </c>
      <c r="AC487" s="7" t="s">
        <v>8553</v>
      </c>
      <c r="AD487" s="131" t="s">
        <v>99</v>
      </c>
      <c r="AE487" s="131" t="s">
        <v>137</v>
      </c>
      <c r="AF487" s="7" t="s">
        <v>8515</v>
      </c>
      <c r="AG487" s="7" t="s">
        <v>5046</v>
      </c>
      <c r="AH487" s="7" t="s">
        <v>178</v>
      </c>
      <c r="AI487" s="7">
        <v>65143</v>
      </c>
      <c r="AJ487" s="7" t="s">
        <v>5047</v>
      </c>
      <c r="AK487" s="7" t="s">
        <v>104</v>
      </c>
      <c r="AL487" s="7">
        <v>1</v>
      </c>
      <c r="AM487" s="15" t="s">
        <v>127</v>
      </c>
      <c r="AN487" s="15" t="s">
        <v>8554</v>
      </c>
      <c r="AO487" s="8">
        <v>2</v>
      </c>
      <c r="AP487" s="8">
        <v>1</v>
      </c>
      <c r="AQ487" s="8"/>
      <c r="AR487" s="8"/>
      <c r="AS487" s="132">
        <v>117</v>
      </c>
      <c r="AT487" s="131">
        <v>26</v>
      </c>
      <c r="AU487" s="132" t="s">
        <v>149</v>
      </c>
      <c r="AV487" s="16" t="s">
        <v>112</v>
      </c>
      <c r="AW487" s="56" t="s">
        <v>113</v>
      </c>
      <c r="AX487" s="56" t="s">
        <v>7108</v>
      </c>
      <c r="AY487" s="7" t="s">
        <v>8555</v>
      </c>
      <c r="AZ487" s="10" t="s">
        <v>8556</v>
      </c>
      <c r="BA487" s="7" t="s">
        <v>5047</v>
      </c>
      <c r="BB487" s="17">
        <v>31881</v>
      </c>
      <c r="BC487" s="17" t="s">
        <v>7112</v>
      </c>
      <c r="BD487" s="18" t="s">
        <v>8557</v>
      </c>
      <c r="BE487" s="7" t="s">
        <v>216</v>
      </c>
      <c r="BF487" s="7" t="s">
        <v>1331</v>
      </c>
      <c r="BG487" s="7" t="s">
        <v>8558</v>
      </c>
      <c r="BH487" s="7" t="s">
        <v>8559</v>
      </c>
      <c r="BI487" s="19" t="s">
        <v>8560</v>
      </c>
      <c r="BJ487" s="20">
        <v>6000000</v>
      </c>
      <c r="BK487" s="21"/>
      <c r="BL487" s="7" t="s">
        <v>8561</v>
      </c>
      <c r="BM487" s="22" t="s">
        <v>8562</v>
      </c>
      <c r="BN487" s="8" t="s">
        <v>5047</v>
      </c>
      <c r="BO487" s="17">
        <v>32662</v>
      </c>
      <c r="BP487" s="17" t="s">
        <v>96</v>
      </c>
      <c r="BQ487" s="18" t="s">
        <v>8554</v>
      </c>
      <c r="BR487" s="7" t="s">
        <v>118</v>
      </c>
      <c r="BS487" s="7" t="s">
        <v>7599</v>
      </c>
      <c r="BT487" s="7" t="s">
        <v>8563</v>
      </c>
      <c r="BU487" s="8" t="s">
        <v>8564</v>
      </c>
      <c r="BV487" s="23"/>
      <c r="BW487" s="24">
        <v>1000000</v>
      </c>
      <c r="BX487" s="21" t="s">
        <v>8565</v>
      </c>
      <c r="BY487" s="21" t="s">
        <v>8566</v>
      </c>
      <c r="BZ487" s="21" t="s">
        <v>5047</v>
      </c>
      <c r="CA487" s="21">
        <v>21878</v>
      </c>
      <c r="CB487" s="21"/>
      <c r="CC487" s="21" t="s">
        <v>8567</v>
      </c>
      <c r="CD487" s="21" t="s">
        <v>216</v>
      </c>
      <c r="CE487" s="21"/>
      <c r="CF487" s="21" t="s">
        <v>96</v>
      </c>
      <c r="CG487" s="21" t="s">
        <v>8568</v>
      </c>
      <c r="CH487" s="21">
        <v>10</v>
      </c>
      <c r="CI487" s="21" t="s">
        <v>137</v>
      </c>
      <c r="CJ487" s="21" t="s">
        <v>8515</v>
      </c>
      <c r="CK487" s="21" t="s">
        <v>5046</v>
      </c>
      <c r="CL487" s="21" t="s">
        <v>7106</v>
      </c>
      <c r="CN487" s="25"/>
      <c r="CO487" s="25"/>
      <c r="CP487" s="25"/>
      <c r="CQ487" s="25"/>
      <c r="CR487" s="25"/>
      <c r="CS487" s="26"/>
    </row>
    <row r="488" spans="1:97" s="116" customFormat="1" ht="23.25" customHeight="1">
      <c r="A488" s="4">
        <v>411</v>
      </c>
      <c r="B488" s="6"/>
      <c r="C488" s="6"/>
      <c r="D488" s="6"/>
      <c r="E488" s="6"/>
      <c r="F488" s="6"/>
      <c r="G488" s="6"/>
      <c r="H488" s="5" t="s">
        <v>7095</v>
      </c>
      <c r="I488" s="6" t="s">
        <v>86</v>
      </c>
      <c r="J488" s="7" t="s">
        <v>8569</v>
      </c>
      <c r="K488" s="7" t="s">
        <v>8570</v>
      </c>
      <c r="L488" s="8"/>
      <c r="M488" s="5">
        <v>1762</v>
      </c>
      <c r="N488" s="5" t="s">
        <v>8571</v>
      </c>
      <c r="O488" s="9" t="s">
        <v>8572</v>
      </c>
      <c r="P488" s="10" t="s">
        <v>8573</v>
      </c>
      <c r="Q488" s="389" t="s">
        <v>8574</v>
      </c>
      <c r="R488" s="8" t="s">
        <v>9928</v>
      </c>
      <c r="S488" s="212" t="s">
        <v>12151</v>
      </c>
      <c r="T488" s="8" t="s">
        <v>2545</v>
      </c>
      <c r="U488" s="11" t="s">
        <v>172</v>
      </c>
      <c r="V488" s="12" t="s">
        <v>424</v>
      </c>
      <c r="W488" s="13">
        <v>42041</v>
      </c>
      <c r="X488" s="5" t="str">
        <f ca="1">""&amp;DATEDIF(W488,TODAY(),"y")&amp;" Th, "&amp;DATEDIF(W488,TODAY(),"ym")&amp;" Bln"</f>
        <v>11 Th, 7 Bln</v>
      </c>
      <c r="Y488" s="5"/>
      <c r="Z488" s="14"/>
      <c r="AA488" s="5" t="s">
        <v>96</v>
      </c>
      <c r="AB488" s="5" t="s">
        <v>97</v>
      </c>
      <c r="AC488" s="7" t="s">
        <v>8575</v>
      </c>
      <c r="AD488" s="131" t="s">
        <v>137</v>
      </c>
      <c r="AE488" s="131">
        <v>20</v>
      </c>
      <c r="AF488" s="7" t="s">
        <v>7977</v>
      </c>
      <c r="AG488" s="7" t="s">
        <v>5046</v>
      </c>
      <c r="AH488" s="7" t="s">
        <v>178</v>
      </c>
      <c r="AI488" s="7">
        <v>65142</v>
      </c>
      <c r="AJ488" s="7" t="s">
        <v>7106</v>
      </c>
      <c r="AK488" s="7" t="s">
        <v>104</v>
      </c>
      <c r="AL488" s="7" t="s">
        <v>8576</v>
      </c>
      <c r="AM488" s="15" t="s">
        <v>8577</v>
      </c>
      <c r="AN488" s="15" t="s">
        <v>8577</v>
      </c>
      <c r="AO488" s="8">
        <v>1</v>
      </c>
      <c r="AP488" s="8">
        <v>2</v>
      </c>
      <c r="AQ488" s="8">
        <v>2</v>
      </c>
      <c r="AR488" s="8"/>
      <c r="AS488" s="132">
        <v>122</v>
      </c>
      <c r="AT488" s="131">
        <v>22</v>
      </c>
      <c r="AU488" s="132" t="s">
        <v>111</v>
      </c>
      <c r="AV488" s="16" t="s">
        <v>112</v>
      </c>
      <c r="AW488" s="56" t="s">
        <v>113</v>
      </c>
      <c r="AX488" s="56" t="s">
        <v>7108</v>
      </c>
      <c r="AY488" s="7" t="s">
        <v>8578</v>
      </c>
      <c r="AZ488" s="10" t="s">
        <v>8579</v>
      </c>
      <c r="BA488" s="7" t="s">
        <v>8580</v>
      </c>
      <c r="BB488" s="17">
        <v>33729</v>
      </c>
      <c r="BC488" s="17" t="s">
        <v>7112</v>
      </c>
      <c r="BD488" s="18" t="s">
        <v>8581</v>
      </c>
      <c r="BE488" s="7" t="s">
        <v>118</v>
      </c>
      <c r="BF488" s="7" t="s">
        <v>8582</v>
      </c>
      <c r="BG488" s="7" t="s">
        <v>8583</v>
      </c>
      <c r="BH488" s="7" t="s">
        <v>8584</v>
      </c>
      <c r="BI488" s="19" t="s">
        <v>8585</v>
      </c>
      <c r="BJ488" s="20">
        <v>6000000</v>
      </c>
      <c r="BK488" s="21" t="s">
        <v>8586</v>
      </c>
      <c r="BL488" s="7" t="s">
        <v>8587</v>
      </c>
      <c r="BM488" s="22" t="s">
        <v>8588</v>
      </c>
      <c r="BN488" s="8" t="s">
        <v>8589</v>
      </c>
      <c r="BO488" s="17">
        <v>32828</v>
      </c>
      <c r="BP488" s="17" t="s">
        <v>96</v>
      </c>
      <c r="BQ488" s="18" t="s">
        <v>8577</v>
      </c>
      <c r="BR488" s="7" t="s">
        <v>118</v>
      </c>
      <c r="BS488" s="7" t="s">
        <v>7967</v>
      </c>
      <c r="BT488" s="7" t="s">
        <v>7983</v>
      </c>
      <c r="BU488" s="8" t="s">
        <v>8590</v>
      </c>
      <c r="BV488" s="23" t="s">
        <v>8577</v>
      </c>
      <c r="BW488" s="24">
        <v>1000000</v>
      </c>
      <c r="BX488" s="21" t="s">
        <v>8591</v>
      </c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N488" s="114"/>
      <c r="CO488" s="114"/>
      <c r="CP488" s="114"/>
      <c r="CQ488" s="114"/>
      <c r="CR488" s="114"/>
      <c r="CS488" s="115"/>
    </row>
    <row r="489" spans="1:97" s="87" customFormat="1" ht="23.25" customHeight="1">
      <c r="A489" s="4">
        <v>358</v>
      </c>
      <c r="B489" s="6"/>
      <c r="C489" s="6"/>
      <c r="D489" s="6"/>
      <c r="E489" s="6"/>
      <c r="F489" s="6"/>
      <c r="G489" s="6"/>
      <c r="H489" s="5" t="s">
        <v>7366</v>
      </c>
      <c r="I489" s="6" t="s">
        <v>4774</v>
      </c>
      <c r="J489" s="7" t="s">
        <v>7367</v>
      </c>
      <c r="K489" s="7" t="s">
        <v>7368</v>
      </c>
      <c r="L489" s="8"/>
      <c r="M489" s="5">
        <v>1953</v>
      </c>
      <c r="N489" s="5" t="s">
        <v>7369</v>
      </c>
      <c r="O489" s="9" t="s">
        <v>7370</v>
      </c>
      <c r="P489" s="10" t="s">
        <v>7371</v>
      </c>
      <c r="Q489" s="389" t="s">
        <v>7372</v>
      </c>
      <c r="R489" s="8" t="s">
        <v>9928</v>
      </c>
      <c r="S489" s="212" t="s">
        <v>12151</v>
      </c>
      <c r="T489" s="8" t="s">
        <v>7373</v>
      </c>
      <c r="U489" s="11" t="s">
        <v>172</v>
      </c>
      <c r="V489" s="12" t="s">
        <v>94</v>
      </c>
      <c r="W489" s="13">
        <v>42268</v>
      </c>
      <c r="X489" s="5" t="str">
        <f ca="1">""&amp;DATEDIF(W489,TODAY(),"y")&amp;" Th, "&amp;DATEDIF(W489,TODAY(),"ym")&amp;" Bln"</f>
        <v>10 Th, 11 Bln</v>
      </c>
      <c r="Y489" s="5"/>
      <c r="Z489" s="14"/>
      <c r="AA489" s="5" t="s">
        <v>96</v>
      </c>
      <c r="AB489" s="5" t="s">
        <v>97</v>
      </c>
      <c r="AC489" s="7" t="s">
        <v>7374</v>
      </c>
      <c r="AD489" s="131">
        <v>1</v>
      </c>
      <c r="AE489" s="131">
        <v>15</v>
      </c>
      <c r="AF489" s="7" t="s">
        <v>7375</v>
      </c>
      <c r="AG489" s="7" t="s">
        <v>4829</v>
      </c>
      <c r="AH489" s="7" t="s">
        <v>141</v>
      </c>
      <c r="AI489" s="7" t="s">
        <v>7376</v>
      </c>
      <c r="AJ489" s="7" t="s">
        <v>142</v>
      </c>
      <c r="AK489" s="7" t="s">
        <v>104</v>
      </c>
      <c r="AL489" s="7"/>
      <c r="AM489" s="15"/>
      <c r="AN489" s="15"/>
      <c r="AO489" s="8">
        <v>1</v>
      </c>
      <c r="AP489" s="8">
        <v>0</v>
      </c>
      <c r="AQ489" s="8">
        <v>0</v>
      </c>
      <c r="AR489" s="8">
        <v>0</v>
      </c>
      <c r="AS489" s="132"/>
      <c r="AT489" s="131"/>
      <c r="AU489" s="132"/>
      <c r="AV489" s="16"/>
      <c r="AW489" s="56"/>
      <c r="AX489" s="56"/>
      <c r="AY489" s="7" t="s">
        <v>7377</v>
      </c>
      <c r="AZ489" s="10" t="s">
        <v>7378</v>
      </c>
      <c r="BA489" s="7" t="s">
        <v>94</v>
      </c>
      <c r="BB489" s="17" t="s">
        <v>7379</v>
      </c>
      <c r="BC489" s="17" t="s">
        <v>96</v>
      </c>
      <c r="BD489" s="18"/>
      <c r="BE489" s="7" t="s">
        <v>118</v>
      </c>
      <c r="BF489" s="7" t="s">
        <v>276</v>
      </c>
      <c r="BG489" s="7" t="s">
        <v>7380</v>
      </c>
      <c r="BH489" s="7" t="s">
        <v>7381</v>
      </c>
      <c r="BI489" s="19"/>
      <c r="BJ489" s="20"/>
      <c r="BK489" s="21"/>
      <c r="BL489" s="7" t="s">
        <v>7382</v>
      </c>
      <c r="BM489" s="22" t="s">
        <v>7383</v>
      </c>
      <c r="BN489" s="8" t="s">
        <v>519</v>
      </c>
      <c r="BO489" s="17">
        <v>33121</v>
      </c>
      <c r="BP489" s="17" t="s">
        <v>96</v>
      </c>
      <c r="BQ489" s="18"/>
      <c r="BR489" s="7" t="s">
        <v>118</v>
      </c>
      <c r="BS489" s="7" t="s">
        <v>119</v>
      </c>
      <c r="BT489" s="7"/>
      <c r="BU489" s="8"/>
      <c r="BV489" s="23"/>
      <c r="BW489" s="24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N489" s="85"/>
      <c r="CO489" s="85"/>
      <c r="CP489" s="85"/>
      <c r="CQ489" s="85"/>
      <c r="CR489" s="85"/>
      <c r="CS489" s="86"/>
    </row>
    <row r="490" spans="1:97" s="27" customFormat="1" ht="23.25" customHeight="1">
      <c r="A490" s="4">
        <v>359</v>
      </c>
      <c r="B490" s="61"/>
      <c r="C490" s="61"/>
      <c r="D490" s="61"/>
      <c r="E490" s="61"/>
      <c r="F490" s="61"/>
      <c r="G490" s="61"/>
      <c r="H490" s="62" t="s">
        <v>7384</v>
      </c>
      <c r="I490" s="61" t="s">
        <v>4774</v>
      </c>
      <c r="J490" s="63" t="s">
        <v>7385</v>
      </c>
      <c r="K490" s="63" t="s">
        <v>7386</v>
      </c>
      <c r="L490" s="64"/>
      <c r="M490" s="62">
        <v>2068</v>
      </c>
      <c r="N490" s="62">
        <v>3160857296</v>
      </c>
      <c r="O490" s="65" t="s">
        <v>7387</v>
      </c>
      <c r="P490" s="66" t="s">
        <v>7388</v>
      </c>
      <c r="Q490" s="391" t="s">
        <v>7389</v>
      </c>
      <c r="R490" s="8" t="s">
        <v>9928</v>
      </c>
      <c r="S490" s="212" t="s">
        <v>12151</v>
      </c>
      <c r="T490" s="64" t="s">
        <v>7390</v>
      </c>
      <c r="U490" s="67" t="s">
        <v>93</v>
      </c>
      <c r="V490" s="68" t="s">
        <v>7391</v>
      </c>
      <c r="W490" s="69">
        <v>42635</v>
      </c>
      <c r="X490" s="62" t="str">
        <f ca="1">""&amp;DATEDIF(Z490,TODAY(),"y")&amp;" Th, "&amp;DATEDIF(Z490,TODAY(),"ym")&amp;" Bln"</f>
        <v>9 Th, 11 Bln</v>
      </c>
      <c r="Y490" s="62"/>
      <c r="Z490" s="14">
        <v>42635</v>
      </c>
      <c r="AA490" s="62" t="s">
        <v>737</v>
      </c>
      <c r="AB490" s="62"/>
      <c r="AC490" s="70" t="s">
        <v>7392</v>
      </c>
      <c r="AD490" s="133">
        <v>1</v>
      </c>
      <c r="AE490" s="64">
        <v>12</v>
      </c>
      <c r="AF490" s="63" t="s">
        <v>6170</v>
      </c>
      <c r="AG490" s="63" t="s">
        <v>1484</v>
      </c>
      <c r="AH490" s="63" t="s">
        <v>141</v>
      </c>
      <c r="AI490" s="63"/>
      <c r="AJ490" s="63" t="s">
        <v>4508</v>
      </c>
      <c r="AK490" s="63"/>
      <c r="AL490" s="71" t="s">
        <v>7393</v>
      </c>
      <c r="AM490" s="71"/>
      <c r="AN490" s="72"/>
      <c r="AO490" s="64">
        <v>1</v>
      </c>
      <c r="AP490" s="64">
        <v>2</v>
      </c>
      <c r="AQ490" s="64"/>
      <c r="AR490" s="134"/>
      <c r="AS490" s="133">
        <v>29</v>
      </c>
      <c r="AT490" s="134">
        <v>125</v>
      </c>
      <c r="AU490" s="134" t="s">
        <v>149</v>
      </c>
      <c r="AV490" s="73"/>
      <c r="AW490" s="135"/>
      <c r="AX490" s="63"/>
      <c r="AY490" s="74" t="s">
        <v>7394</v>
      </c>
      <c r="AZ490" s="63" t="s">
        <v>7395</v>
      </c>
      <c r="BA490" s="75" t="s">
        <v>7396</v>
      </c>
      <c r="BB490" s="75" t="s">
        <v>7189</v>
      </c>
      <c r="BC490" s="76" t="s">
        <v>737</v>
      </c>
      <c r="BD490" s="77" t="s">
        <v>7397</v>
      </c>
      <c r="BE490" s="63" t="s">
        <v>153</v>
      </c>
      <c r="BF490" s="63" t="s">
        <v>2122</v>
      </c>
      <c r="BG490" s="63" t="s">
        <v>7398</v>
      </c>
      <c r="BH490" s="78" t="s">
        <v>7399</v>
      </c>
      <c r="BI490" s="79" t="s">
        <v>7400</v>
      </c>
      <c r="BJ490" s="80" t="s">
        <v>7401</v>
      </c>
      <c r="BK490" s="81" t="s">
        <v>7402</v>
      </c>
      <c r="BL490" s="82" t="s">
        <v>7403</v>
      </c>
      <c r="BM490" s="77" t="s">
        <v>7404</v>
      </c>
      <c r="BN490" s="145" t="s">
        <v>1777</v>
      </c>
      <c r="BO490" s="75">
        <v>32240</v>
      </c>
      <c r="BP490" s="76" t="s">
        <v>737</v>
      </c>
      <c r="BQ490" s="77" t="s">
        <v>7405</v>
      </c>
      <c r="BR490" s="63" t="s">
        <v>153</v>
      </c>
      <c r="BS490" s="63" t="s">
        <v>6328</v>
      </c>
      <c r="BT490" s="64" t="s">
        <v>7406</v>
      </c>
      <c r="BU490" s="64" t="s">
        <v>7407</v>
      </c>
      <c r="BV490" s="79" t="s">
        <v>7408</v>
      </c>
      <c r="BW490" s="83" t="s">
        <v>7409</v>
      </c>
      <c r="BX490" s="83" t="s">
        <v>7410</v>
      </c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4"/>
      <c r="CN490" s="25"/>
      <c r="CO490" s="25"/>
      <c r="CP490" s="25"/>
      <c r="CQ490" s="25"/>
      <c r="CR490" s="25"/>
      <c r="CS490" s="26"/>
    </row>
    <row r="491" spans="1:97" s="27" customFormat="1" ht="23.25" customHeight="1">
      <c r="A491" s="4">
        <v>360</v>
      </c>
      <c r="B491" s="6"/>
      <c r="C491" s="6"/>
      <c r="D491" s="6"/>
      <c r="E491" s="6"/>
      <c r="F491" s="6"/>
      <c r="G491" s="6"/>
      <c r="H491" s="5" t="s">
        <v>7095</v>
      </c>
      <c r="I491" s="6" t="s">
        <v>86</v>
      </c>
      <c r="J491" s="7" t="s">
        <v>7411</v>
      </c>
      <c r="K491" s="7" t="s">
        <v>7412</v>
      </c>
      <c r="L491" s="8"/>
      <c r="M491" s="5">
        <v>1766</v>
      </c>
      <c r="N491" s="5" t="s">
        <v>7413</v>
      </c>
      <c r="O491" s="9" t="s">
        <v>7414</v>
      </c>
      <c r="P491" s="10" t="s">
        <v>7415</v>
      </c>
      <c r="Q491" s="389" t="s">
        <v>7416</v>
      </c>
      <c r="R491" s="8" t="s">
        <v>9928</v>
      </c>
      <c r="S491" s="212" t="s">
        <v>12151</v>
      </c>
      <c r="T491" s="8" t="s">
        <v>7417</v>
      </c>
      <c r="U491" s="11" t="s">
        <v>172</v>
      </c>
      <c r="V491" s="12" t="s">
        <v>94</v>
      </c>
      <c r="W491" s="13">
        <v>42137</v>
      </c>
      <c r="X491" s="5" t="str">
        <f t="shared" ref="X491:X497" ca="1" si="18">""&amp;DATEDIF(W491,TODAY(),"y")&amp;" Th, "&amp;DATEDIF(W491,TODAY(),"ym")&amp;" Bln"</f>
        <v>11 Th, 4 Bln</v>
      </c>
      <c r="Y491" s="5"/>
      <c r="Z491" s="14"/>
      <c r="AA491" s="5" t="s">
        <v>96</v>
      </c>
      <c r="AB491" s="5" t="s">
        <v>97</v>
      </c>
      <c r="AC491" s="7" t="s">
        <v>7418</v>
      </c>
      <c r="AD491" s="131" t="s">
        <v>384</v>
      </c>
      <c r="AE491" s="131">
        <v>12</v>
      </c>
      <c r="AF491" s="7" t="s">
        <v>139</v>
      </c>
      <c r="AG491" s="7" t="s">
        <v>140</v>
      </c>
      <c r="AH491" s="7" t="s">
        <v>141</v>
      </c>
      <c r="AI491" s="7">
        <v>65152</v>
      </c>
      <c r="AJ491" s="7" t="s">
        <v>1374</v>
      </c>
      <c r="AK491" s="7" t="s">
        <v>104</v>
      </c>
      <c r="AL491" s="7" t="s">
        <v>7419</v>
      </c>
      <c r="AM491" s="15" t="s">
        <v>127</v>
      </c>
      <c r="AN491" s="15" t="s">
        <v>7420</v>
      </c>
      <c r="AO491" s="8">
        <v>2</v>
      </c>
      <c r="AP491" s="8">
        <v>1</v>
      </c>
      <c r="AQ491" s="8" t="s">
        <v>127</v>
      </c>
      <c r="AR491" s="8" t="s">
        <v>127</v>
      </c>
      <c r="AS491" s="132" t="s">
        <v>7421</v>
      </c>
      <c r="AT491" s="131" t="s">
        <v>800</v>
      </c>
      <c r="AU491" s="132" t="s">
        <v>149</v>
      </c>
      <c r="AV491" s="16" t="s">
        <v>112</v>
      </c>
      <c r="AW491" s="56" t="s">
        <v>7422</v>
      </c>
      <c r="AX491" s="56" t="s">
        <v>183</v>
      </c>
      <c r="AY491" s="7" t="s">
        <v>7423</v>
      </c>
      <c r="AZ491" s="10" t="s">
        <v>7424</v>
      </c>
      <c r="BA491" s="7" t="s">
        <v>94</v>
      </c>
      <c r="BB491" s="17">
        <v>30104</v>
      </c>
      <c r="BC491" s="17" t="s">
        <v>96</v>
      </c>
      <c r="BD491" s="18" t="s">
        <v>7425</v>
      </c>
      <c r="BE491" s="7" t="s">
        <v>118</v>
      </c>
      <c r="BF491" s="7" t="s">
        <v>1571</v>
      </c>
      <c r="BG491" s="7" t="s">
        <v>7426</v>
      </c>
      <c r="BH491" s="7" t="s">
        <v>7427</v>
      </c>
      <c r="BI491" s="19" t="s">
        <v>7428</v>
      </c>
      <c r="BJ491" s="20">
        <v>6000000</v>
      </c>
      <c r="BK491" s="21" t="s">
        <v>7429</v>
      </c>
      <c r="BL491" s="7" t="s">
        <v>7430</v>
      </c>
      <c r="BM491" s="22" t="s">
        <v>7431</v>
      </c>
      <c r="BN491" s="8" t="s">
        <v>94</v>
      </c>
      <c r="BO491" s="17">
        <v>30184</v>
      </c>
      <c r="BP491" s="17" t="s">
        <v>96</v>
      </c>
      <c r="BQ491" s="18" t="s">
        <v>7432</v>
      </c>
      <c r="BR491" s="7" t="s">
        <v>118</v>
      </c>
      <c r="BS491" s="7" t="s">
        <v>127</v>
      </c>
      <c r="BT491" s="7" t="s">
        <v>127</v>
      </c>
      <c r="BU491" s="8" t="s">
        <v>127</v>
      </c>
      <c r="BV491" s="23" t="s">
        <v>127</v>
      </c>
      <c r="BW491" s="24" t="s">
        <v>127</v>
      </c>
      <c r="BX491" s="21" t="s">
        <v>7433</v>
      </c>
      <c r="BY491" s="21" t="s">
        <v>7434</v>
      </c>
      <c r="BZ491" s="21" t="s">
        <v>94</v>
      </c>
      <c r="CA491" s="21">
        <v>30104</v>
      </c>
      <c r="CB491" s="21"/>
      <c r="CC491" s="21" t="s">
        <v>7425</v>
      </c>
      <c r="CD491" s="21" t="s">
        <v>118</v>
      </c>
      <c r="CE491" s="21" t="s">
        <v>1571</v>
      </c>
      <c r="CF491" s="21" t="s">
        <v>96</v>
      </c>
      <c r="CG491" s="21" t="s">
        <v>7435</v>
      </c>
      <c r="CH491" s="21" t="s">
        <v>384</v>
      </c>
      <c r="CI491" s="21">
        <v>12</v>
      </c>
      <c r="CJ491" s="21" t="s">
        <v>139</v>
      </c>
      <c r="CK491" s="21" t="s">
        <v>140</v>
      </c>
      <c r="CL491" s="21" t="s">
        <v>1374</v>
      </c>
      <c r="CN491" s="25"/>
      <c r="CO491" s="25"/>
      <c r="CP491" s="25"/>
      <c r="CQ491" s="25"/>
      <c r="CR491" s="25"/>
      <c r="CS491" s="26"/>
    </row>
    <row r="492" spans="1:97" s="27" customFormat="1" ht="23.25" customHeight="1">
      <c r="A492" s="4">
        <v>387</v>
      </c>
      <c r="B492" s="6"/>
      <c r="C492" s="6"/>
      <c r="D492" s="6"/>
      <c r="E492" s="6"/>
      <c r="F492" s="6"/>
      <c r="G492" s="6"/>
      <c r="H492" s="5" t="s">
        <v>7095</v>
      </c>
      <c r="I492" s="6" t="s">
        <v>86</v>
      </c>
      <c r="J492" s="7" t="s">
        <v>257</v>
      </c>
      <c r="K492" s="7" t="s">
        <v>2567</v>
      </c>
      <c r="L492" s="8"/>
      <c r="M492" s="5">
        <v>1777</v>
      </c>
      <c r="N492" s="5" t="s">
        <v>8018</v>
      </c>
      <c r="O492" s="9" t="s">
        <v>8019</v>
      </c>
      <c r="P492" s="10" t="s">
        <v>8020</v>
      </c>
      <c r="Q492" s="389" t="s">
        <v>8021</v>
      </c>
      <c r="R492" s="8" t="s">
        <v>9928</v>
      </c>
      <c r="S492" s="212" t="s">
        <v>12151</v>
      </c>
      <c r="T492" s="8" t="s">
        <v>8022</v>
      </c>
      <c r="U492" s="11" t="s">
        <v>172</v>
      </c>
      <c r="V492" s="12" t="s">
        <v>94</v>
      </c>
      <c r="W492" s="13">
        <v>42533</v>
      </c>
      <c r="X492" s="5" t="str">
        <f t="shared" ca="1" si="18"/>
        <v>10 Th, 3 Bln</v>
      </c>
      <c r="Y492" s="5"/>
      <c r="Z492" s="14"/>
      <c r="AA492" s="5" t="s">
        <v>96</v>
      </c>
      <c r="AB492" s="5" t="s">
        <v>97</v>
      </c>
      <c r="AC492" s="7" t="s">
        <v>8023</v>
      </c>
      <c r="AD492" s="131">
        <v>8</v>
      </c>
      <c r="AE492" s="131">
        <v>11</v>
      </c>
      <c r="AF492" s="7" t="s">
        <v>7730</v>
      </c>
      <c r="AG492" s="7" t="s">
        <v>7258</v>
      </c>
      <c r="AH492" s="7" t="s">
        <v>241</v>
      </c>
      <c r="AI492" s="7">
        <v>65124</v>
      </c>
      <c r="AJ492" s="7" t="s">
        <v>7106</v>
      </c>
      <c r="AK492" s="7" t="s">
        <v>104</v>
      </c>
      <c r="AL492" s="7" t="s">
        <v>8024</v>
      </c>
      <c r="AM492" s="15" t="s">
        <v>127</v>
      </c>
      <c r="AN492" s="15" t="s">
        <v>8025</v>
      </c>
      <c r="AO492" s="8">
        <v>2</v>
      </c>
      <c r="AP492" s="8">
        <v>1</v>
      </c>
      <c r="AQ492" s="8" t="s">
        <v>127</v>
      </c>
      <c r="AR492" s="8" t="s">
        <v>127</v>
      </c>
      <c r="AS492" s="132" t="s">
        <v>8026</v>
      </c>
      <c r="AT492" s="131" t="s">
        <v>8027</v>
      </c>
      <c r="AU492" s="132" t="s">
        <v>182</v>
      </c>
      <c r="AV492" s="16" t="s">
        <v>112</v>
      </c>
      <c r="AW492" s="56" t="s">
        <v>8028</v>
      </c>
      <c r="AX492" s="56" t="s">
        <v>7108</v>
      </c>
      <c r="AY492" s="7" t="s">
        <v>8029</v>
      </c>
      <c r="AZ492" s="10" t="s">
        <v>8030</v>
      </c>
      <c r="BA492" s="7" t="s">
        <v>5047</v>
      </c>
      <c r="BB492" s="17">
        <v>31018</v>
      </c>
      <c r="BC492" s="17" t="s">
        <v>7112</v>
      </c>
      <c r="BD492" s="18" t="s">
        <v>8031</v>
      </c>
      <c r="BE492" s="7" t="s">
        <v>118</v>
      </c>
      <c r="BF492" s="7" t="s">
        <v>5043</v>
      </c>
      <c r="BG492" s="7" t="s">
        <v>8032</v>
      </c>
      <c r="BH492" s="7" t="s">
        <v>8033</v>
      </c>
      <c r="BI492" s="19" t="s">
        <v>127</v>
      </c>
      <c r="BJ492" s="20" t="s">
        <v>8034</v>
      </c>
      <c r="BK492" s="21" t="s">
        <v>8035</v>
      </c>
      <c r="BL492" s="7" t="s">
        <v>8036</v>
      </c>
      <c r="BM492" s="22" t="s">
        <v>8037</v>
      </c>
      <c r="BN492" s="8" t="s">
        <v>8038</v>
      </c>
      <c r="BO492" s="17">
        <v>33175</v>
      </c>
      <c r="BP492" s="17" t="s">
        <v>96</v>
      </c>
      <c r="BQ492" s="18" t="s">
        <v>8025</v>
      </c>
      <c r="BR492" s="7" t="s">
        <v>216</v>
      </c>
      <c r="BS492" s="7" t="s">
        <v>7967</v>
      </c>
      <c r="BT492" s="7" t="s">
        <v>127</v>
      </c>
      <c r="BU492" s="8" t="s">
        <v>127</v>
      </c>
      <c r="BV492" s="23" t="s">
        <v>127</v>
      </c>
      <c r="BW492" s="24" t="s">
        <v>127</v>
      </c>
      <c r="BX492" s="21" t="s">
        <v>8039</v>
      </c>
      <c r="BY492" s="21" t="s">
        <v>8040</v>
      </c>
      <c r="BZ492" s="21" t="s">
        <v>7550</v>
      </c>
      <c r="CA492" s="21">
        <v>22382</v>
      </c>
      <c r="CB492" s="21"/>
      <c r="CC492" s="21" t="s">
        <v>8041</v>
      </c>
      <c r="CD492" s="21" t="s">
        <v>118</v>
      </c>
      <c r="CE492" s="21" t="s">
        <v>7967</v>
      </c>
      <c r="CF492" s="21" t="s">
        <v>8042</v>
      </c>
      <c r="CG492" s="21" t="s">
        <v>8043</v>
      </c>
      <c r="CH492" s="21" t="s">
        <v>175</v>
      </c>
      <c r="CI492" s="21" t="s">
        <v>1281</v>
      </c>
      <c r="CJ492" s="21" t="s">
        <v>8044</v>
      </c>
      <c r="CK492" s="21" t="s">
        <v>6123</v>
      </c>
      <c r="CL492" s="21" t="s">
        <v>7106</v>
      </c>
      <c r="CN492" s="25"/>
      <c r="CO492" s="25"/>
      <c r="CP492" s="25"/>
      <c r="CQ492" s="25"/>
      <c r="CR492" s="25"/>
      <c r="CS492" s="26"/>
    </row>
    <row r="493" spans="1:97" s="27" customFormat="1" ht="23.25" customHeight="1">
      <c r="A493" s="4">
        <v>416</v>
      </c>
      <c r="B493" s="6"/>
      <c r="C493" s="6"/>
      <c r="D493" s="6"/>
      <c r="E493" s="6"/>
      <c r="F493" s="6"/>
      <c r="G493" s="6"/>
      <c r="H493" s="5" t="s">
        <v>7095</v>
      </c>
      <c r="I493" s="6" t="s">
        <v>86</v>
      </c>
      <c r="J493" s="7" t="s">
        <v>8685</v>
      </c>
      <c r="K493" s="7" t="s">
        <v>8686</v>
      </c>
      <c r="L493" s="8"/>
      <c r="M493" s="5">
        <v>1781</v>
      </c>
      <c r="N493" s="5" t="s">
        <v>8687</v>
      </c>
      <c r="O493" s="9" t="s">
        <v>8688</v>
      </c>
      <c r="P493" s="10" t="s">
        <v>8689</v>
      </c>
      <c r="Q493" s="389" t="s">
        <v>8690</v>
      </c>
      <c r="R493" s="8" t="s">
        <v>9928</v>
      </c>
      <c r="S493" s="212" t="s">
        <v>12151</v>
      </c>
      <c r="T493" s="8" t="s">
        <v>8691</v>
      </c>
      <c r="U493" s="11" t="s">
        <v>172</v>
      </c>
      <c r="V493" s="12" t="s">
        <v>8692</v>
      </c>
      <c r="W493" s="13">
        <v>42308</v>
      </c>
      <c r="X493" s="5" t="str">
        <f t="shared" ca="1" si="18"/>
        <v>10 Th, 10 Bln</v>
      </c>
      <c r="Y493" s="5"/>
      <c r="Z493" s="14"/>
      <c r="AA493" s="5" t="s">
        <v>96</v>
      </c>
      <c r="AB493" s="5" t="s">
        <v>97</v>
      </c>
      <c r="AC493" s="7" t="s">
        <v>8693</v>
      </c>
      <c r="AD493" s="131" t="s">
        <v>207</v>
      </c>
      <c r="AE493" s="131" t="s">
        <v>2459</v>
      </c>
      <c r="AF493" s="7" t="s">
        <v>8694</v>
      </c>
      <c r="AG493" s="7" t="s">
        <v>8695</v>
      </c>
      <c r="AH493" s="7" t="s">
        <v>141</v>
      </c>
      <c r="AI493" s="7">
        <v>76136</v>
      </c>
      <c r="AJ493" s="7" t="s">
        <v>8696</v>
      </c>
      <c r="AK493" s="7" t="s">
        <v>104</v>
      </c>
      <c r="AL493" s="7" t="s">
        <v>8697</v>
      </c>
      <c r="AM493" s="15" t="s">
        <v>8698</v>
      </c>
      <c r="AN493" s="15" t="s">
        <v>8699</v>
      </c>
      <c r="AO493" s="8">
        <v>1</v>
      </c>
      <c r="AP493" s="8">
        <v>0</v>
      </c>
      <c r="AQ493" s="8">
        <v>0</v>
      </c>
      <c r="AR493" s="8">
        <v>0</v>
      </c>
      <c r="AS493" s="132">
        <v>135</v>
      </c>
      <c r="AT493" s="131">
        <v>50</v>
      </c>
      <c r="AU493" s="132" t="s">
        <v>182</v>
      </c>
      <c r="AV493" s="16" t="s">
        <v>112</v>
      </c>
      <c r="AW493" s="56" t="s">
        <v>113</v>
      </c>
      <c r="AX493" s="56" t="s">
        <v>7108</v>
      </c>
      <c r="AY493" s="7" t="s">
        <v>8700</v>
      </c>
      <c r="AZ493" s="10" t="s">
        <v>8701</v>
      </c>
      <c r="BA493" s="7" t="s">
        <v>8702</v>
      </c>
      <c r="BB493" s="17">
        <v>32045</v>
      </c>
      <c r="BC493" s="17" t="s">
        <v>7112</v>
      </c>
      <c r="BD493" s="18" t="s">
        <v>8698</v>
      </c>
      <c r="BE493" s="7" t="s">
        <v>216</v>
      </c>
      <c r="BF493" s="7" t="s">
        <v>4901</v>
      </c>
      <c r="BG493" s="7" t="s">
        <v>8703</v>
      </c>
      <c r="BH493" s="7" t="s">
        <v>8704</v>
      </c>
      <c r="BI493" s="19" t="s">
        <v>2459</v>
      </c>
      <c r="BJ493" s="20" t="s">
        <v>8705</v>
      </c>
      <c r="BK493" s="21" t="s">
        <v>8706</v>
      </c>
      <c r="BL493" s="7" t="s">
        <v>8707</v>
      </c>
      <c r="BM493" s="22" t="s">
        <v>8708</v>
      </c>
      <c r="BN493" s="8" t="s">
        <v>5047</v>
      </c>
      <c r="BO493" s="17">
        <v>29774</v>
      </c>
      <c r="BP493" s="17" t="s">
        <v>96</v>
      </c>
      <c r="BQ493" s="18" t="s">
        <v>8699</v>
      </c>
      <c r="BR493" s="7" t="s">
        <v>118</v>
      </c>
      <c r="BS493" s="7" t="s">
        <v>5043</v>
      </c>
      <c r="BT493" s="7" t="s">
        <v>8709</v>
      </c>
      <c r="BU493" s="8" t="s">
        <v>8710</v>
      </c>
      <c r="BV493" s="23" t="s">
        <v>8711</v>
      </c>
      <c r="BW493" s="24" t="s">
        <v>8712</v>
      </c>
      <c r="BX493" s="21" t="s">
        <v>8713</v>
      </c>
      <c r="BY493" s="21" t="s">
        <v>8714</v>
      </c>
      <c r="BZ493" s="21" t="s">
        <v>5047</v>
      </c>
      <c r="CA493" s="21">
        <v>23674</v>
      </c>
      <c r="CB493" s="21"/>
      <c r="CC493" s="21" t="s">
        <v>8715</v>
      </c>
      <c r="CD493" s="21" t="s">
        <v>216</v>
      </c>
      <c r="CE493" s="21" t="s">
        <v>5653</v>
      </c>
      <c r="CF493" s="21" t="s">
        <v>96</v>
      </c>
      <c r="CG493" s="21" t="s">
        <v>8716</v>
      </c>
      <c r="CH493" s="21" t="s">
        <v>100</v>
      </c>
      <c r="CI493" s="21" t="s">
        <v>293</v>
      </c>
      <c r="CJ493" s="21" t="s">
        <v>8515</v>
      </c>
      <c r="CK493" s="21" t="s">
        <v>8717</v>
      </c>
      <c r="CL493" s="21" t="s">
        <v>5047</v>
      </c>
      <c r="CN493" s="25"/>
      <c r="CO493" s="25"/>
      <c r="CP493" s="25"/>
      <c r="CQ493" s="25"/>
      <c r="CR493" s="25"/>
      <c r="CS493" s="26"/>
    </row>
    <row r="494" spans="1:97" s="27" customFormat="1">
      <c r="A494" s="4">
        <v>368</v>
      </c>
      <c r="B494" s="6"/>
      <c r="C494" s="6"/>
      <c r="D494" s="6"/>
      <c r="E494" s="6"/>
      <c r="F494" s="6"/>
      <c r="G494" s="6"/>
      <c r="H494" s="5" t="s">
        <v>7095</v>
      </c>
      <c r="I494" s="6" t="s">
        <v>86</v>
      </c>
      <c r="J494" s="7" t="s">
        <v>7604</v>
      </c>
      <c r="K494" s="7" t="s">
        <v>7605</v>
      </c>
      <c r="L494" s="8"/>
      <c r="M494" s="5">
        <v>1793</v>
      </c>
      <c r="N494" s="5" t="s">
        <v>7606</v>
      </c>
      <c r="O494" s="9" t="s">
        <v>7607</v>
      </c>
      <c r="P494" s="10" t="s">
        <v>7608</v>
      </c>
      <c r="Q494" s="389" t="s">
        <v>7609</v>
      </c>
      <c r="R494" s="8" t="s">
        <v>9928</v>
      </c>
      <c r="S494" s="212" t="s">
        <v>12151</v>
      </c>
      <c r="T494" s="8" t="s">
        <v>7610</v>
      </c>
      <c r="U494" s="11" t="s">
        <v>93</v>
      </c>
      <c r="V494" s="12" t="s">
        <v>544</v>
      </c>
      <c r="W494" s="13">
        <v>42196</v>
      </c>
      <c r="X494" s="5" t="str">
        <f t="shared" ca="1" si="18"/>
        <v>11 Th, 2 Bln</v>
      </c>
      <c r="Y494" s="5"/>
      <c r="Z494" s="14"/>
      <c r="AA494" s="5" t="s">
        <v>96</v>
      </c>
      <c r="AB494" s="5" t="s">
        <v>97</v>
      </c>
      <c r="AC494" s="7" t="s">
        <v>7611</v>
      </c>
      <c r="AD494" s="131" t="s">
        <v>137</v>
      </c>
      <c r="AE494" s="131" t="s">
        <v>100</v>
      </c>
      <c r="AF494" s="7" t="s">
        <v>7612</v>
      </c>
      <c r="AG494" s="7" t="s">
        <v>6123</v>
      </c>
      <c r="AH494" s="7" t="s">
        <v>178</v>
      </c>
      <c r="AI494" s="7">
        <v>65143</v>
      </c>
      <c r="AJ494" s="7" t="s">
        <v>6343</v>
      </c>
      <c r="AK494" s="7" t="s">
        <v>104</v>
      </c>
      <c r="AL494" s="7" t="s">
        <v>7613</v>
      </c>
      <c r="AM494" s="15" t="s">
        <v>7614</v>
      </c>
      <c r="AN494" s="15" t="s">
        <v>7614</v>
      </c>
      <c r="AO494" s="8">
        <v>2</v>
      </c>
      <c r="AP494" s="8">
        <v>2</v>
      </c>
      <c r="AQ494" s="8">
        <v>1</v>
      </c>
      <c r="AR494" s="8"/>
      <c r="AS494" s="132" t="s">
        <v>7615</v>
      </c>
      <c r="AT494" s="131" t="s">
        <v>109</v>
      </c>
      <c r="AU494" s="132" t="s">
        <v>149</v>
      </c>
      <c r="AV494" s="16" t="s">
        <v>112</v>
      </c>
      <c r="AW494" s="56" t="s">
        <v>392</v>
      </c>
      <c r="AX494" s="56" t="s">
        <v>7616</v>
      </c>
      <c r="AY494" s="7" t="s">
        <v>7617</v>
      </c>
      <c r="AZ494" s="10" t="s">
        <v>7618</v>
      </c>
      <c r="BA494" s="7" t="s">
        <v>7619</v>
      </c>
      <c r="BB494" s="17">
        <v>26724</v>
      </c>
      <c r="BC494" s="17" t="s">
        <v>7620</v>
      </c>
      <c r="BD494" s="18" t="s">
        <v>7621</v>
      </c>
      <c r="BE494" s="7" t="s">
        <v>118</v>
      </c>
      <c r="BF494" s="7" t="s">
        <v>7622</v>
      </c>
      <c r="BG494" s="7" t="s">
        <v>7623</v>
      </c>
      <c r="BH494" s="7" t="s">
        <v>7624</v>
      </c>
      <c r="BI494" s="19" t="s">
        <v>7625</v>
      </c>
      <c r="BJ494" s="20" t="s">
        <v>7626</v>
      </c>
      <c r="BK494" s="21" t="s">
        <v>7627</v>
      </c>
      <c r="BL494" s="7" t="s">
        <v>7628</v>
      </c>
      <c r="BM494" s="22" t="s">
        <v>7629</v>
      </c>
      <c r="BN494" s="8" t="s">
        <v>7630</v>
      </c>
      <c r="BO494" s="17">
        <v>30232</v>
      </c>
      <c r="BP494" s="17" t="s">
        <v>96</v>
      </c>
      <c r="BQ494" s="18" t="s">
        <v>7614</v>
      </c>
      <c r="BR494" s="7" t="s">
        <v>118</v>
      </c>
      <c r="BS494" s="7" t="s">
        <v>254</v>
      </c>
      <c r="BT494" s="7" t="s">
        <v>7631</v>
      </c>
      <c r="BU494" s="8" t="s">
        <v>7632</v>
      </c>
      <c r="BV494" s="23" t="s">
        <v>7614</v>
      </c>
      <c r="BW494" s="24" t="s">
        <v>7633</v>
      </c>
      <c r="BX494" s="21" t="s">
        <v>7634</v>
      </c>
      <c r="BY494" s="21" t="s">
        <v>7635</v>
      </c>
      <c r="BZ494" s="21" t="s">
        <v>7619</v>
      </c>
      <c r="CA494" s="21">
        <v>17299</v>
      </c>
      <c r="CB494" s="21"/>
      <c r="CC494" s="21"/>
      <c r="CD494" s="21" t="s">
        <v>118</v>
      </c>
      <c r="CE494" s="21" t="s">
        <v>7622</v>
      </c>
      <c r="CF494" s="21" t="s">
        <v>96</v>
      </c>
      <c r="CG494" s="21" t="s">
        <v>7636</v>
      </c>
      <c r="CH494" s="21" t="s">
        <v>827</v>
      </c>
      <c r="CI494" s="21" t="s">
        <v>175</v>
      </c>
      <c r="CJ494" s="21" t="s">
        <v>7637</v>
      </c>
      <c r="CK494" s="21" t="s">
        <v>7638</v>
      </c>
      <c r="CL494" s="21" t="s">
        <v>7619</v>
      </c>
      <c r="CN494" s="25"/>
      <c r="CO494" s="25"/>
      <c r="CP494" s="25"/>
      <c r="CQ494" s="25"/>
      <c r="CR494" s="25"/>
      <c r="CS494" s="26"/>
    </row>
    <row r="495" spans="1:97" s="27" customFormat="1" ht="23.25" customHeight="1">
      <c r="A495" s="4">
        <v>444</v>
      </c>
      <c r="B495" s="6"/>
      <c r="C495" s="6"/>
      <c r="D495" s="6"/>
      <c r="E495" s="6"/>
      <c r="F495" s="6"/>
      <c r="G495" s="6"/>
      <c r="H495" s="5" t="s">
        <v>7095</v>
      </c>
      <c r="I495" s="6" t="s">
        <v>86</v>
      </c>
      <c r="J495" s="7" t="s">
        <v>9269</v>
      </c>
      <c r="K495" s="7" t="s">
        <v>9270</v>
      </c>
      <c r="L495" s="8"/>
      <c r="M495" s="5">
        <v>1796</v>
      </c>
      <c r="N495" s="5" t="s">
        <v>9271</v>
      </c>
      <c r="O495" s="9" t="s">
        <v>9272</v>
      </c>
      <c r="P495" s="10" t="s">
        <v>9273</v>
      </c>
      <c r="Q495" s="389" t="s">
        <v>9274</v>
      </c>
      <c r="R495" s="8" t="s">
        <v>9928</v>
      </c>
      <c r="S495" s="212" t="s">
        <v>12151</v>
      </c>
      <c r="T495" s="8" t="s">
        <v>2909</v>
      </c>
      <c r="U495" s="11" t="s">
        <v>93</v>
      </c>
      <c r="V495" s="12" t="s">
        <v>469</v>
      </c>
      <c r="W495" s="13">
        <v>42222</v>
      </c>
      <c r="X495" s="5" t="str">
        <f t="shared" ca="1" si="18"/>
        <v>11 Th, 1 Bln</v>
      </c>
      <c r="Y495" s="5"/>
      <c r="Z495" s="14"/>
      <c r="AA495" s="5" t="s">
        <v>96</v>
      </c>
      <c r="AB495" s="5" t="s">
        <v>97</v>
      </c>
      <c r="AC495" s="7" t="s">
        <v>9275</v>
      </c>
      <c r="AD495" s="131" t="s">
        <v>318</v>
      </c>
      <c r="AE495" s="131" t="s">
        <v>294</v>
      </c>
      <c r="AF495" s="7" t="s">
        <v>139</v>
      </c>
      <c r="AG495" s="7" t="s">
        <v>140</v>
      </c>
      <c r="AH495" s="7" t="s">
        <v>141</v>
      </c>
      <c r="AI495" s="7">
        <v>65152</v>
      </c>
      <c r="AJ495" s="7" t="s">
        <v>94</v>
      </c>
      <c r="AK495" s="7" t="s">
        <v>104</v>
      </c>
      <c r="AL495" s="7" t="s">
        <v>9276</v>
      </c>
      <c r="AM495" s="15" t="s">
        <v>9277</v>
      </c>
      <c r="AN495" s="15" t="s">
        <v>9277</v>
      </c>
      <c r="AO495" s="8">
        <v>3</v>
      </c>
      <c r="AP495" s="8">
        <v>2</v>
      </c>
      <c r="AQ495" s="8" t="s">
        <v>127</v>
      </c>
      <c r="AR495" s="8" t="s">
        <v>127</v>
      </c>
      <c r="AS495" s="132" t="s">
        <v>9278</v>
      </c>
      <c r="AT495" s="131">
        <v>18.5</v>
      </c>
      <c r="AU495" s="132" t="s">
        <v>182</v>
      </c>
      <c r="AV495" s="16" t="s">
        <v>112</v>
      </c>
      <c r="AW495" s="56" t="s">
        <v>150</v>
      </c>
      <c r="AX495" s="56" t="s">
        <v>183</v>
      </c>
      <c r="AY495" s="7" t="s">
        <v>9279</v>
      </c>
      <c r="AZ495" s="10" t="s">
        <v>9280</v>
      </c>
      <c r="BA495" s="7" t="s">
        <v>469</v>
      </c>
      <c r="BB495" s="17">
        <v>28905</v>
      </c>
      <c r="BC495" s="17" t="s">
        <v>96</v>
      </c>
      <c r="BD495" s="18" t="s">
        <v>9281</v>
      </c>
      <c r="BE495" s="7" t="s">
        <v>118</v>
      </c>
      <c r="BF495" s="7" t="s">
        <v>247</v>
      </c>
      <c r="BG495" s="7" t="s">
        <v>9282</v>
      </c>
      <c r="BH495" s="7" t="s">
        <v>9283</v>
      </c>
      <c r="BI495" s="19" t="s">
        <v>127</v>
      </c>
      <c r="BJ495" s="20">
        <v>15000000</v>
      </c>
      <c r="BK495" s="21" t="s">
        <v>9284</v>
      </c>
      <c r="BL495" s="7" t="s">
        <v>9285</v>
      </c>
      <c r="BM495" s="22" t="s">
        <v>9286</v>
      </c>
      <c r="BN495" s="8" t="s">
        <v>94</v>
      </c>
      <c r="BO495" s="17">
        <v>32064</v>
      </c>
      <c r="BP495" s="17" t="s">
        <v>96</v>
      </c>
      <c r="BQ495" s="18" t="s">
        <v>9277</v>
      </c>
      <c r="BR495" s="7" t="s">
        <v>118</v>
      </c>
      <c r="BS495" s="7" t="s">
        <v>126</v>
      </c>
      <c r="BT495" s="7" t="s">
        <v>127</v>
      </c>
      <c r="BU495" s="8" t="s">
        <v>127</v>
      </c>
      <c r="BV495" s="23" t="s">
        <v>127</v>
      </c>
      <c r="BW495" s="24" t="s">
        <v>127</v>
      </c>
      <c r="BX495" s="21" t="s">
        <v>9287</v>
      </c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N495" s="25"/>
      <c r="CO495" s="25"/>
      <c r="CP495" s="25"/>
      <c r="CQ495" s="25"/>
      <c r="CR495" s="25"/>
      <c r="CS495" s="26"/>
    </row>
    <row r="496" spans="1:97" s="27" customFormat="1" ht="23.25" customHeight="1">
      <c r="A496" s="180">
        <v>446</v>
      </c>
      <c r="B496" s="231"/>
      <c r="C496" s="231"/>
      <c r="D496" s="231"/>
      <c r="E496" s="231"/>
      <c r="F496" s="231"/>
      <c r="G496" s="231"/>
      <c r="H496" s="232" t="s">
        <v>7095</v>
      </c>
      <c r="I496" s="231" t="s">
        <v>86</v>
      </c>
      <c r="J496" s="233" t="s">
        <v>166</v>
      </c>
      <c r="K496" s="233" t="s">
        <v>9313</v>
      </c>
      <c r="L496" s="234"/>
      <c r="M496" s="232">
        <v>1801</v>
      </c>
      <c r="N496" s="232" t="s">
        <v>9314</v>
      </c>
      <c r="O496" s="235" t="s">
        <v>8180</v>
      </c>
      <c r="P496" s="236" t="s">
        <v>9315</v>
      </c>
      <c r="Q496" s="394" t="s">
        <v>9316</v>
      </c>
      <c r="R496" s="8" t="s">
        <v>9928</v>
      </c>
      <c r="S496" s="212" t="s">
        <v>12151</v>
      </c>
      <c r="T496" s="234" t="s">
        <v>9317</v>
      </c>
      <c r="U496" s="237" t="s">
        <v>172</v>
      </c>
      <c r="V496" s="238" t="s">
        <v>94</v>
      </c>
      <c r="W496" s="239">
        <v>42203</v>
      </c>
      <c r="X496" s="234" t="str">
        <f t="shared" ca="1" si="18"/>
        <v>11 Th, 1 Bln</v>
      </c>
      <c r="Y496" s="234"/>
      <c r="Z496" s="240"/>
      <c r="AA496" s="234" t="s">
        <v>96</v>
      </c>
      <c r="AB496" s="234" t="s">
        <v>97</v>
      </c>
      <c r="AC496" s="233" t="s">
        <v>8185</v>
      </c>
      <c r="AD496" s="241" t="s">
        <v>265</v>
      </c>
      <c r="AE496" s="241" t="s">
        <v>265</v>
      </c>
      <c r="AF496" s="233" t="s">
        <v>295</v>
      </c>
      <c r="AG496" s="233" t="s">
        <v>178</v>
      </c>
      <c r="AH496" s="233" t="s">
        <v>178</v>
      </c>
      <c r="AI496" s="233">
        <v>65144</v>
      </c>
      <c r="AJ496" s="233" t="s">
        <v>94</v>
      </c>
      <c r="AK496" s="233" t="s">
        <v>179</v>
      </c>
      <c r="AL496" s="233" t="s">
        <v>9318</v>
      </c>
      <c r="AM496" s="242" t="s">
        <v>9319</v>
      </c>
      <c r="AN496" s="242" t="s">
        <v>8191</v>
      </c>
      <c r="AO496" s="234">
        <v>1</v>
      </c>
      <c r="AP496" s="234">
        <v>2</v>
      </c>
      <c r="AQ496" s="234">
        <v>0</v>
      </c>
      <c r="AR496" s="234">
        <v>0</v>
      </c>
      <c r="AS496" s="243" t="s">
        <v>3608</v>
      </c>
      <c r="AT496" s="241" t="s">
        <v>8161</v>
      </c>
      <c r="AU496" s="243" t="s">
        <v>182</v>
      </c>
      <c r="AV496" s="244" t="s">
        <v>112</v>
      </c>
      <c r="AW496" s="245" t="s">
        <v>113</v>
      </c>
      <c r="AX496" s="245" t="s">
        <v>114</v>
      </c>
      <c r="AY496" s="233" t="s">
        <v>9320</v>
      </c>
      <c r="AZ496" s="236" t="s">
        <v>8196</v>
      </c>
      <c r="BA496" s="233" t="s">
        <v>511</v>
      </c>
      <c r="BB496" s="246">
        <v>27404</v>
      </c>
      <c r="BC496" s="246" t="s">
        <v>9321</v>
      </c>
      <c r="BD496" s="247">
        <v>81230825088</v>
      </c>
      <c r="BE496" s="233" t="s">
        <v>118</v>
      </c>
      <c r="BF496" s="233" t="s">
        <v>276</v>
      </c>
      <c r="BG496" s="233" t="s">
        <v>9322</v>
      </c>
      <c r="BH496" s="233" t="s">
        <v>9323</v>
      </c>
      <c r="BI496" s="248" t="s">
        <v>9324</v>
      </c>
      <c r="BJ496" s="249" t="s">
        <v>9325</v>
      </c>
      <c r="BK496" s="250" t="s">
        <v>9326</v>
      </c>
      <c r="BL496" s="233" t="s">
        <v>8205</v>
      </c>
      <c r="BM496" s="251" t="s">
        <v>8206</v>
      </c>
      <c r="BN496" s="252" t="s">
        <v>9327</v>
      </c>
      <c r="BO496" s="246">
        <v>29448</v>
      </c>
      <c r="BP496" s="246" t="s">
        <v>96</v>
      </c>
      <c r="BQ496" s="247">
        <v>81333040613</v>
      </c>
      <c r="BR496" s="233" t="s">
        <v>153</v>
      </c>
      <c r="BS496" s="233" t="s">
        <v>8904</v>
      </c>
      <c r="BT496" s="233" t="s">
        <v>9328</v>
      </c>
      <c r="BU496" s="233" t="s">
        <v>9329</v>
      </c>
      <c r="BV496" s="253" t="s">
        <v>9330</v>
      </c>
      <c r="BW496" s="254" t="s">
        <v>9331</v>
      </c>
      <c r="BX496" s="255" t="s">
        <v>9332</v>
      </c>
      <c r="BY496" s="255" t="s">
        <v>8213</v>
      </c>
      <c r="BZ496" s="255" t="s">
        <v>9333</v>
      </c>
      <c r="CA496" s="255">
        <v>20609</v>
      </c>
      <c r="CB496" s="255"/>
      <c r="CC496" s="255" t="s">
        <v>9334</v>
      </c>
      <c r="CD496" s="255" t="s">
        <v>224</v>
      </c>
      <c r="CE496" s="255" t="s">
        <v>9335</v>
      </c>
      <c r="CF496" s="255" t="s">
        <v>96</v>
      </c>
      <c r="CG496" s="255" t="s">
        <v>8185</v>
      </c>
      <c r="CH496" s="255" t="s">
        <v>265</v>
      </c>
      <c r="CI496" s="255" t="s">
        <v>265</v>
      </c>
      <c r="CJ496" s="255" t="s">
        <v>295</v>
      </c>
      <c r="CK496" s="255" t="s">
        <v>178</v>
      </c>
      <c r="CL496" s="255" t="s">
        <v>9336</v>
      </c>
      <c r="CN496" s="25"/>
      <c r="CO496" s="25"/>
      <c r="CP496" s="25"/>
      <c r="CQ496" s="25"/>
      <c r="CR496" s="25"/>
      <c r="CS496" s="26"/>
    </row>
    <row r="497" spans="1:97" s="291" customFormat="1" ht="21" customHeight="1">
      <c r="H497" s="305">
        <v>46209</v>
      </c>
      <c r="I497" s="291" t="s">
        <v>4774</v>
      </c>
      <c r="J497" s="291" t="s">
        <v>13312</v>
      </c>
      <c r="K497" s="292" t="s">
        <v>13313</v>
      </c>
      <c r="M497" s="288">
        <v>2328</v>
      </c>
      <c r="N497" s="301" t="s">
        <v>13314</v>
      </c>
      <c r="O497" s="301" t="s">
        <v>13315</v>
      </c>
      <c r="P497" s="301" t="s">
        <v>13316</v>
      </c>
      <c r="Q497" s="395" t="s">
        <v>12136</v>
      </c>
      <c r="R497" s="8" t="s">
        <v>9928</v>
      </c>
      <c r="S497" s="212" t="s">
        <v>12151</v>
      </c>
      <c r="T497" s="288" t="s">
        <v>7739</v>
      </c>
      <c r="U497" s="291" t="s">
        <v>172</v>
      </c>
      <c r="V497" s="291" t="s">
        <v>4601</v>
      </c>
      <c r="W497" s="305">
        <v>42258</v>
      </c>
      <c r="X497" s="291" t="str">
        <f t="shared" ca="1" si="18"/>
        <v>11 Th, 0 Bln</v>
      </c>
      <c r="AA497" s="257" t="s">
        <v>96</v>
      </c>
      <c r="AB497" s="257" t="s">
        <v>97</v>
      </c>
      <c r="AC497" s="291" t="s">
        <v>13317</v>
      </c>
      <c r="AD497" s="288">
        <v>5</v>
      </c>
      <c r="AE497" s="288">
        <v>14</v>
      </c>
      <c r="AF497" s="291" t="s">
        <v>240</v>
      </c>
      <c r="AG497" s="291" t="s">
        <v>241</v>
      </c>
      <c r="AH497" s="291" t="s">
        <v>241</v>
      </c>
      <c r="AJ497" s="291" t="s">
        <v>103</v>
      </c>
      <c r="AO497" s="288"/>
      <c r="AP497" s="288"/>
      <c r="AQ497" s="288"/>
      <c r="AR497" s="288"/>
      <c r="AS497" s="288"/>
      <c r="AT497" s="288"/>
      <c r="AU497" s="288"/>
      <c r="AW497" s="292"/>
      <c r="AX497" s="292"/>
      <c r="AY497" s="292" t="s">
        <v>13318</v>
      </c>
      <c r="AZ497" s="307" t="s">
        <v>13320</v>
      </c>
      <c r="BA497" s="291" t="s">
        <v>603</v>
      </c>
      <c r="BB497" s="289" t="s">
        <v>13319</v>
      </c>
      <c r="BD497" s="340" t="s">
        <v>13321</v>
      </c>
      <c r="BE497" s="291" t="s">
        <v>118</v>
      </c>
      <c r="BF497" s="291" t="s">
        <v>913</v>
      </c>
      <c r="BG497" s="291" t="s">
        <v>13322</v>
      </c>
      <c r="BH497" s="291" t="s">
        <v>13323</v>
      </c>
      <c r="BI497" s="307" t="s">
        <v>13324</v>
      </c>
      <c r="BL497" s="293" t="s">
        <v>13325</v>
      </c>
      <c r="BM497" s="308" t="s">
        <v>13326</v>
      </c>
      <c r="BN497" s="288" t="s">
        <v>94</v>
      </c>
      <c r="BO497" s="341">
        <v>33017</v>
      </c>
      <c r="BQ497" s="342" t="s">
        <v>13327</v>
      </c>
      <c r="BR497" s="291" t="s">
        <v>118</v>
      </c>
      <c r="BS497" s="291" t="s">
        <v>582</v>
      </c>
    </row>
    <row r="498" spans="1:97" s="27" customFormat="1" ht="23.25" customHeight="1">
      <c r="A498" s="256">
        <v>369</v>
      </c>
      <c r="B498" s="163"/>
      <c r="C498" s="163"/>
      <c r="D498" s="163"/>
      <c r="E498" s="163"/>
      <c r="F498" s="163"/>
      <c r="G498" s="163"/>
      <c r="H498" s="257" t="s">
        <v>7095</v>
      </c>
      <c r="I498" s="163" t="s">
        <v>86</v>
      </c>
      <c r="J498" s="258" t="s">
        <v>5418</v>
      </c>
      <c r="K498" s="258" t="s">
        <v>7639</v>
      </c>
      <c r="L498" s="259"/>
      <c r="M498" s="257">
        <v>1802</v>
      </c>
      <c r="N498" s="257" t="s">
        <v>7640</v>
      </c>
      <c r="O498" s="260" t="s">
        <v>7641</v>
      </c>
      <c r="P498" s="261" t="s">
        <v>7642</v>
      </c>
      <c r="Q498" s="396" t="s">
        <v>7643</v>
      </c>
      <c r="R498" s="8" t="s">
        <v>9928</v>
      </c>
      <c r="S498" s="212" t="s">
        <v>12151</v>
      </c>
      <c r="T498" s="259" t="s">
        <v>7644</v>
      </c>
      <c r="U498" s="262" t="s">
        <v>93</v>
      </c>
      <c r="V498" s="263" t="s">
        <v>94</v>
      </c>
      <c r="W498" s="264">
        <v>42374</v>
      </c>
      <c r="X498" s="257" t="str">
        <f ca="1">""&amp;DATEDIF(W498,TODAY(),"y")&amp;" Th, "&amp;DATEDIF(W498,TODAY(),"ym")&amp;" Bln"</f>
        <v>10 Th, 8 Bln</v>
      </c>
      <c r="Y498" s="257"/>
      <c r="Z498" s="265"/>
      <c r="AA498" s="257" t="s">
        <v>96</v>
      </c>
      <c r="AB498" s="257" t="s">
        <v>97</v>
      </c>
      <c r="AC498" s="258" t="s">
        <v>7645</v>
      </c>
      <c r="AD498" s="266" t="s">
        <v>100</v>
      </c>
      <c r="AE498" s="266" t="s">
        <v>207</v>
      </c>
      <c r="AF498" s="258" t="s">
        <v>7646</v>
      </c>
      <c r="AG498" s="258" t="s">
        <v>7133</v>
      </c>
      <c r="AH498" s="258" t="s">
        <v>102</v>
      </c>
      <c r="AI498" s="258">
        <v>65149</v>
      </c>
      <c r="AJ498" s="258" t="s">
        <v>7647</v>
      </c>
      <c r="AK498" s="258" t="s">
        <v>179</v>
      </c>
      <c r="AL498" s="258" t="s">
        <v>5386</v>
      </c>
      <c r="AM498" s="267" t="s">
        <v>163</v>
      </c>
      <c r="AN498" s="267" t="s">
        <v>7648</v>
      </c>
      <c r="AO498" s="259">
        <v>1</v>
      </c>
      <c r="AP498" s="259" t="s">
        <v>127</v>
      </c>
      <c r="AQ498" s="259" t="s">
        <v>127</v>
      </c>
      <c r="AR498" s="259" t="s">
        <v>127</v>
      </c>
      <c r="AS498" s="268" t="s">
        <v>1762</v>
      </c>
      <c r="AT498" s="266" t="s">
        <v>7649</v>
      </c>
      <c r="AU498" s="268" t="s">
        <v>182</v>
      </c>
      <c r="AV498" s="269" t="s">
        <v>112</v>
      </c>
      <c r="AW498" s="270" t="s">
        <v>392</v>
      </c>
      <c r="AX498" s="270" t="s">
        <v>7650</v>
      </c>
      <c r="AY498" s="258" t="s">
        <v>7651</v>
      </c>
      <c r="AZ498" s="261">
        <v>3573041806860010</v>
      </c>
      <c r="BA498" s="258" t="s">
        <v>5047</v>
      </c>
      <c r="BB498" s="271">
        <v>31580</v>
      </c>
      <c r="BC498" s="271" t="s">
        <v>7112</v>
      </c>
      <c r="BD498" s="272" t="s">
        <v>7648</v>
      </c>
      <c r="BE498" s="258" t="s">
        <v>216</v>
      </c>
      <c r="BF498" s="258" t="s">
        <v>5043</v>
      </c>
      <c r="BG498" s="258" t="s">
        <v>7652</v>
      </c>
      <c r="BH498" s="258" t="s">
        <v>7653</v>
      </c>
      <c r="BI498" s="273" t="s">
        <v>7648</v>
      </c>
      <c r="BJ498" s="274" t="s">
        <v>7654</v>
      </c>
      <c r="BK498" s="275" t="s">
        <v>7655</v>
      </c>
      <c r="BL498" s="258" t="s">
        <v>7656</v>
      </c>
      <c r="BM498" s="276" t="s">
        <v>7657</v>
      </c>
      <c r="BN498" s="259" t="s">
        <v>5047</v>
      </c>
      <c r="BO498" s="271">
        <v>31802</v>
      </c>
      <c r="BP498" s="271" t="s">
        <v>96</v>
      </c>
      <c r="BQ498" s="272" t="s">
        <v>7658</v>
      </c>
      <c r="BR498" s="258" t="s">
        <v>216</v>
      </c>
      <c r="BS498" s="258" t="s">
        <v>4901</v>
      </c>
      <c r="BT498" s="258" t="s">
        <v>7659</v>
      </c>
      <c r="BU498" s="259" t="s">
        <v>7660</v>
      </c>
      <c r="BV498" s="277" t="s">
        <v>7661</v>
      </c>
      <c r="BW498" s="278" t="s">
        <v>7662</v>
      </c>
      <c r="BX498" s="275"/>
      <c r="BY498" s="275" t="s">
        <v>7663</v>
      </c>
      <c r="BZ498" s="275" t="s">
        <v>5047</v>
      </c>
      <c r="CA498" s="275">
        <v>20029</v>
      </c>
      <c r="CB498" s="275"/>
      <c r="CC498" s="275"/>
      <c r="CD498" s="275" t="s">
        <v>2818</v>
      </c>
      <c r="CE498" s="275"/>
      <c r="CF498" s="275" t="s">
        <v>96</v>
      </c>
      <c r="CG498" s="275" t="s">
        <v>7664</v>
      </c>
      <c r="CH498" s="275" t="s">
        <v>384</v>
      </c>
      <c r="CI498" s="275" t="s">
        <v>293</v>
      </c>
      <c r="CJ498" s="275" t="s">
        <v>7665</v>
      </c>
      <c r="CK498" s="275" t="s">
        <v>7258</v>
      </c>
      <c r="CL498" s="275" t="s">
        <v>7647</v>
      </c>
      <c r="CN498" s="25"/>
      <c r="CO498" s="25"/>
      <c r="CP498" s="25"/>
      <c r="CQ498" s="25"/>
      <c r="CR498" s="25"/>
      <c r="CS498" s="26"/>
    </row>
    <row r="499" spans="1:97" s="27" customFormat="1">
      <c r="A499" s="4">
        <v>448</v>
      </c>
      <c r="B499" s="6"/>
      <c r="C499" s="6"/>
      <c r="D499" s="6"/>
      <c r="E499" s="6"/>
      <c r="F499" s="6"/>
      <c r="G499" s="6"/>
      <c r="H499" s="5" t="s">
        <v>9364</v>
      </c>
      <c r="I499" s="6" t="s">
        <v>4774</v>
      </c>
      <c r="J499" s="7" t="s">
        <v>9365</v>
      </c>
      <c r="K499" s="7" t="s">
        <v>9366</v>
      </c>
      <c r="L499" s="8"/>
      <c r="M499" s="5">
        <v>1958</v>
      </c>
      <c r="N499" s="5">
        <v>3153364275</v>
      </c>
      <c r="O499" s="9" t="s">
        <v>9367</v>
      </c>
      <c r="P499" s="10" t="s">
        <v>9368</v>
      </c>
      <c r="Q499" s="389" t="s">
        <v>9369</v>
      </c>
      <c r="R499" s="8" t="s">
        <v>9928</v>
      </c>
      <c r="S499" s="212" t="s">
        <v>12151</v>
      </c>
      <c r="T499" s="8" t="s">
        <v>2570</v>
      </c>
      <c r="U499" s="11" t="s">
        <v>172</v>
      </c>
      <c r="V499" s="12" t="s">
        <v>94</v>
      </c>
      <c r="W499" s="13">
        <v>42270</v>
      </c>
      <c r="X499" s="5" t="str">
        <f ca="1">""&amp;DATEDIF(Z499,TODAY(),"y")&amp;" Th, "&amp;DATEDIF(Z499,TODAY(),"ym")&amp;" Bln"</f>
        <v>10 Th, 11 Bln</v>
      </c>
      <c r="Y499" s="5"/>
      <c r="Z499" s="14">
        <v>42270</v>
      </c>
      <c r="AA499" s="5" t="s">
        <v>96</v>
      </c>
      <c r="AB499" s="5"/>
      <c r="AC499" s="7" t="s">
        <v>9370</v>
      </c>
      <c r="AD499" s="131">
        <v>7</v>
      </c>
      <c r="AE499" s="131">
        <v>4</v>
      </c>
      <c r="AF499" s="7" t="s">
        <v>521</v>
      </c>
      <c r="AG499" s="7" t="s">
        <v>178</v>
      </c>
      <c r="AH499" s="7" t="s">
        <v>178</v>
      </c>
      <c r="AI499" s="7"/>
      <c r="AJ499" s="7" t="s">
        <v>103</v>
      </c>
      <c r="AK499" s="7" t="s">
        <v>104</v>
      </c>
      <c r="AL499" s="7" t="s">
        <v>461</v>
      </c>
      <c r="AM499" s="15"/>
      <c r="AN499" s="15" t="s">
        <v>4459</v>
      </c>
      <c r="AO499" s="8">
        <v>1</v>
      </c>
      <c r="AP499" s="8">
        <v>2</v>
      </c>
      <c r="AQ499" s="8"/>
      <c r="AR499" s="8"/>
      <c r="AS499" s="132"/>
      <c r="AT499" s="131"/>
      <c r="AU499" s="132" t="s">
        <v>149</v>
      </c>
      <c r="AV499" s="16"/>
      <c r="AW499" s="56"/>
      <c r="AX499" s="56" t="s">
        <v>114</v>
      </c>
      <c r="AY499" s="7" t="s">
        <v>4460</v>
      </c>
      <c r="AZ499" s="10" t="s">
        <v>4461</v>
      </c>
      <c r="BA499" s="7" t="s">
        <v>435</v>
      </c>
      <c r="BB499" s="17" t="s">
        <v>9371</v>
      </c>
      <c r="BC499" s="17" t="s">
        <v>96</v>
      </c>
      <c r="BD499" s="18" t="s">
        <v>4462</v>
      </c>
      <c r="BE499" s="7" t="s">
        <v>118</v>
      </c>
      <c r="BF499" s="7" t="s">
        <v>188</v>
      </c>
      <c r="BG499" s="7" t="s">
        <v>4463</v>
      </c>
      <c r="BH499" s="7"/>
      <c r="BI499" s="19"/>
      <c r="BJ499" s="20">
        <v>17000000</v>
      </c>
      <c r="BK499" s="21" t="s">
        <v>4466</v>
      </c>
      <c r="BL499" s="7" t="s">
        <v>4467</v>
      </c>
      <c r="BM499" s="22" t="s">
        <v>4468</v>
      </c>
      <c r="BN499" s="8" t="s">
        <v>94</v>
      </c>
      <c r="BO499" s="17" t="s">
        <v>9372</v>
      </c>
      <c r="BP499" s="17" t="s">
        <v>96</v>
      </c>
      <c r="BQ499" s="18" t="s">
        <v>4459</v>
      </c>
      <c r="BR499" s="7" t="s">
        <v>118</v>
      </c>
      <c r="BS499" s="7" t="s">
        <v>126</v>
      </c>
      <c r="BT499" s="7"/>
      <c r="BU499" s="8"/>
      <c r="BV499" s="23"/>
      <c r="BW499" s="24"/>
      <c r="BX499" s="21" t="s">
        <v>4469</v>
      </c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N499" s="25"/>
      <c r="CO499" s="25"/>
      <c r="CP499" s="25"/>
      <c r="CQ499" s="25"/>
      <c r="CR499" s="25"/>
      <c r="CS499" s="26"/>
    </row>
    <row r="500" spans="1:97" s="27" customFormat="1" ht="23.25" customHeight="1">
      <c r="A500" s="4">
        <v>449</v>
      </c>
      <c r="B500" s="6"/>
      <c r="C500" s="6"/>
      <c r="D500" s="6"/>
      <c r="E500" s="6"/>
      <c r="F500" s="6"/>
      <c r="G500" s="6"/>
      <c r="H500" s="5" t="s">
        <v>7095</v>
      </c>
      <c r="I500" s="6" t="s">
        <v>86</v>
      </c>
      <c r="J500" s="7" t="s">
        <v>311</v>
      </c>
      <c r="K500" s="7" t="s">
        <v>585</v>
      </c>
      <c r="L500" s="8"/>
      <c r="M500" s="5">
        <v>1808</v>
      </c>
      <c r="N500" s="5" t="s">
        <v>9373</v>
      </c>
      <c r="O500" s="9" t="s">
        <v>9374</v>
      </c>
      <c r="P500" s="10" t="s">
        <v>9375</v>
      </c>
      <c r="Q500" s="389" t="s">
        <v>9376</v>
      </c>
      <c r="R500" s="8" t="s">
        <v>9928</v>
      </c>
      <c r="S500" s="212" t="s">
        <v>12151</v>
      </c>
      <c r="T500" s="8" t="s">
        <v>3054</v>
      </c>
      <c r="U500" s="11" t="s">
        <v>172</v>
      </c>
      <c r="V500" s="12" t="s">
        <v>435</v>
      </c>
      <c r="W500" s="13">
        <v>42322</v>
      </c>
      <c r="X500" s="5" t="str">
        <f ca="1">""&amp;DATEDIF(W500,TODAY(),"y")&amp;" Th, "&amp;DATEDIF(W500,TODAY(),"ym")&amp;" Bln"</f>
        <v>10 Th, 10 Bln</v>
      </c>
      <c r="Y500" s="5"/>
      <c r="Z500" s="14"/>
      <c r="AA500" s="5" t="s">
        <v>96</v>
      </c>
      <c r="AB500" s="5" t="s">
        <v>97</v>
      </c>
      <c r="AC500" s="7" t="s">
        <v>9377</v>
      </c>
      <c r="AD500" s="131" t="s">
        <v>293</v>
      </c>
      <c r="AE500" s="131" t="s">
        <v>293</v>
      </c>
      <c r="AF500" s="7" t="s">
        <v>7781</v>
      </c>
      <c r="AG500" s="7" t="s">
        <v>7496</v>
      </c>
      <c r="AH500" s="7" t="s">
        <v>141</v>
      </c>
      <c r="AI500" s="7">
        <v>65152</v>
      </c>
      <c r="AJ500" s="7" t="s">
        <v>5047</v>
      </c>
      <c r="AK500" s="7" t="s">
        <v>104</v>
      </c>
      <c r="AL500" s="7" t="s">
        <v>4986</v>
      </c>
      <c r="AM500" s="15" t="s">
        <v>9378</v>
      </c>
      <c r="AN500" s="15" t="s">
        <v>9378</v>
      </c>
      <c r="AO500" s="8">
        <v>1</v>
      </c>
      <c r="AP500" s="8">
        <v>0</v>
      </c>
      <c r="AQ500" s="8"/>
      <c r="AR500" s="8"/>
      <c r="AS500" s="132" t="s">
        <v>4938</v>
      </c>
      <c r="AT500" s="131" t="s">
        <v>5246</v>
      </c>
      <c r="AU500" s="132" t="s">
        <v>182</v>
      </c>
      <c r="AV500" s="16" t="s">
        <v>112</v>
      </c>
      <c r="AW500" s="56" t="s">
        <v>1130</v>
      </c>
      <c r="AX500" s="56" t="s">
        <v>7108</v>
      </c>
      <c r="AY500" s="7" t="s">
        <v>9379</v>
      </c>
      <c r="AZ500" s="10" t="s">
        <v>9380</v>
      </c>
      <c r="BA500" s="7" t="s">
        <v>5047</v>
      </c>
      <c r="BB500" s="17">
        <v>33799</v>
      </c>
      <c r="BC500" s="17" t="s">
        <v>7112</v>
      </c>
      <c r="BD500" s="18" t="s">
        <v>9381</v>
      </c>
      <c r="BE500" s="7" t="s">
        <v>216</v>
      </c>
      <c r="BF500" s="7" t="s">
        <v>5043</v>
      </c>
      <c r="BG500" s="7" t="s">
        <v>9382</v>
      </c>
      <c r="BH500" s="7" t="s">
        <v>9383</v>
      </c>
      <c r="BI500" s="19"/>
      <c r="BJ500" s="20">
        <v>3000000</v>
      </c>
      <c r="BK500" s="21"/>
      <c r="BL500" s="7" t="s">
        <v>9384</v>
      </c>
      <c r="BM500" s="22" t="s">
        <v>9385</v>
      </c>
      <c r="BN500" s="8" t="s">
        <v>6798</v>
      </c>
      <c r="BO500" s="17">
        <v>32906</v>
      </c>
      <c r="BP500" s="17" t="s">
        <v>96</v>
      </c>
      <c r="BQ500" s="18" t="s">
        <v>9378</v>
      </c>
      <c r="BR500" s="7" t="s">
        <v>118</v>
      </c>
      <c r="BS500" s="7" t="s">
        <v>7599</v>
      </c>
      <c r="BT500" s="7" t="s">
        <v>8864</v>
      </c>
      <c r="BU500" s="8" t="s">
        <v>9386</v>
      </c>
      <c r="BV500" s="23"/>
      <c r="BW500" s="24">
        <v>1500000</v>
      </c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N500" s="25"/>
      <c r="CO500" s="25"/>
      <c r="CP500" s="25"/>
      <c r="CQ500" s="25"/>
      <c r="CR500" s="25"/>
      <c r="CS500" s="26"/>
    </row>
    <row r="501" spans="1:97" s="27" customFormat="1" ht="23.25" customHeight="1">
      <c r="A501" s="4">
        <v>395</v>
      </c>
      <c r="B501" s="6"/>
      <c r="C501" s="6"/>
      <c r="D501" s="6"/>
      <c r="E501" s="6"/>
      <c r="F501" s="6"/>
      <c r="G501" s="6"/>
      <c r="H501" s="5" t="s">
        <v>7095</v>
      </c>
      <c r="I501" s="6" t="s">
        <v>86</v>
      </c>
      <c r="J501" s="7" t="s">
        <v>8218</v>
      </c>
      <c r="K501" s="7" t="s">
        <v>8219</v>
      </c>
      <c r="L501" s="8"/>
      <c r="M501" s="5">
        <v>1809</v>
      </c>
      <c r="N501" s="5" t="s">
        <v>8220</v>
      </c>
      <c r="O501" s="9" t="s">
        <v>8221</v>
      </c>
      <c r="P501" s="10" t="s">
        <v>8222</v>
      </c>
      <c r="Q501" s="389" t="s">
        <v>8223</v>
      </c>
      <c r="R501" s="8" t="s">
        <v>9928</v>
      </c>
      <c r="S501" s="212" t="s">
        <v>12151</v>
      </c>
      <c r="T501" s="8" t="s">
        <v>8224</v>
      </c>
      <c r="U501" s="11" t="s">
        <v>93</v>
      </c>
      <c r="V501" s="12" t="s">
        <v>94</v>
      </c>
      <c r="W501" s="13">
        <v>42243</v>
      </c>
      <c r="X501" s="5" t="str">
        <f ca="1">""&amp;DATEDIF(W501,TODAY(),"y")&amp;" Th, "&amp;DATEDIF(W501,TODAY(),"ym")&amp;" Bln"</f>
        <v>11 Th, 0 Bln</v>
      </c>
      <c r="Y501" s="5"/>
      <c r="Z501" s="14"/>
      <c r="AA501" s="5" t="s">
        <v>96</v>
      </c>
      <c r="AB501" s="5" t="s">
        <v>97</v>
      </c>
      <c r="AC501" s="7" t="s">
        <v>8225</v>
      </c>
      <c r="AD501" s="131">
        <v>29</v>
      </c>
      <c r="AE501" s="131">
        <v>11</v>
      </c>
      <c r="AF501" s="7" t="s">
        <v>319</v>
      </c>
      <c r="AG501" s="7" t="s">
        <v>140</v>
      </c>
      <c r="AH501" s="7" t="s">
        <v>141</v>
      </c>
      <c r="AI501" s="7">
        <v>65152</v>
      </c>
      <c r="AJ501" s="7" t="s">
        <v>94</v>
      </c>
      <c r="AK501" s="7" t="s">
        <v>104</v>
      </c>
      <c r="AL501" s="7">
        <v>1</v>
      </c>
      <c r="AM501" s="15" t="s">
        <v>127</v>
      </c>
      <c r="AN501" s="15" t="s">
        <v>8226</v>
      </c>
      <c r="AO501" s="8">
        <v>2</v>
      </c>
      <c r="AP501" s="8">
        <v>2</v>
      </c>
      <c r="AQ501" s="8" t="s">
        <v>127</v>
      </c>
      <c r="AR501" s="8" t="s">
        <v>127</v>
      </c>
      <c r="AS501" s="132">
        <v>106</v>
      </c>
      <c r="AT501" s="131">
        <v>16</v>
      </c>
      <c r="AU501" s="132" t="s">
        <v>149</v>
      </c>
      <c r="AV501" s="16" t="s">
        <v>112</v>
      </c>
      <c r="AW501" s="56" t="s">
        <v>150</v>
      </c>
      <c r="AX501" s="56" t="s">
        <v>2291</v>
      </c>
      <c r="AY501" s="7" t="s">
        <v>8227</v>
      </c>
      <c r="AZ501" s="10" t="s">
        <v>8228</v>
      </c>
      <c r="BA501" s="7" t="s">
        <v>94</v>
      </c>
      <c r="BB501" s="17">
        <v>26219</v>
      </c>
      <c r="BC501" s="17" t="s">
        <v>96</v>
      </c>
      <c r="BD501" s="18" t="s">
        <v>8226</v>
      </c>
      <c r="BE501" s="7" t="s">
        <v>216</v>
      </c>
      <c r="BF501" s="7" t="s">
        <v>247</v>
      </c>
      <c r="BG501" s="7" t="s">
        <v>127</v>
      </c>
      <c r="BH501" s="7" t="s">
        <v>127</v>
      </c>
      <c r="BI501" s="19" t="s">
        <v>127</v>
      </c>
      <c r="BJ501" s="20" t="s">
        <v>2659</v>
      </c>
      <c r="BK501" s="21" t="s">
        <v>8229</v>
      </c>
      <c r="BL501" s="7" t="s">
        <v>8230</v>
      </c>
      <c r="BM501" s="22" t="s">
        <v>8231</v>
      </c>
      <c r="BN501" s="8" t="s">
        <v>94</v>
      </c>
      <c r="BO501" s="17">
        <v>28137</v>
      </c>
      <c r="BP501" s="17" t="s">
        <v>96</v>
      </c>
      <c r="BQ501" s="18" t="s">
        <v>8232</v>
      </c>
      <c r="BR501" s="7" t="s">
        <v>216</v>
      </c>
      <c r="BS501" s="7" t="s">
        <v>127</v>
      </c>
      <c r="BT501" s="7" t="s">
        <v>127</v>
      </c>
      <c r="BU501" s="8" t="s">
        <v>127</v>
      </c>
      <c r="BV501" s="23" t="s">
        <v>127</v>
      </c>
      <c r="BW501" s="24" t="s">
        <v>127</v>
      </c>
      <c r="BX501" s="21" t="s">
        <v>8233</v>
      </c>
      <c r="BY501" s="21" t="s">
        <v>127</v>
      </c>
      <c r="BZ501" s="21" t="s">
        <v>127</v>
      </c>
      <c r="CA501" s="21">
        <v>44516</v>
      </c>
      <c r="CB501" s="21"/>
      <c r="CC501" s="21"/>
      <c r="CD501" s="21"/>
      <c r="CE501" s="21"/>
      <c r="CF501" s="21"/>
      <c r="CG501" s="21" t="s">
        <v>127</v>
      </c>
      <c r="CH501" s="21" t="s">
        <v>127</v>
      </c>
      <c r="CI501" s="21" t="s">
        <v>127</v>
      </c>
      <c r="CJ501" s="21" t="s">
        <v>127</v>
      </c>
      <c r="CK501" s="21" t="s">
        <v>127</v>
      </c>
      <c r="CL501" s="21" t="s">
        <v>127</v>
      </c>
      <c r="CN501" s="25"/>
      <c r="CO501" s="25"/>
      <c r="CP501" s="25"/>
      <c r="CQ501" s="25"/>
      <c r="CR501" s="25"/>
      <c r="CS501" s="26"/>
    </row>
    <row r="502" spans="1:97" s="27" customFormat="1" ht="23.25" customHeight="1">
      <c r="A502" s="4">
        <v>422</v>
      </c>
      <c r="B502" s="6"/>
      <c r="C502" s="6"/>
      <c r="D502" s="6"/>
      <c r="E502" s="6"/>
      <c r="F502" s="6"/>
      <c r="G502" s="6"/>
      <c r="H502" s="5" t="s">
        <v>7095</v>
      </c>
      <c r="I502" s="6" t="s">
        <v>86</v>
      </c>
      <c r="J502" s="7" t="s">
        <v>1809</v>
      </c>
      <c r="K502" s="7" t="s">
        <v>8825</v>
      </c>
      <c r="L502" s="8"/>
      <c r="M502" s="5">
        <v>1810</v>
      </c>
      <c r="N502" s="5" t="s">
        <v>8826</v>
      </c>
      <c r="O502" s="9" t="s">
        <v>8827</v>
      </c>
      <c r="P502" s="10" t="s">
        <v>8828</v>
      </c>
      <c r="Q502" s="389" t="s">
        <v>8829</v>
      </c>
      <c r="R502" s="8" t="s">
        <v>9928</v>
      </c>
      <c r="S502" s="212" t="s">
        <v>12151</v>
      </c>
      <c r="T502" s="8" t="s">
        <v>2425</v>
      </c>
      <c r="U502" s="11" t="s">
        <v>93</v>
      </c>
      <c r="V502" s="12" t="s">
        <v>94</v>
      </c>
      <c r="W502" s="13">
        <v>42215</v>
      </c>
      <c r="X502" s="5" t="str">
        <f ca="1">""&amp;DATEDIF(W502,TODAY(),"y")&amp;" Th, "&amp;DATEDIF(W502,TODAY(),"ym")&amp;" Bln"</f>
        <v>11 Th, 1 Bln</v>
      </c>
      <c r="Y502" s="5"/>
      <c r="Z502" s="14"/>
      <c r="AA502" s="5" t="s">
        <v>96</v>
      </c>
      <c r="AB502" s="5" t="s">
        <v>97</v>
      </c>
      <c r="AC502" s="7" t="s">
        <v>8830</v>
      </c>
      <c r="AD502" s="131" t="s">
        <v>176</v>
      </c>
      <c r="AE502" s="131" t="s">
        <v>967</v>
      </c>
      <c r="AF502" s="7" t="s">
        <v>7279</v>
      </c>
      <c r="AG502" s="7" t="s">
        <v>7280</v>
      </c>
      <c r="AH502" s="7" t="s">
        <v>141</v>
      </c>
      <c r="AI502" s="7">
        <v>64151</v>
      </c>
      <c r="AJ502" s="7" t="s">
        <v>7782</v>
      </c>
      <c r="AK502" s="7" t="s">
        <v>179</v>
      </c>
      <c r="AL502" s="7" t="s">
        <v>5208</v>
      </c>
      <c r="AM502" s="15" t="s">
        <v>127</v>
      </c>
      <c r="AN502" s="15" t="s">
        <v>8831</v>
      </c>
      <c r="AO502" s="8">
        <v>2</v>
      </c>
      <c r="AP502" s="8">
        <v>2</v>
      </c>
      <c r="AQ502" s="8" t="s">
        <v>127</v>
      </c>
      <c r="AR502" s="8" t="s">
        <v>127</v>
      </c>
      <c r="AS502" s="132">
        <v>110</v>
      </c>
      <c r="AT502" s="131">
        <v>29</v>
      </c>
      <c r="AU502" s="132" t="s">
        <v>182</v>
      </c>
      <c r="AV502" s="16" t="s">
        <v>112</v>
      </c>
      <c r="AW502" s="56" t="s">
        <v>3019</v>
      </c>
      <c r="AX502" s="56" t="s">
        <v>7108</v>
      </c>
      <c r="AY502" s="7" t="s">
        <v>8832</v>
      </c>
      <c r="AZ502" s="10" t="s">
        <v>8833</v>
      </c>
      <c r="BA502" s="7" t="s">
        <v>8834</v>
      </c>
      <c r="BB502" s="17">
        <v>30083</v>
      </c>
      <c r="BC502" s="17" t="s">
        <v>7112</v>
      </c>
      <c r="BD502" s="18" t="s">
        <v>8835</v>
      </c>
      <c r="BE502" s="7" t="s">
        <v>118</v>
      </c>
      <c r="BF502" s="7" t="s">
        <v>8836</v>
      </c>
      <c r="BG502" s="7" t="s">
        <v>8837</v>
      </c>
      <c r="BH502" s="7" t="s">
        <v>8838</v>
      </c>
      <c r="BI502" s="19" t="s">
        <v>127</v>
      </c>
      <c r="BJ502" s="20">
        <v>4700000</v>
      </c>
      <c r="BK502" s="21" t="s">
        <v>8839</v>
      </c>
      <c r="BL502" s="7" t="s">
        <v>8840</v>
      </c>
      <c r="BM502" s="22" t="s">
        <v>8841</v>
      </c>
      <c r="BN502" s="8" t="s">
        <v>6815</v>
      </c>
      <c r="BO502" s="17">
        <v>30718</v>
      </c>
      <c r="BP502" s="17" t="s">
        <v>96</v>
      </c>
      <c r="BQ502" s="18" t="s">
        <v>8831</v>
      </c>
      <c r="BR502" s="7" t="s">
        <v>118</v>
      </c>
      <c r="BS502" s="7" t="s">
        <v>7967</v>
      </c>
      <c r="BT502" s="7" t="s">
        <v>127</v>
      </c>
      <c r="BU502" s="8" t="s">
        <v>127</v>
      </c>
      <c r="BV502" s="23" t="s">
        <v>127</v>
      </c>
      <c r="BW502" s="24" t="s">
        <v>127</v>
      </c>
      <c r="BX502" s="21" t="s">
        <v>8842</v>
      </c>
      <c r="BY502" s="21" t="s">
        <v>8843</v>
      </c>
      <c r="BZ502" s="21" t="s">
        <v>8844</v>
      </c>
      <c r="CA502" s="21">
        <v>19594</v>
      </c>
      <c r="CB502" s="21"/>
      <c r="CC502" s="21" t="s">
        <v>8845</v>
      </c>
      <c r="CD502" s="21" t="s">
        <v>118</v>
      </c>
      <c r="CE502" s="21" t="s">
        <v>7967</v>
      </c>
      <c r="CF502" s="21" t="s">
        <v>96</v>
      </c>
      <c r="CG502" s="21" t="s">
        <v>8846</v>
      </c>
      <c r="CH502" s="21" t="s">
        <v>176</v>
      </c>
      <c r="CI502" s="21" t="s">
        <v>967</v>
      </c>
      <c r="CJ502" s="21" t="s">
        <v>7279</v>
      </c>
      <c r="CK502" s="21" t="s">
        <v>7280</v>
      </c>
      <c r="CL502" s="21" t="s">
        <v>7782</v>
      </c>
      <c r="CN502" s="25"/>
      <c r="CO502" s="25"/>
      <c r="CP502" s="25"/>
      <c r="CQ502" s="25"/>
      <c r="CR502" s="25"/>
      <c r="CS502" s="26"/>
    </row>
    <row r="503" spans="1:97" s="27" customFormat="1" ht="23.25" customHeight="1">
      <c r="A503" s="4">
        <v>452</v>
      </c>
      <c r="B503" s="6"/>
      <c r="C503" s="6"/>
      <c r="D503" s="6"/>
      <c r="E503" s="6"/>
      <c r="F503" s="6"/>
      <c r="G503" s="6"/>
      <c r="H503" s="5" t="s">
        <v>7095</v>
      </c>
      <c r="I503" s="6" t="s">
        <v>86</v>
      </c>
      <c r="J503" s="7" t="s">
        <v>5087</v>
      </c>
      <c r="K503" s="7" t="s">
        <v>9424</v>
      </c>
      <c r="L503" s="8"/>
      <c r="M503" s="5">
        <v>1813</v>
      </c>
      <c r="N503" s="5" t="s">
        <v>9425</v>
      </c>
      <c r="O503" s="9" t="s">
        <v>5089</v>
      </c>
      <c r="P503" s="10" t="s">
        <v>9426</v>
      </c>
      <c r="Q503" s="389" t="s">
        <v>9427</v>
      </c>
      <c r="R503" s="8" t="s">
        <v>9928</v>
      </c>
      <c r="S503" s="212" t="s">
        <v>12151</v>
      </c>
      <c r="T503" s="8" t="s">
        <v>9428</v>
      </c>
      <c r="U503" s="11" t="s">
        <v>93</v>
      </c>
      <c r="V503" s="12" t="s">
        <v>94</v>
      </c>
      <c r="W503" s="13">
        <v>42210</v>
      </c>
      <c r="X503" s="5" t="str">
        <f ca="1">""&amp;DATEDIF(W503,TODAY(),"y")&amp;" Th, "&amp;DATEDIF(W503,TODAY(),"ym")&amp;" Bln"</f>
        <v>11 Th, 1 Bln</v>
      </c>
      <c r="Y503" s="5"/>
      <c r="Z503" s="14"/>
      <c r="AA503" s="5" t="s">
        <v>96</v>
      </c>
      <c r="AB503" s="5" t="s">
        <v>97</v>
      </c>
      <c r="AC503" s="7" t="s">
        <v>9429</v>
      </c>
      <c r="AD503" s="131" t="s">
        <v>265</v>
      </c>
      <c r="AE503" s="131" t="s">
        <v>4392</v>
      </c>
      <c r="AF503" s="7" t="s">
        <v>8807</v>
      </c>
      <c r="AG503" s="7" t="s">
        <v>7258</v>
      </c>
      <c r="AH503" s="7" t="s">
        <v>241</v>
      </c>
      <c r="AI503" s="7">
        <v>65145</v>
      </c>
      <c r="AJ503" s="7" t="s">
        <v>7106</v>
      </c>
      <c r="AK503" s="7" t="s">
        <v>104</v>
      </c>
      <c r="AL503" s="7" t="s">
        <v>5030</v>
      </c>
      <c r="AM503" s="15" t="s">
        <v>9430</v>
      </c>
      <c r="AN503" s="15" t="s">
        <v>9430</v>
      </c>
      <c r="AO503" s="8">
        <v>1</v>
      </c>
      <c r="AP503" s="8">
        <v>1</v>
      </c>
      <c r="AQ503" s="8"/>
      <c r="AR503" s="8"/>
      <c r="AS503" s="132" t="s">
        <v>391</v>
      </c>
      <c r="AT503" s="131" t="s">
        <v>1657</v>
      </c>
      <c r="AU503" s="132" t="s">
        <v>149</v>
      </c>
      <c r="AV503" s="16" t="s">
        <v>112</v>
      </c>
      <c r="AW503" s="56" t="s">
        <v>163</v>
      </c>
      <c r="AX503" s="56" t="s">
        <v>7108</v>
      </c>
      <c r="AY503" s="7" t="s">
        <v>9431</v>
      </c>
      <c r="AZ503" s="10" t="s">
        <v>5097</v>
      </c>
      <c r="BA503" s="7" t="s">
        <v>9432</v>
      </c>
      <c r="BB503" s="17" t="s">
        <v>9433</v>
      </c>
      <c r="BC503" s="17" t="s">
        <v>7112</v>
      </c>
      <c r="BD503" s="18" t="s">
        <v>9430</v>
      </c>
      <c r="BE503" s="7" t="s">
        <v>118</v>
      </c>
      <c r="BF503" s="7" t="s">
        <v>5043</v>
      </c>
      <c r="BG503" s="7" t="s">
        <v>9434</v>
      </c>
      <c r="BH503" s="7" t="s">
        <v>9435</v>
      </c>
      <c r="BI503" s="19" t="s">
        <v>5101</v>
      </c>
      <c r="BJ503" s="20">
        <v>5000000</v>
      </c>
      <c r="BK503" s="21" t="s">
        <v>9436</v>
      </c>
      <c r="BL503" s="7" t="s">
        <v>9437</v>
      </c>
      <c r="BM503" s="22" t="s">
        <v>5104</v>
      </c>
      <c r="BN503" s="8" t="s">
        <v>6343</v>
      </c>
      <c r="BO503" s="17">
        <v>28307</v>
      </c>
      <c r="BP503" s="17" t="s">
        <v>96</v>
      </c>
      <c r="BQ503" s="18" t="s">
        <v>5093</v>
      </c>
      <c r="BR503" s="7" t="s">
        <v>118</v>
      </c>
      <c r="BS503" s="7" t="s">
        <v>9438</v>
      </c>
      <c r="BT503" s="7" t="s">
        <v>9439</v>
      </c>
      <c r="BU503" s="8" t="s">
        <v>9440</v>
      </c>
      <c r="BV503" s="23" t="s">
        <v>5093</v>
      </c>
      <c r="BW503" s="24">
        <v>50000000</v>
      </c>
      <c r="BX503" s="21" t="s">
        <v>9441</v>
      </c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N503" s="25"/>
      <c r="CO503" s="25"/>
      <c r="CP503" s="25"/>
      <c r="CQ503" s="25"/>
      <c r="CR503" s="25"/>
      <c r="CS503" s="26"/>
    </row>
    <row r="504" spans="1:97" s="27" customFormat="1" ht="23.25" customHeight="1">
      <c r="A504" s="4">
        <v>396</v>
      </c>
      <c r="B504" s="6"/>
      <c r="C504" s="6"/>
      <c r="D504" s="6"/>
      <c r="E504" s="6"/>
      <c r="F504" s="6"/>
      <c r="G504" s="6"/>
      <c r="H504" s="5" t="s">
        <v>7095</v>
      </c>
      <c r="I504" s="6" t="s">
        <v>86</v>
      </c>
      <c r="J504" s="7" t="s">
        <v>8234</v>
      </c>
      <c r="K504" s="7" t="s">
        <v>8235</v>
      </c>
      <c r="L504" s="8"/>
      <c r="M504" s="5">
        <v>1814</v>
      </c>
      <c r="N504" s="5" t="s">
        <v>8236</v>
      </c>
      <c r="O504" s="9" t="s">
        <v>8237</v>
      </c>
      <c r="P504" s="10" t="s">
        <v>8238</v>
      </c>
      <c r="Q504" s="389" t="s">
        <v>8239</v>
      </c>
      <c r="R504" s="8" t="s">
        <v>9928</v>
      </c>
      <c r="S504" s="212" t="s">
        <v>12151</v>
      </c>
      <c r="T504" s="8" t="s">
        <v>8240</v>
      </c>
      <c r="U504" s="11" t="s">
        <v>93</v>
      </c>
      <c r="V504" s="12" t="s">
        <v>395</v>
      </c>
      <c r="W504" s="13">
        <v>42247</v>
      </c>
      <c r="X504" s="5" t="str">
        <f ca="1">""&amp;DATEDIF(W504,TODAY(),"y")&amp;" Th, "&amp;DATEDIF(W504,TODAY(),"ym")&amp;" Bln"</f>
        <v>11 Th, 0 Bln</v>
      </c>
      <c r="Y504" s="5"/>
      <c r="Z504" s="14"/>
      <c r="AA504" s="5" t="s">
        <v>96</v>
      </c>
      <c r="AB504" s="5" t="s">
        <v>97</v>
      </c>
      <c r="AC504" s="7" t="s">
        <v>8241</v>
      </c>
      <c r="AD504" s="131" t="s">
        <v>293</v>
      </c>
      <c r="AE504" s="131" t="s">
        <v>137</v>
      </c>
      <c r="AF504" s="7" t="s">
        <v>1395</v>
      </c>
      <c r="AG504" s="7" t="s">
        <v>140</v>
      </c>
      <c r="AH504" s="7" t="s">
        <v>141</v>
      </c>
      <c r="AI504" s="7">
        <v>65152</v>
      </c>
      <c r="AJ504" s="7" t="s">
        <v>94</v>
      </c>
      <c r="AK504" s="7" t="s">
        <v>104</v>
      </c>
      <c r="AL504" s="7" t="s">
        <v>4915</v>
      </c>
      <c r="AM504" s="15" t="s">
        <v>8242</v>
      </c>
      <c r="AN504" s="15" t="s">
        <v>8243</v>
      </c>
      <c r="AO504" s="8">
        <v>2</v>
      </c>
      <c r="AP504" s="8">
        <v>3</v>
      </c>
      <c r="AQ504" s="8"/>
      <c r="AR504" s="8"/>
      <c r="AS504" s="132">
        <v>90</v>
      </c>
      <c r="AT504" s="131">
        <v>15</v>
      </c>
      <c r="AU504" s="132" t="s">
        <v>149</v>
      </c>
      <c r="AV504" s="16" t="s">
        <v>112</v>
      </c>
      <c r="AW504" s="56" t="s">
        <v>113</v>
      </c>
      <c r="AX504" s="56" t="s">
        <v>114</v>
      </c>
      <c r="AY504" s="7" t="s">
        <v>8244</v>
      </c>
      <c r="AZ504" s="10" t="s">
        <v>8245</v>
      </c>
      <c r="BA504" s="7" t="s">
        <v>94</v>
      </c>
      <c r="BB504" s="17">
        <v>29914</v>
      </c>
      <c r="BC504" s="17" t="s">
        <v>96</v>
      </c>
      <c r="BD504" s="18" t="s">
        <v>8242</v>
      </c>
      <c r="BE504" s="7" t="s">
        <v>118</v>
      </c>
      <c r="BF504" s="7" t="s">
        <v>247</v>
      </c>
      <c r="BG504" s="7" t="s">
        <v>8246</v>
      </c>
      <c r="BH504" s="7" t="s">
        <v>8247</v>
      </c>
      <c r="BI504" s="19" t="s">
        <v>8248</v>
      </c>
      <c r="BJ504" s="20" t="s">
        <v>8249</v>
      </c>
      <c r="BK504" s="21" t="s">
        <v>8250</v>
      </c>
      <c r="BL504" s="7" t="s">
        <v>8251</v>
      </c>
      <c r="BM504" s="22" t="s">
        <v>8252</v>
      </c>
      <c r="BN504" s="8" t="s">
        <v>653</v>
      </c>
      <c r="BO504" s="17">
        <v>29868</v>
      </c>
      <c r="BP504" s="17" t="s">
        <v>96</v>
      </c>
      <c r="BQ504" s="18" t="s">
        <v>8243</v>
      </c>
      <c r="BR504" s="7" t="s">
        <v>118</v>
      </c>
      <c r="BS504" s="7" t="s">
        <v>8253</v>
      </c>
      <c r="BT504" s="7" t="s">
        <v>127</v>
      </c>
      <c r="BU504" s="8" t="s">
        <v>127</v>
      </c>
      <c r="BV504" s="23" t="s">
        <v>127</v>
      </c>
      <c r="BW504" s="24" t="s">
        <v>127</v>
      </c>
      <c r="BX504" s="21" t="s">
        <v>8254</v>
      </c>
      <c r="BY504" s="21" t="s">
        <v>8255</v>
      </c>
      <c r="BZ504" s="21" t="s">
        <v>94</v>
      </c>
      <c r="CA504" s="21">
        <v>27854</v>
      </c>
      <c r="CB504" s="21"/>
      <c r="CC504" s="21" t="s">
        <v>8256</v>
      </c>
      <c r="CD504" s="21" t="s">
        <v>216</v>
      </c>
      <c r="CE504" s="21" t="s">
        <v>126</v>
      </c>
      <c r="CF504" s="21" t="s">
        <v>96</v>
      </c>
      <c r="CG504" s="21" t="s">
        <v>8257</v>
      </c>
      <c r="CH504" s="21" t="s">
        <v>384</v>
      </c>
      <c r="CI504" s="21" t="s">
        <v>318</v>
      </c>
      <c r="CJ504" s="21" t="s">
        <v>8258</v>
      </c>
      <c r="CK504" s="21" t="s">
        <v>102</v>
      </c>
      <c r="CL504" s="21" t="s">
        <v>94</v>
      </c>
      <c r="CN504" s="25"/>
      <c r="CO504" s="25"/>
      <c r="CP504" s="25"/>
      <c r="CQ504" s="25"/>
      <c r="CR504" s="25"/>
      <c r="CS504" s="26"/>
    </row>
    <row r="505" spans="1:97" s="27" customFormat="1" ht="23.25" customHeight="1">
      <c r="A505" s="4">
        <v>371</v>
      </c>
      <c r="B505" s="6"/>
      <c r="C505" s="6"/>
      <c r="D505" s="6"/>
      <c r="E505" s="6"/>
      <c r="F505" s="6"/>
      <c r="G505" s="6"/>
      <c r="H505" s="5" t="s">
        <v>7095</v>
      </c>
      <c r="I505" s="6" t="s">
        <v>86</v>
      </c>
      <c r="J505" s="7" t="s">
        <v>7690</v>
      </c>
      <c r="K505" s="7" t="s">
        <v>7691</v>
      </c>
      <c r="L505" s="8"/>
      <c r="M505" s="5">
        <v>1819</v>
      </c>
      <c r="N505" s="5" t="s">
        <v>7692</v>
      </c>
      <c r="O505" s="9" t="s">
        <v>7693</v>
      </c>
      <c r="P505" s="10" t="s">
        <v>7694</v>
      </c>
      <c r="Q505" s="389" t="s">
        <v>7695</v>
      </c>
      <c r="R505" s="8" t="s">
        <v>9928</v>
      </c>
      <c r="S505" s="212" t="s">
        <v>12151</v>
      </c>
      <c r="T505" s="8" t="s">
        <v>7696</v>
      </c>
      <c r="U505" s="11" t="s">
        <v>172</v>
      </c>
      <c r="V505" s="12" t="s">
        <v>511</v>
      </c>
      <c r="W505" s="13">
        <v>42080</v>
      </c>
      <c r="X505" s="5" t="str">
        <f t="shared" ref="X505:X523" ca="1" si="19">""&amp;DATEDIF(W505,TODAY(),"y")&amp;" Th, "&amp;DATEDIF(W505,TODAY(),"ym")&amp;" Bln"</f>
        <v>11 Th, 5 Bln</v>
      </c>
      <c r="Y505" s="5"/>
      <c r="Z505" s="14"/>
      <c r="AA505" s="5" t="s">
        <v>96</v>
      </c>
      <c r="AB505" s="5" t="s">
        <v>97</v>
      </c>
      <c r="AC505" s="7" t="s">
        <v>7697</v>
      </c>
      <c r="AD505" s="131">
        <v>6</v>
      </c>
      <c r="AE505" s="131">
        <v>4</v>
      </c>
      <c r="AF505" s="7" t="s">
        <v>7212</v>
      </c>
      <c r="AG505" s="7" t="s">
        <v>5046</v>
      </c>
      <c r="AH505" s="7" t="s">
        <v>178</v>
      </c>
      <c r="AI505" s="7">
        <v>65143</v>
      </c>
      <c r="AJ505" s="7" t="s">
        <v>5047</v>
      </c>
      <c r="AK505" s="7" t="s">
        <v>104</v>
      </c>
      <c r="AL505" s="7" t="s">
        <v>7698</v>
      </c>
      <c r="AM505" s="15" t="s">
        <v>3486</v>
      </c>
      <c r="AN505" s="15" t="s">
        <v>3486</v>
      </c>
      <c r="AO505" s="8">
        <v>2</v>
      </c>
      <c r="AP505" s="8">
        <v>3</v>
      </c>
      <c r="AQ505" s="8"/>
      <c r="AR505" s="8"/>
      <c r="AS505" s="132">
        <v>120</v>
      </c>
      <c r="AT505" s="131">
        <v>20</v>
      </c>
      <c r="AU505" s="132" t="s">
        <v>111</v>
      </c>
      <c r="AV505" s="16" t="s">
        <v>112</v>
      </c>
      <c r="AW505" s="56" t="s">
        <v>150</v>
      </c>
      <c r="AX505" s="56" t="s">
        <v>7699</v>
      </c>
      <c r="AY505" s="7" t="s">
        <v>3488</v>
      </c>
      <c r="AZ505" s="10" t="s">
        <v>3489</v>
      </c>
      <c r="BA505" s="7" t="s">
        <v>7700</v>
      </c>
      <c r="BB505" s="17">
        <v>27330</v>
      </c>
      <c r="BC505" s="17" t="s">
        <v>7112</v>
      </c>
      <c r="BD505" s="18" t="s">
        <v>3486</v>
      </c>
      <c r="BE505" s="7" t="s">
        <v>216</v>
      </c>
      <c r="BF505" s="7" t="s">
        <v>4901</v>
      </c>
      <c r="BG505" s="7" t="s">
        <v>7701</v>
      </c>
      <c r="BH505" s="7" t="s">
        <v>7702</v>
      </c>
      <c r="BI505" s="19"/>
      <c r="BJ505" s="20" t="s">
        <v>7703</v>
      </c>
      <c r="BK505" s="21" t="s">
        <v>3493</v>
      </c>
      <c r="BL505" s="7" t="s">
        <v>3494</v>
      </c>
      <c r="BM505" s="22" t="s">
        <v>3495</v>
      </c>
      <c r="BN505" s="8" t="s">
        <v>7321</v>
      </c>
      <c r="BO505" s="17">
        <v>28938</v>
      </c>
      <c r="BP505" s="17" t="s">
        <v>96</v>
      </c>
      <c r="BQ505" s="18" t="s">
        <v>3485</v>
      </c>
      <c r="BR505" s="7" t="s">
        <v>118</v>
      </c>
      <c r="BS505" s="7" t="s">
        <v>7704</v>
      </c>
      <c r="BT505" s="7" t="s">
        <v>127</v>
      </c>
      <c r="BU505" s="8" t="s">
        <v>127</v>
      </c>
      <c r="BV505" s="23" t="s">
        <v>127</v>
      </c>
      <c r="BW505" s="24" t="s">
        <v>127</v>
      </c>
      <c r="BX505" s="21" t="s">
        <v>127</v>
      </c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N505" s="25"/>
      <c r="CO505" s="25"/>
      <c r="CP505" s="25"/>
      <c r="CQ505" s="25"/>
      <c r="CR505" s="25"/>
      <c r="CS505" s="26"/>
    </row>
    <row r="506" spans="1:97" s="27" customFormat="1" ht="23.25" customHeight="1">
      <c r="A506" s="4">
        <v>397</v>
      </c>
      <c r="B506" s="6"/>
      <c r="C506" s="6"/>
      <c r="D506" s="6"/>
      <c r="E506" s="6"/>
      <c r="F506" s="6"/>
      <c r="G506" s="6"/>
      <c r="H506" s="5" t="s">
        <v>7095</v>
      </c>
      <c r="I506" s="6" t="s">
        <v>86</v>
      </c>
      <c r="J506" s="7" t="s">
        <v>8259</v>
      </c>
      <c r="K506" s="7" t="s">
        <v>455</v>
      </c>
      <c r="L506" s="8"/>
      <c r="M506" s="5">
        <v>1821</v>
      </c>
      <c r="N506" s="5" t="s">
        <v>8260</v>
      </c>
      <c r="O506" s="9" t="s">
        <v>8261</v>
      </c>
      <c r="P506" s="10" t="s">
        <v>8262</v>
      </c>
      <c r="Q506" s="389" t="s">
        <v>8263</v>
      </c>
      <c r="R506" s="8" t="s">
        <v>9928</v>
      </c>
      <c r="S506" s="212" t="s">
        <v>12151</v>
      </c>
      <c r="T506" s="8" t="s">
        <v>8264</v>
      </c>
      <c r="U506" s="11" t="s">
        <v>172</v>
      </c>
      <c r="V506" s="12" t="s">
        <v>94</v>
      </c>
      <c r="W506" s="13">
        <v>42417</v>
      </c>
      <c r="X506" s="5" t="str">
        <f t="shared" ca="1" si="19"/>
        <v>10 Th, 6 Bln</v>
      </c>
      <c r="Y506" s="5"/>
      <c r="Z506" s="14"/>
      <c r="AA506" s="5" t="s">
        <v>96</v>
      </c>
      <c r="AB506" s="5" t="s">
        <v>97</v>
      </c>
      <c r="AC506" s="7" t="s">
        <v>8265</v>
      </c>
      <c r="AD506" s="131" t="s">
        <v>293</v>
      </c>
      <c r="AE506" s="131" t="s">
        <v>100</v>
      </c>
      <c r="AF506" s="7" t="s">
        <v>7279</v>
      </c>
      <c r="AG506" s="7" t="s">
        <v>7280</v>
      </c>
      <c r="AH506" s="7" t="s">
        <v>141</v>
      </c>
      <c r="AI506" s="7">
        <v>65151</v>
      </c>
      <c r="AJ506" s="7" t="s">
        <v>7782</v>
      </c>
      <c r="AK506" s="7" t="s">
        <v>104</v>
      </c>
      <c r="AL506" s="7" t="s">
        <v>4861</v>
      </c>
      <c r="AM506" s="15" t="s">
        <v>127</v>
      </c>
      <c r="AN506" s="15" t="s">
        <v>8266</v>
      </c>
      <c r="AO506" s="8">
        <v>2</v>
      </c>
      <c r="AP506" s="8">
        <v>1</v>
      </c>
      <c r="AQ506" s="8" t="s">
        <v>127</v>
      </c>
      <c r="AR506" s="8" t="s">
        <v>127</v>
      </c>
      <c r="AS506" s="132" t="s">
        <v>1945</v>
      </c>
      <c r="AT506" s="131" t="s">
        <v>8267</v>
      </c>
      <c r="AU506" s="132" t="s">
        <v>182</v>
      </c>
      <c r="AV506" s="16" t="s">
        <v>112</v>
      </c>
      <c r="AW506" s="56" t="s">
        <v>127</v>
      </c>
      <c r="AX506" s="56" t="s">
        <v>8268</v>
      </c>
      <c r="AY506" s="7" t="s">
        <v>8269</v>
      </c>
      <c r="AZ506" s="10" t="s">
        <v>8270</v>
      </c>
      <c r="BA506" s="7" t="s">
        <v>5047</v>
      </c>
      <c r="BB506" s="17">
        <v>30247</v>
      </c>
      <c r="BC506" s="17" t="s">
        <v>7112</v>
      </c>
      <c r="BD506" s="18" t="s">
        <v>8271</v>
      </c>
      <c r="BE506" s="7" t="s">
        <v>118</v>
      </c>
      <c r="BF506" s="7" t="s">
        <v>8272</v>
      </c>
      <c r="BG506" s="7" t="s">
        <v>8273</v>
      </c>
      <c r="BH506" s="7" t="s">
        <v>8274</v>
      </c>
      <c r="BI506" s="19" t="s">
        <v>127</v>
      </c>
      <c r="BJ506" s="20" t="s">
        <v>8275</v>
      </c>
      <c r="BK506" s="21" t="s">
        <v>8276</v>
      </c>
      <c r="BL506" s="7" t="s">
        <v>8277</v>
      </c>
      <c r="BM506" s="22" t="s">
        <v>8278</v>
      </c>
      <c r="BN506" s="8" t="s">
        <v>5047</v>
      </c>
      <c r="BO506" s="17">
        <v>31516</v>
      </c>
      <c r="BP506" s="17" t="s">
        <v>96</v>
      </c>
      <c r="BQ506" s="18" t="s">
        <v>8266</v>
      </c>
      <c r="BR506" s="7" t="s">
        <v>118</v>
      </c>
      <c r="BS506" s="7" t="s">
        <v>7967</v>
      </c>
      <c r="BT506" s="7" t="s">
        <v>127</v>
      </c>
      <c r="BU506" s="8" t="s">
        <v>127</v>
      </c>
      <c r="BV506" s="23" t="s">
        <v>127</v>
      </c>
      <c r="BW506" s="24" t="s">
        <v>127</v>
      </c>
      <c r="BX506" s="21" t="s">
        <v>8279</v>
      </c>
      <c r="BY506" s="21" t="s">
        <v>127</v>
      </c>
      <c r="BZ506" s="21" t="s">
        <v>127</v>
      </c>
      <c r="CA506" s="21" t="s">
        <v>8280</v>
      </c>
      <c r="CB506" s="21"/>
      <c r="CC506" s="21" t="s">
        <v>127</v>
      </c>
      <c r="CD506" s="21"/>
      <c r="CE506" s="21" t="s">
        <v>127</v>
      </c>
      <c r="CF506" s="21"/>
      <c r="CG506" s="21" t="s">
        <v>127</v>
      </c>
      <c r="CH506" s="21" t="s">
        <v>127</v>
      </c>
      <c r="CI506" s="21" t="s">
        <v>127</v>
      </c>
      <c r="CJ506" s="21" t="s">
        <v>127</v>
      </c>
      <c r="CK506" s="21" t="s">
        <v>127</v>
      </c>
      <c r="CL506" s="21" t="s">
        <v>127</v>
      </c>
      <c r="CN506" s="25"/>
      <c r="CO506" s="25"/>
      <c r="CP506" s="25"/>
      <c r="CQ506" s="25"/>
      <c r="CR506" s="25"/>
      <c r="CS506" s="26"/>
    </row>
    <row r="507" spans="1:97" s="27" customFormat="1" ht="23.25" customHeight="1">
      <c r="A507" s="4">
        <v>402</v>
      </c>
      <c r="B507" s="6"/>
      <c r="C507" s="6"/>
      <c r="D507" s="6"/>
      <c r="E507" s="6"/>
      <c r="F507" s="6"/>
      <c r="G507" s="6"/>
      <c r="H507" s="5" t="s">
        <v>7095</v>
      </c>
      <c r="I507" s="6" t="s">
        <v>86</v>
      </c>
      <c r="J507" s="7" t="s">
        <v>311</v>
      </c>
      <c r="K507" s="7" t="s">
        <v>8370</v>
      </c>
      <c r="L507" s="8"/>
      <c r="M507" s="5">
        <v>1726</v>
      </c>
      <c r="N507" s="5" t="s">
        <v>8371</v>
      </c>
      <c r="O507" s="9" t="s">
        <v>8372</v>
      </c>
      <c r="P507" s="10" t="s">
        <v>8372</v>
      </c>
      <c r="Q507" s="389" t="s">
        <v>8373</v>
      </c>
      <c r="R507" s="8" t="s">
        <v>10362</v>
      </c>
      <c r="S507" s="212" t="s">
        <v>12152</v>
      </c>
      <c r="T507" s="8" t="s">
        <v>8374</v>
      </c>
      <c r="U507" s="11" t="s">
        <v>93</v>
      </c>
      <c r="V507" s="12" t="s">
        <v>94</v>
      </c>
      <c r="W507" s="13">
        <v>42577</v>
      </c>
      <c r="X507" s="5" t="str">
        <f t="shared" ca="1" si="19"/>
        <v>10 Th, 1 Bln</v>
      </c>
      <c r="Y507" s="5"/>
      <c r="Z507" s="14"/>
      <c r="AA507" s="5" t="s">
        <v>96</v>
      </c>
      <c r="AB507" s="5" t="s">
        <v>97</v>
      </c>
      <c r="AC507" s="7" t="s">
        <v>8375</v>
      </c>
      <c r="AD507" s="131" t="s">
        <v>827</v>
      </c>
      <c r="AE507" s="131" t="s">
        <v>358</v>
      </c>
      <c r="AF507" s="7" t="s">
        <v>7977</v>
      </c>
      <c r="AG507" s="7" t="s">
        <v>5046</v>
      </c>
      <c r="AH507" s="7" t="s">
        <v>178</v>
      </c>
      <c r="AI507" s="7">
        <v>65141</v>
      </c>
      <c r="AJ507" s="7" t="s">
        <v>7106</v>
      </c>
      <c r="AK507" s="7" t="s">
        <v>104</v>
      </c>
      <c r="AL507" s="7" t="s">
        <v>4986</v>
      </c>
      <c r="AM507" s="15" t="s">
        <v>8376</v>
      </c>
      <c r="AN507" s="15" t="s">
        <v>8376</v>
      </c>
      <c r="AO507" s="8">
        <v>1</v>
      </c>
      <c r="AP507" s="8">
        <v>2</v>
      </c>
      <c r="AQ507" s="8" t="s">
        <v>163</v>
      </c>
      <c r="AR507" s="8" t="s">
        <v>163</v>
      </c>
      <c r="AS507" s="132">
        <v>109</v>
      </c>
      <c r="AT507" s="131" t="s">
        <v>7676</v>
      </c>
      <c r="AU507" s="132" t="s">
        <v>182</v>
      </c>
      <c r="AV507" s="16" t="s">
        <v>112</v>
      </c>
      <c r="AW507" s="56" t="s">
        <v>150</v>
      </c>
      <c r="AX507" s="56" t="s">
        <v>7136</v>
      </c>
      <c r="AY507" s="7" t="s">
        <v>8377</v>
      </c>
      <c r="AZ507" s="10" t="s">
        <v>8378</v>
      </c>
      <c r="BA507" s="7" t="s">
        <v>6705</v>
      </c>
      <c r="BB507" s="17">
        <v>31788</v>
      </c>
      <c r="BC507" s="17" t="s">
        <v>7112</v>
      </c>
      <c r="BD507" s="18" t="s">
        <v>8379</v>
      </c>
      <c r="BE507" s="7" t="s">
        <v>118</v>
      </c>
      <c r="BF507" s="7" t="s">
        <v>5294</v>
      </c>
      <c r="BG507" s="7" t="s">
        <v>8380</v>
      </c>
      <c r="BH507" s="7" t="s">
        <v>8381</v>
      </c>
      <c r="BI507" s="19" t="s">
        <v>8379</v>
      </c>
      <c r="BJ507" s="20" t="s">
        <v>8382</v>
      </c>
      <c r="BK507" s="21" t="s">
        <v>8383</v>
      </c>
      <c r="BL507" s="7" t="s">
        <v>8384</v>
      </c>
      <c r="BM507" s="22" t="s">
        <v>8385</v>
      </c>
      <c r="BN507" s="8" t="s">
        <v>6705</v>
      </c>
      <c r="BO507" s="17">
        <v>34567</v>
      </c>
      <c r="BP507" s="17" t="s">
        <v>96</v>
      </c>
      <c r="BQ507" s="18" t="s">
        <v>8376</v>
      </c>
      <c r="BR507" s="7" t="s">
        <v>118</v>
      </c>
      <c r="BS507" s="7" t="s">
        <v>7967</v>
      </c>
      <c r="BT507" s="7" t="s">
        <v>8386</v>
      </c>
      <c r="BU507" s="8" t="s">
        <v>8387</v>
      </c>
      <c r="BV507" s="23" t="s">
        <v>8376</v>
      </c>
      <c r="BW507" s="24" t="s">
        <v>882</v>
      </c>
      <c r="BX507" s="21" t="s">
        <v>8388</v>
      </c>
      <c r="BY507" s="21" t="s">
        <v>8389</v>
      </c>
      <c r="BZ507" s="21" t="s">
        <v>6705</v>
      </c>
      <c r="CA507" s="21">
        <v>34567</v>
      </c>
      <c r="CB507" s="21"/>
      <c r="CC507" s="21" t="s">
        <v>8376</v>
      </c>
      <c r="CD507" s="21" t="s">
        <v>118</v>
      </c>
      <c r="CE507" s="21" t="s">
        <v>7967</v>
      </c>
      <c r="CF507" s="21" t="s">
        <v>96</v>
      </c>
      <c r="CG507" s="21" t="s">
        <v>8375</v>
      </c>
      <c r="CH507" s="21" t="s">
        <v>827</v>
      </c>
      <c r="CI507" s="21" t="s">
        <v>358</v>
      </c>
      <c r="CJ507" s="21" t="s">
        <v>7977</v>
      </c>
      <c r="CK507" s="21" t="s">
        <v>5046</v>
      </c>
      <c r="CL507" s="21" t="s">
        <v>7106</v>
      </c>
      <c r="CN507" s="25"/>
      <c r="CO507" s="25"/>
      <c r="CP507" s="25"/>
      <c r="CQ507" s="25"/>
      <c r="CR507" s="25"/>
      <c r="CS507" s="26"/>
    </row>
    <row r="508" spans="1:97" s="27" customFormat="1" ht="23.25" customHeight="1">
      <c r="A508" s="4">
        <v>347</v>
      </c>
      <c r="B508" s="6"/>
      <c r="C508" s="6"/>
      <c r="D508" s="6"/>
      <c r="E508" s="6"/>
      <c r="F508" s="6"/>
      <c r="G508" s="6"/>
      <c r="H508" s="5" t="s">
        <v>7095</v>
      </c>
      <c r="I508" s="6" t="s">
        <v>86</v>
      </c>
      <c r="J508" s="7" t="s">
        <v>7124</v>
      </c>
      <c r="K508" s="7" t="s">
        <v>7125</v>
      </c>
      <c r="L508" s="8"/>
      <c r="M508" s="5">
        <v>1728</v>
      </c>
      <c r="N508" s="5" t="s">
        <v>7126</v>
      </c>
      <c r="O508" s="9" t="s">
        <v>7127</v>
      </c>
      <c r="P508" s="10" t="s">
        <v>7128</v>
      </c>
      <c r="Q508" s="389" t="s">
        <v>7129</v>
      </c>
      <c r="R508" s="8" t="s">
        <v>10362</v>
      </c>
      <c r="S508" s="212" t="s">
        <v>12152</v>
      </c>
      <c r="T508" s="8" t="s">
        <v>7130</v>
      </c>
      <c r="U508" s="11" t="s">
        <v>93</v>
      </c>
      <c r="V508" s="12" t="s">
        <v>94</v>
      </c>
      <c r="W508" s="13">
        <v>42365</v>
      </c>
      <c r="X508" s="5" t="str">
        <f t="shared" ca="1" si="19"/>
        <v>10 Th, 8 Bln</v>
      </c>
      <c r="Y508" s="5"/>
      <c r="Z508" s="14"/>
      <c r="AA508" s="5" t="s">
        <v>96</v>
      </c>
      <c r="AB508" s="5" t="s">
        <v>97</v>
      </c>
      <c r="AC508" s="7" t="s">
        <v>7131</v>
      </c>
      <c r="AD508" s="131" t="s">
        <v>358</v>
      </c>
      <c r="AE508" s="131" t="s">
        <v>176</v>
      </c>
      <c r="AF508" s="7" t="s">
        <v>7132</v>
      </c>
      <c r="AG508" s="7" t="s">
        <v>7133</v>
      </c>
      <c r="AH508" s="7" t="s">
        <v>102</v>
      </c>
      <c r="AI508" s="7">
        <v>65146</v>
      </c>
      <c r="AJ508" s="7" t="s">
        <v>5047</v>
      </c>
      <c r="AK508" s="7" t="s">
        <v>179</v>
      </c>
      <c r="AL508" s="7" t="s">
        <v>5208</v>
      </c>
      <c r="AM508" s="15" t="s">
        <v>7134</v>
      </c>
      <c r="AN508" s="15" t="s">
        <v>7135</v>
      </c>
      <c r="AO508" s="8">
        <v>1</v>
      </c>
      <c r="AP508" s="8">
        <v>2</v>
      </c>
      <c r="AQ508" s="8"/>
      <c r="AR508" s="8"/>
      <c r="AS508" s="132" t="s">
        <v>5612</v>
      </c>
      <c r="AT508" s="131" t="s">
        <v>2137</v>
      </c>
      <c r="AU508" s="132" t="s">
        <v>111</v>
      </c>
      <c r="AV508" s="16" t="s">
        <v>212</v>
      </c>
      <c r="AW508" s="56" t="s">
        <v>150</v>
      </c>
      <c r="AX508" s="56" t="s">
        <v>7136</v>
      </c>
      <c r="AY508" s="7" t="s">
        <v>7137</v>
      </c>
      <c r="AZ508" s="10" t="s">
        <v>7138</v>
      </c>
      <c r="BA508" s="7" t="s">
        <v>5047</v>
      </c>
      <c r="BB508" s="17">
        <v>32914</v>
      </c>
      <c r="BC508" s="17" t="s">
        <v>7112</v>
      </c>
      <c r="BD508" s="18" t="s">
        <v>7135</v>
      </c>
      <c r="BE508" s="7" t="s">
        <v>216</v>
      </c>
      <c r="BF508" s="7" t="s">
        <v>7139</v>
      </c>
      <c r="BG508" s="7" t="s">
        <v>5294</v>
      </c>
      <c r="BH508" s="7" t="s">
        <v>7140</v>
      </c>
      <c r="BI508" s="19" t="s">
        <v>7135</v>
      </c>
      <c r="BJ508" s="20" t="s">
        <v>7141</v>
      </c>
      <c r="BK508" s="21" t="s">
        <v>7142</v>
      </c>
      <c r="BL508" s="7" t="s">
        <v>7143</v>
      </c>
      <c r="BM508" s="22" t="s">
        <v>7144</v>
      </c>
      <c r="BN508" s="8" t="s">
        <v>7145</v>
      </c>
      <c r="BO508" s="17">
        <v>32903</v>
      </c>
      <c r="BP508" s="17" t="s">
        <v>96</v>
      </c>
      <c r="BQ508" s="18" t="s">
        <v>7134</v>
      </c>
      <c r="BR508" s="7" t="s">
        <v>216</v>
      </c>
      <c r="BS508" s="7" t="s">
        <v>5653</v>
      </c>
      <c r="BT508" s="7" t="s">
        <v>7146</v>
      </c>
      <c r="BU508" s="8" t="s">
        <v>7146</v>
      </c>
      <c r="BV508" s="23"/>
      <c r="BW508" s="24" t="s">
        <v>163</v>
      </c>
      <c r="BX508" s="21" t="s">
        <v>7147</v>
      </c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N508" s="25"/>
      <c r="CO508" s="25"/>
      <c r="CP508" s="25"/>
      <c r="CQ508" s="25"/>
      <c r="CR508" s="25"/>
      <c r="CS508" s="26"/>
    </row>
    <row r="509" spans="1:97" s="27" customFormat="1" ht="23.25" customHeight="1">
      <c r="A509" s="4">
        <v>348</v>
      </c>
      <c r="B509" s="6"/>
      <c r="C509" s="6"/>
      <c r="D509" s="6"/>
      <c r="E509" s="6"/>
      <c r="F509" s="6"/>
      <c r="G509" s="6"/>
      <c r="H509" s="5" t="s">
        <v>7095</v>
      </c>
      <c r="I509" s="6" t="s">
        <v>86</v>
      </c>
      <c r="J509" s="7" t="s">
        <v>7148</v>
      </c>
      <c r="K509" s="7" t="s">
        <v>7149</v>
      </c>
      <c r="L509" s="8"/>
      <c r="M509" s="5">
        <v>1731</v>
      </c>
      <c r="N509" s="5" t="s">
        <v>7150</v>
      </c>
      <c r="O509" s="9" t="s">
        <v>7151</v>
      </c>
      <c r="P509" s="10" t="s">
        <v>7152</v>
      </c>
      <c r="Q509" s="389" t="s">
        <v>7153</v>
      </c>
      <c r="R509" s="8" t="s">
        <v>10362</v>
      </c>
      <c r="S509" s="212" t="s">
        <v>12152</v>
      </c>
      <c r="T509" s="8" t="s">
        <v>7154</v>
      </c>
      <c r="U509" s="11" t="s">
        <v>93</v>
      </c>
      <c r="V509" s="12" t="s">
        <v>94</v>
      </c>
      <c r="W509" s="13">
        <v>42420</v>
      </c>
      <c r="X509" s="5" t="str">
        <f t="shared" ca="1" si="19"/>
        <v>10 Th, 6 Bln</v>
      </c>
      <c r="Y509" s="5"/>
      <c r="Z509" s="14"/>
      <c r="AA509" s="5" t="s">
        <v>96</v>
      </c>
      <c r="AB509" s="5" t="s">
        <v>97</v>
      </c>
      <c r="AC509" s="7" t="s">
        <v>7155</v>
      </c>
      <c r="AD509" s="131" t="s">
        <v>827</v>
      </c>
      <c r="AE509" s="131" t="s">
        <v>358</v>
      </c>
      <c r="AF509" s="7" t="s">
        <v>1483</v>
      </c>
      <c r="AG509" s="7" t="s">
        <v>687</v>
      </c>
      <c r="AH509" s="7" t="s">
        <v>141</v>
      </c>
      <c r="AI509" s="7">
        <v>65151</v>
      </c>
      <c r="AJ509" s="7" t="s">
        <v>94</v>
      </c>
      <c r="AK509" s="7" t="s">
        <v>104</v>
      </c>
      <c r="AL509" s="7">
        <v>6</v>
      </c>
      <c r="AM509" s="15" t="s">
        <v>127</v>
      </c>
      <c r="AN509" s="15" t="s">
        <v>7156</v>
      </c>
      <c r="AO509" s="8">
        <v>2</v>
      </c>
      <c r="AP509" s="8">
        <v>1</v>
      </c>
      <c r="AQ509" s="8">
        <v>0</v>
      </c>
      <c r="AR509" s="8">
        <v>0</v>
      </c>
      <c r="AS509" s="132">
        <v>120</v>
      </c>
      <c r="AT509" s="131">
        <v>24</v>
      </c>
      <c r="AU509" s="132" t="s">
        <v>111</v>
      </c>
      <c r="AV509" s="16" t="s">
        <v>112</v>
      </c>
      <c r="AW509" s="56" t="s">
        <v>1028</v>
      </c>
      <c r="AX509" s="56" t="s">
        <v>114</v>
      </c>
      <c r="AY509" s="7" t="s">
        <v>7157</v>
      </c>
      <c r="AZ509" s="10" t="s">
        <v>7158</v>
      </c>
      <c r="BA509" s="7" t="s">
        <v>1161</v>
      </c>
      <c r="BB509" s="17">
        <v>30938</v>
      </c>
      <c r="BC509" s="17" t="s">
        <v>96</v>
      </c>
      <c r="BD509" s="18" t="s">
        <v>7159</v>
      </c>
      <c r="BE509" s="7" t="s">
        <v>118</v>
      </c>
      <c r="BF509" s="7" t="s">
        <v>596</v>
      </c>
      <c r="BG509" s="7" t="s">
        <v>3175</v>
      </c>
      <c r="BH509" s="7" t="s">
        <v>7160</v>
      </c>
      <c r="BI509" s="19"/>
      <c r="BJ509" s="20">
        <v>3000000</v>
      </c>
      <c r="BK509" s="21" t="s">
        <v>7161</v>
      </c>
      <c r="BL509" s="7" t="s">
        <v>7162</v>
      </c>
      <c r="BM509" s="22" t="s">
        <v>7163</v>
      </c>
      <c r="BN509" s="8" t="s">
        <v>519</v>
      </c>
      <c r="BO509" s="17">
        <v>31482</v>
      </c>
      <c r="BP509" s="17" t="s">
        <v>96</v>
      </c>
      <c r="BQ509" s="18" t="s">
        <v>7156</v>
      </c>
      <c r="BR509" s="7" t="s">
        <v>118</v>
      </c>
      <c r="BS509" s="7" t="s">
        <v>7164</v>
      </c>
      <c r="BT509" s="7" t="s">
        <v>7165</v>
      </c>
      <c r="BU509" s="8" t="s">
        <v>7166</v>
      </c>
      <c r="BV509" s="23"/>
      <c r="BW509" s="24">
        <v>3000000</v>
      </c>
      <c r="BX509" s="21" t="s">
        <v>7167</v>
      </c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N509" s="25"/>
      <c r="CO509" s="25"/>
      <c r="CP509" s="25"/>
      <c r="CQ509" s="25"/>
      <c r="CR509" s="25"/>
      <c r="CS509" s="26"/>
    </row>
    <row r="510" spans="1:97" s="27" customFormat="1" ht="23.25" customHeight="1">
      <c r="A510" s="4">
        <v>376</v>
      </c>
      <c r="B510" s="6"/>
      <c r="C510" s="6"/>
      <c r="D510" s="6"/>
      <c r="E510" s="6"/>
      <c r="F510" s="6"/>
      <c r="G510" s="6"/>
      <c r="H510" s="5" t="s">
        <v>7095</v>
      </c>
      <c r="I510" s="6" t="s">
        <v>86</v>
      </c>
      <c r="J510" s="7" t="s">
        <v>257</v>
      </c>
      <c r="K510" s="7" t="s">
        <v>3559</v>
      </c>
      <c r="L510" s="8"/>
      <c r="M510" s="5">
        <v>1742</v>
      </c>
      <c r="N510" s="5" t="s">
        <v>7796</v>
      </c>
      <c r="O510" s="9" t="s">
        <v>7797</v>
      </c>
      <c r="P510" s="10" t="s">
        <v>7798</v>
      </c>
      <c r="Q510" s="389" t="s">
        <v>7799</v>
      </c>
      <c r="R510" s="8" t="s">
        <v>10362</v>
      </c>
      <c r="S510" s="212" t="s">
        <v>12152</v>
      </c>
      <c r="T510" s="8" t="s">
        <v>7800</v>
      </c>
      <c r="U510" s="11" t="s">
        <v>172</v>
      </c>
      <c r="V510" s="12" t="s">
        <v>94</v>
      </c>
      <c r="W510" s="13">
        <v>42467</v>
      </c>
      <c r="X510" s="5" t="str">
        <f t="shared" ca="1" si="19"/>
        <v>10 Th, 5 Bln</v>
      </c>
      <c r="Y510" s="5"/>
      <c r="Z510" s="14"/>
      <c r="AA510" s="5" t="s">
        <v>96</v>
      </c>
      <c r="AB510" s="5" t="s">
        <v>97</v>
      </c>
      <c r="AC510" s="7" t="s">
        <v>7801</v>
      </c>
      <c r="AD510" s="131" t="s">
        <v>127</v>
      </c>
      <c r="AE510" s="131" t="s">
        <v>127</v>
      </c>
      <c r="AF510" s="7" t="s">
        <v>1395</v>
      </c>
      <c r="AG510" s="7" t="s">
        <v>140</v>
      </c>
      <c r="AH510" s="7" t="s">
        <v>141</v>
      </c>
      <c r="AI510" s="7" t="s">
        <v>127</v>
      </c>
      <c r="AJ510" s="7" t="s">
        <v>94</v>
      </c>
      <c r="AK510" s="7" t="s">
        <v>104</v>
      </c>
      <c r="AL510" s="7" t="s">
        <v>7802</v>
      </c>
      <c r="AM510" s="15" t="s">
        <v>4444</v>
      </c>
      <c r="AN510" s="15" t="s">
        <v>4444</v>
      </c>
      <c r="AO510" s="8">
        <v>1</v>
      </c>
      <c r="AP510" s="8">
        <v>1</v>
      </c>
      <c r="AQ510" s="8" t="s">
        <v>127</v>
      </c>
      <c r="AR510" s="8" t="s">
        <v>127</v>
      </c>
      <c r="AS510" s="132">
        <v>90</v>
      </c>
      <c r="AT510" s="131">
        <v>16</v>
      </c>
      <c r="AU510" s="132" t="s">
        <v>182</v>
      </c>
      <c r="AV510" s="16" t="s">
        <v>112</v>
      </c>
      <c r="AW510" s="56" t="s">
        <v>150</v>
      </c>
      <c r="AX510" s="56" t="s">
        <v>183</v>
      </c>
      <c r="AY510" s="7" t="s">
        <v>4445</v>
      </c>
      <c r="AZ510" s="10" t="s">
        <v>4446</v>
      </c>
      <c r="BA510" s="7" t="s">
        <v>511</v>
      </c>
      <c r="BB510" s="17">
        <v>31890</v>
      </c>
      <c r="BC510" s="17" t="s">
        <v>96</v>
      </c>
      <c r="BD510" s="18" t="s">
        <v>4447</v>
      </c>
      <c r="BE510" s="7" t="s">
        <v>118</v>
      </c>
      <c r="BF510" s="7" t="s">
        <v>276</v>
      </c>
      <c r="BG510" s="7" t="s">
        <v>4448</v>
      </c>
      <c r="BH510" s="7" t="s">
        <v>7803</v>
      </c>
      <c r="BI510" s="19" t="s">
        <v>127</v>
      </c>
      <c r="BJ510" s="20" t="s">
        <v>7804</v>
      </c>
      <c r="BK510" s="21"/>
      <c r="BL510" s="7" t="s">
        <v>4450</v>
      </c>
      <c r="BM510" s="22" t="s">
        <v>4451</v>
      </c>
      <c r="BN510" s="8" t="s">
        <v>511</v>
      </c>
      <c r="BO510" s="17">
        <v>31983</v>
      </c>
      <c r="BP510" s="17" t="s">
        <v>96</v>
      </c>
      <c r="BQ510" s="18" t="s">
        <v>4444</v>
      </c>
      <c r="BR510" s="7" t="s">
        <v>118</v>
      </c>
      <c r="BS510" s="7" t="s">
        <v>126</v>
      </c>
      <c r="BT510" s="7" t="s">
        <v>127</v>
      </c>
      <c r="BU510" s="8" t="s">
        <v>127</v>
      </c>
      <c r="BV510" s="23" t="s">
        <v>127</v>
      </c>
      <c r="BW510" s="24" t="s">
        <v>127</v>
      </c>
      <c r="BX510" s="21"/>
      <c r="BY510" s="21" t="s">
        <v>127</v>
      </c>
      <c r="BZ510" s="21" t="s">
        <v>127</v>
      </c>
      <c r="CA510" s="21"/>
      <c r="CB510" s="21"/>
      <c r="CC510" s="21" t="s">
        <v>127</v>
      </c>
      <c r="CD510" s="21"/>
      <c r="CE510" s="21" t="s">
        <v>127</v>
      </c>
      <c r="CF510" s="21"/>
      <c r="CG510" s="21" t="s">
        <v>127</v>
      </c>
      <c r="CH510" s="21" t="s">
        <v>127</v>
      </c>
      <c r="CI510" s="21" t="s">
        <v>127</v>
      </c>
      <c r="CJ510" s="21" t="s">
        <v>127</v>
      </c>
      <c r="CK510" s="21" t="s">
        <v>127</v>
      </c>
      <c r="CL510" s="21" t="s">
        <v>127</v>
      </c>
      <c r="CN510" s="25"/>
      <c r="CO510" s="25"/>
      <c r="CP510" s="25"/>
      <c r="CQ510" s="25"/>
      <c r="CR510" s="25"/>
      <c r="CS510" s="26"/>
    </row>
    <row r="511" spans="1:97" s="27" customFormat="1" ht="23.25" customHeight="1">
      <c r="A511" s="4">
        <v>377</v>
      </c>
      <c r="B511" s="6"/>
      <c r="C511" s="6"/>
      <c r="D511" s="6"/>
      <c r="E511" s="6"/>
      <c r="F511" s="6"/>
      <c r="G511" s="6"/>
      <c r="H511" s="5" t="s">
        <v>7095</v>
      </c>
      <c r="I511" s="6" t="s">
        <v>86</v>
      </c>
      <c r="J511" s="7" t="s">
        <v>311</v>
      </c>
      <c r="K511" s="7" t="s">
        <v>312</v>
      </c>
      <c r="L511" s="8"/>
      <c r="M511" s="5">
        <v>1744</v>
      </c>
      <c r="N511" s="5" t="s">
        <v>7805</v>
      </c>
      <c r="O511" s="9" t="s">
        <v>7806</v>
      </c>
      <c r="P511" s="10" t="s">
        <v>7807</v>
      </c>
      <c r="Q511" s="389" t="s">
        <v>7808</v>
      </c>
      <c r="R511" s="8" t="s">
        <v>10362</v>
      </c>
      <c r="S511" s="212" t="s">
        <v>12152</v>
      </c>
      <c r="T511" s="8" t="s">
        <v>3054</v>
      </c>
      <c r="U511" s="11" t="s">
        <v>172</v>
      </c>
      <c r="V511" s="12" t="s">
        <v>94</v>
      </c>
      <c r="W511" s="13">
        <v>42312</v>
      </c>
      <c r="X511" s="5" t="str">
        <f t="shared" ca="1" si="19"/>
        <v>10 Th, 10 Bln</v>
      </c>
      <c r="Y511" s="5"/>
      <c r="Z511" s="14"/>
      <c r="AA511" s="5" t="s">
        <v>96</v>
      </c>
      <c r="AB511" s="5" t="s">
        <v>97</v>
      </c>
      <c r="AC511" s="7" t="s">
        <v>7809</v>
      </c>
      <c r="AD511" s="131" t="s">
        <v>175</v>
      </c>
      <c r="AE511" s="131" t="s">
        <v>4392</v>
      </c>
      <c r="AF511" s="7" t="s">
        <v>891</v>
      </c>
      <c r="AG511" s="7" t="s">
        <v>178</v>
      </c>
      <c r="AH511" s="7" t="s">
        <v>178</v>
      </c>
      <c r="AI511" s="7">
        <v>65141</v>
      </c>
      <c r="AJ511" s="7" t="s">
        <v>94</v>
      </c>
      <c r="AK511" s="7" t="s">
        <v>104</v>
      </c>
      <c r="AL511" s="7" t="s">
        <v>7714</v>
      </c>
      <c r="AM511" s="15" t="s">
        <v>127</v>
      </c>
      <c r="AN511" s="15" t="s">
        <v>7810</v>
      </c>
      <c r="AO511" s="8">
        <v>2</v>
      </c>
      <c r="AP511" s="8">
        <v>1</v>
      </c>
      <c r="AQ511" s="8">
        <v>0</v>
      </c>
      <c r="AR511" s="8">
        <v>0</v>
      </c>
      <c r="AS511" s="132">
        <v>123</v>
      </c>
      <c r="AT511" s="131" t="s">
        <v>7811</v>
      </c>
      <c r="AU511" s="132" t="s">
        <v>149</v>
      </c>
      <c r="AV511" s="16" t="s">
        <v>112</v>
      </c>
      <c r="AW511" s="56" t="s">
        <v>392</v>
      </c>
      <c r="AX511" s="56" t="s">
        <v>4708</v>
      </c>
      <c r="AY511" s="7" t="s">
        <v>7812</v>
      </c>
      <c r="AZ511" s="10" t="s">
        <v>7813</v>
      </c>
      <c r="BA511" s="7" t="s">
        <v>94</v>
      </c>
      <c r="BB511" s="17">
        <v>29711</v>
      </c>
      <c r="BC511" s="17" t="s">
        <v>96</v>
      </c>
      <c r="BD511" s="18" t="s">
        <v>7814</v>
      </c>
      <c r="BE511" s="7" t="s">
        <v>216</v>
      </c>
      <c r="BF511" s="7" t="s">
        <v>247</v>
      </c>
      <c r="BG511" s="7" t="s">
        <v>127</v>
      </c>
      <c r="BH511" s="7" t="s">
        <v>127</v>
      </c>
      <c r="BI511" s="19" t="s">
        <v>127</v>
      </c>
      <c r="BJ511" s="20">
        <v>5000000</v>
      </c>
      <c r="BK511" s="21" t="s">
        <v>7815</v>
      </c>
      <c r="BL511" s="7" t="s">
        <v>7816</v>
      </c>
      <c r="BM511" s="22" t="s">
        <v>7817</v>
      </c>
      <c r="BN511" s="8" t="s">
        <v>94</v>
      </c>
      <c r="BO511" s="17">
        <v>32108</v>
      </c>
      <c r="BP511" s="17" t="s">
        <v>96</v>
      </c>
      <c r="BQ511" s="18" t="s">
        <v>7810</v>
      </c>
      <c r="BR511" s="7" t="s">
        <v>118</v>
      </c>
      <c r="BS511" s="7" t="s">
        <v>119</v>
      </c>
      <c r="BT511" s="7" t="s">
        <v>7818</v>
      </c>
      <c r="BU511" s="8" t="s">
        <v>7819</v>
      </c>
      <c r="BV511" s="23" t="s">
        <v>127</v>
      </c>
      <c r="BW511" s="24">
        <v>5000000</v>
      </c>
      <c r="BX511" s="21" t="s">
        <v>7820</v>
      </c>
      <c r="BY511" s="21" t="s">
        <v>127</v>
      </c>
      <c r="BZ511" s="21" t="s">
        <v>127</v>
      </c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N511" s="25"/>
      <c r="CO511" s="25"/>
      <c r="CP511" s="25"/>
      <c r="CQ511" s="25"/>
      <c r="CR511" s="25"/>
      <c r="CS511" s="26"/>
    </row>
    <row r="512" spans="1:97" s="27" customFormat="1" ht="23.25" customHeight="1">
      <c r="A512" s="4">
        <v>353</v>
      </c>
      <c r="B512" s="6"/>
      <c r="C512" s="6"/>
      <c r="D512" s="6"/>
      <c r="E512" s="6"/>
      <c r="F512" s="6"/>
      <c r="G512" s="6"/>
      <c r="H512" s="5" t="s">
        <v>7095</v>
      </c>
      <c r="I512" s="6" t="s">
        <v>86</v>
      </c>
      <c r="J512" s="7" t="s">
        <v>7250</v>
      </c>
      <c r="K512" s="7" t="s">
        <v>7251</v>
      </c>
      <c r="L512" s="8"/>
      <c r="M512" s="5">
        <v>1746</v>
      </c>
      <c r="N512" s="5" t="s">
        <v>7252</v>
      </c>
      <c r="O512" s="9" t="s">
        <v>1411</v>
      </c>
      <c r="P512" s="10" t="s">
        <v>7253</v>
      </c>
      <c r="Q512" s="389" t="s">
        <v>7254</v>
      </c>
      <c r="R512" s="8" t="s">
        <v>10362</v>
      </c>
      <c r="S512" s="212" t="s">
        <v>12152</v>
      </c>
      <c r="T512" s="8" t="s">
        <v>7255</v>
      </c>
      <c r="U512" s="11" t="s">
        <v>172</v>
      </c>
      <c r="V512" s="12" t="s">
        <v>222</v>
      </c>
      <c r="W512" s="13">
        <v>42152</v>
      </c>
      <c r="X512" s="5" t="str">
        <f t="shared" ca="1" si="19"/>
        <v>11 Th, 3 Bln</v>
      </c>
      <c r="Y512" s="5"/>
      <c r="Z512" s="14"/>
      <c r="AA512" s="5" t="s">
        <v>96</v>
      </c>
      <c r="AB512" s="5" t="s">
        <v>97</v>
      </c>
      <c r="AC512" s="7" t="s">
        <v>7256</v>
      </c>
      <c r="AD512" s="131">
        <v>12</v>
      </c>
      <c r="AE512" s="131">
        <v>7</v>
      </c>
      <c r="AF512" s="7" t="s">
        <v>7257</v>
      </c>
      <c r="AG512" s="7" t="s">
        <v>7258</v>
      </c>
      <c r="AH512" s="7" t="s">
        <v>241</v>
      </c>
      <c r="AI512" s="7">
        <v>61451</v>
      </c>
      <c r="AJ512" s="7" t="s">
        <v>5047</v>
      </c>
      <c r="AK512" s="7" t="s">
        <v>104</v>
      </c>
      <c r="AL512" s="7" t="s">
        <v>7259</v>
      </c>
      <c r="AM512" s="15">
        <v>0</v>
      </c>
      <c r="AN512" s="15" t="s">
        <v>1417</v>
      </c>
      <c r="AO512" s="8">
        <v>1</v>
      </c>
      <c r="AP512" s="8">
        <v>3</v>
      </c>
      <c r="AQ512" s="8">
        <v>0</v>
      </c>
      <c r="AR512" s="8"/>
      <c r="AS512" s="132" t="s">
        <v>5612</v>
      </c>
      <c r="AT512" s="131" t="s">
        <v>7260</v>
      </c>
      <c r="AU512" s="132" t="s">
        <v>182</v>
      </c>
      <c r="AV512" s="16" t="s">
        <v>112</v>
      </c>
      <c r="AW512" s="56" t="s">
        <v>7261</v>
      </c>
      <c r="AX512" s="56" t="s">
        <v>7108</v>
      </c>
      <c r="AY512" s="7" t="s">
        <v>7262</v>
      </c>
      <c r="AZ512" s="10" t="s">
        <v>1421</v>
      </c>
      <c r="BA512" s="7" t="s">
        <v>395</v>
      </c>
      <c r="BB512" s="17">
        <v>32264</v>
      </c>
      <c r="BC512" s="17" t="s">
        <v>7112</v>
      </c>
      <c r="BD512" s="18" t="s">
        <v>1422</v>
      </c>
      <c r="BE512" s="7" t="s">
        <v>118</v>
      </c>
      <c r="BF512" s="7" t="s">
        <v>7263</v>
      </c>
      <c r="BG512" s="7" t="s">
        <v>7264</v>
      </c>
      <c r="BH512" s="7" t="s">
        <v>7265</v>
      </c>
      <c r="BI512" s="19" t="s">
        <v>7266</v>
      </c>
      <c r="BJ512" s="20" t="s">
        <v>7267</v>
      </c>
      <c r="BK512" s="21" t="s">
        <v>1425</v>
      </c>
      <c r="BL512" s="7" t="s">
        <v>7268</v>
      </c>
      <c r="BM512" s="22">
        <v>3517036809870010</v>
      </c>
      <c r="BN512" s="8" t="s">
        <v>7269</v>
      </c>
      <c r="BO512" s="17">
        <v>32048</v>
      </c>
      <c r="BP512" s="17" t="s">
        <v>96</v>
      </c>
      <c r="BQ512" s="18" t="s">
        <v>1417</v>
      </c>
      <c r="BR512" s="7" t="s">
        <v>153</v>
      </c>
      <c r="BS512" s="7" t="s">
        <v>7270</v>
      </c>
      <c r="BT512" s="7">
        <v>0</v>
      </c>
      <c r="BU512" s="8">
        <v>0</v>
      </c>
      <c r="BV512" s="23">
        <v>0</v>
      </c>
      <c r="BW512" s="24">
        <v>0</v>
      </c>
      <c r="BX512" s="21" t="s">
        <v>7271</v>
      </c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N512" s="25"/>
      <c r="CO512" s="25"/>
      <c r="CP512" s="25"/>
      <c r="CQ512" s="25"/>
      <c r="CR512" s="25"/>
      <c r="CS512" s="26"/>
    </row>
    <row r="513" spans="1:97" s="27" customFormat="1" ht="23.25" customHeight="1">
      <c r="A513" s="4">
        <v>380</v>
      </c>
      <c r="B513" s="6"/>
      <c r="C513" s="6"/>
      <c r="D513" s="6"/>
      <c r="E513" s="6"/>
      <c r="F513" s="6"/>
      <c r="G513" s="6"/>
      <c r="H513" s="5" t="s">
        <v>7095</v>
      </c>
      <c r="I513" s="6" t="s">
        <v>86</v>
      </c>
      <c r="J513" s="7" t="s">
        <v>6711</v>
      </c>
      <c r="K513" s="7" t="s">
        <v>7866</v>
      </c>
      <c r="L513" s="8"/>
      <c r="M513" s="5">
        <v>1750</v>
      </c>
      <c r="N513" s="5" t="s">
        <v>7867</v>
      </c>
      <c r="O513" s="9" t="s">
        <v>7868</v>
      </c>
      <c r="P513" s="10" t="s">
        <v>7869</v>
      </c>
      <c r="Q513" s="389" t="s">
        <v>7870</v>
      </c>
      <c r="R513" s="8" t="s">
        <v>10362</v>
      </c>
      <c r="S513" s="212" t="s">
        <v>12152</v>
      </c>
      <c r="T513" s="8" t="s">
        <v>7871</v>
      </c>
      <c r="U513" s="11" t="s">
        <v>93</v>
      </c>
      <c r="V513" s="12" t="s">
        <v>94</v>
      </c>
      <c r="W513" s="13">
        <v>42416</v>
      </c>
      <c r="X513" s="5" t="str">
        <f t="shared" ca="1" si="19"/>
        <v>10 Th, 7 Bln</v>
      </c>
      <c r="Y513" s="5"/>
      <c r="Z513" s="14"/>
      <c r="AA513" s="5" t="s">
        <v>96</v>
      </c>
      <c r="AB513" s="5" t="s">
        <v>97</v>
      </c>
      <c r="AC513" s="7" t="s">
        <v>7872</v>
      </c>
      <c r="AD513" s="131">
        <v>29</v>
      </c>
      <c r="AE513" s="131" t="s">
        <v>318</v>
      </c>
      <c r="AF513" s="7" t="s">
        <v>7873</v>
      </c>
      <c r="AG513" s="7" t="s">
        <v>4904</v>
      </c>
      <c r="AH513" s="7" t="s">
        <v>141</v>
      </c>
      <c r="AI513" s="7" t="s">
        <v>127</v>
      </c>
      <c r="AJ513" s="7" t="s">
        <v>4905</v>
      </c>
      <c r="AK513" s="7" t="s">
        <v>179</v>
      </c>
      <c r="AL513" s="7" t="s">
        <v>7874</v>
      </c>
      <c r="AM513" s="15" t="s">
        <v>7875</v>
      </c>
      <c r="AN513" s="15" t="s">
        <v>7876</v>
      </c>
      <c r="AO513" s="8">
        <v>3</v>
      </c>
      <c r="AP513" s="8">
        <v>3</v>
      </c>
      <c r="AQ513" s="8" t="s">
        <v>127</v>
      </c>
      <c r="AR513" s="8" t="s">
        <v>127</v>
      </c>
      <c r="AS513" s="132">
        <v>120</v>
      </c>
      <c r="AT513" s="131">
        <v>30</v>
      </c>
      <c r="AU513" s="132" t="s">
        <v>111</v>
      </c>
      <c r="AV513" s="16" t="s">
        <v>112</v>
      </c>
      <c r="AW513" s="56" t="s">
        <v>549</v>
      </c>
      <c r="AX513" s="56" t="s">
        <v>7877</v>
      </c>
      <c r="AY513" s="7" t="s">
        <v>127</v>
      </c>
      <c r="AZ513" s="10" t="s">
        <v>127</v>
      </c>
      <c r="BA513" s="7" t="s">
        <v>127</v>
      </c>
      <c r="BB513" s="17">
        <v>26552</v>
      </c>
      <c r="BC513" s="17" t="s">
        <v>127</v>
      </c>
      <c r="BD513" s="18" t="s">
        <v>127</v>
      </c>
      <c r="BE513" s="7" t="s">
        <v>216</v>
      </c>
      <c r="BF513" s="7" t="s">
        <v>127</v>
      </c>
      <c r="BG513" s="7" t="s">
        <v>127</v>
      </c>
      <c r="BH513" s="7" t="s">
        <v>127</v>
      </c>
      <c r="BI513" s="19" t="s">
        <v>127</v>
      </c>
      <c r="BJ513" s="20" t="s">
        <v>127</v>
      </c>
      <c r="BK513" s="21" t="s">
        <v>127</v>
      </c>
      <c r="BL513" s="7" t="s">
        <v>7878</v>
      </c>
      <c r="BM513" s="22" t="s">
        <v>7879</v>
      </c>
      <c r="BN513" s="8" t="s">
        <v>4905</v>
      </c>
      <c r="BO513" s="17">
        <v>30835</v>
      </c>
      <c r="BP513" s="17" t="s">
        <v>96</v>
      </c>
      <c r="BQ513" s="18" t="s">
        <v>7876</v>
      </c>
      <c r="BR513" s="7" t="s">
        <v>3623</v>
      </c>
      <c r="BS513" s="7" t="s">
        <v>5294</v>
      </c>
      <c r="BT513" s="7" t="s">
        <v>7880</v>
      </c>
      <c r="BU513" s="8" t="s">
        <v>7881</v>
      </c>
      <c r="BV513" s="23" t="s">
        <v>127</v>
      </c>
      <c r="BW513" s="24" t="s">
        <v>7882</v>
      </c>
      <c r="BX513" s="21" t="s">
        <v>7883</v>
      </c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N513" s="25"/>
      <c r="CO513" s="25"/>
      <c r="CP513" s="25"/>
      <c r="CQ513" s="25"/>
      <c r="CR513" s="25"/>
      <c r="CS513" s="26"/>
    </row>
    <row r="514" spans="1:97" s="27" customFormat="1" ht="23.25" customHeight="1">
      <c r="A514" s="4">
        <v>381</v>
      </c>
      <c r="B514" s="6"/>
      <c r="C514" s="6"/>
      <c r="D514" s="6"/>
      <c r="E514" s="6"/>
      <c r="F514" s="6"/>
      <c r="G514" s="6"/>
      <c r="H514" s="5" t="s">
        <v>7095</v>
      </c>
      <c r="I514" s="6" t="s">
        <v>86</v>
      </c>
      <c r="J514" s="7" t="s">
        <v>7884</v>
      </c>
      <c r="K514" s="7" t="s">
        <v>7885</v>
      </c>
      <c r="L514" s="8"/>
      <c r="M514" s="5">
        <v>1752</v>
      </c>
      <c r="N514" s="5" t="s">
        <v>7886</v>
      </c>
      <c r="O514" s="9" t="s">
        <v>7887</v>
      </c>
      <c r="P514" s="10" t="s">
        <v>7888</v>
      </c>
      <c r="Q514" s="389" t="s">
        <v>7889</v>
      </c>
      <c r="R514" s="8" t="s">
        <v>10362</v>
      </c>
      <c r="S514" s="212" t="s">
        <v>12152</v>
      </c>
      <c r="T514" s="8" t="s">
        <v>7890</v>
      </c>
      <c r="U514" s="11" t="s">
        <v>172</v>
      </c>
      <c r="V514" s="12" t="s">
        <v>94</v>
      </c>
      <c r="W514" s="13">
        <v>42343</v>
      </c>
      <c r="X514" s="5" t="str">
        <f t="shared" ca="1" si="19"/>
        <v>10 Th, 9 Bln</v>
      </c>
      <c r="Y514" s="5"/>
      <c r="Z514" s="14"/>
      <c r="AA514" s="5" t="s">
        <v>96</v>
      </c>
      <c r="AB514" s="5" t="s">
        <v>97</v>
      </c>
      <c r="AC514" s="7" t="s">
        <v>7891</v>
      </c>
      <c r="AD514" s="131">
        <v>1</v>
      </c>
      <c r="AE514" s="131" t="s">
        <v>3397</v>
      </c>
      <c r="AF514" s="7" t="s">
        <v>871</v>
      </c>
      <c r="AG514" s="7" t="s">
        <v>410</v>
      </c>
      <c r="AH514" s="7" t="s">
        <v>141</v>
      </c>
      <c r="AI514" s="7">
        <v>65153</v>
      </c>
      <c r="AJ514" s="7" t="s">
        <v>94</v>
      </c>
      <c r="AK514" s="7" t="s">
        <v>104</v>
      </c>
      <c r="AL514" s="7" t="s">
        <v>7892</v>
      </c>
      <c r="AM514" s="15" t="s">
        <v>7893</v>
      </c>
      <c r="AN514" s="15" t="s">
        <v>7893</v>
      </c>
      <c r="AO514" s="8">
        <v>2</v>
      </c>
      <c r="AP514" s="8">
        <v>2</v>
      </c>
      <c r="AQ514" s="8"/>
      <c r="AR514" s="8"/>
      <c r="AS514" s="132">
        <v>100</v>
      </c>
      <c r="AT514" s="131">
        <v>25</v>
      </c>
      <c r="AU514" s="132" t="s">
        <v>111</v>
      </c>
      <c r="AV514" s="16" t="s">
        <v>112</v>
      </c>
      <c r="AW514" s="56" t="s">
        <v>163</v>
      </c>
      <c r="AX514" s="56" t="s">
        <v>183</v>
      </c>
      <c r="AY514" s="7" t="s">
        <v>7894</v>
      </c>
      <c r="AZ514" s="10" t="s">
        <v>7895</v>
      </c>
      <c r="BA514" s="7" t="s">
        <v>2073</v>
      </c>
      <c r="BB514" s="17">
        <v>31464</v>
      </c>
      <c r="BC514" s="17" t="s">
        <v>96</v>
      </c>
      <c r="BD514" s="18" t="s">
        <v>7893</v>
      </c>
      <c r="BE514" s="7" t="s">
        <v>118</v>
      </c>
      <c r="BF514" s="7" t="s">
        <v>596</v>
      </c>
      <c r="BG514" s="7" t="s">
        <v>596</v>
      </c>
      <c r="BH514" s="7" t="s">
        <v>7896</v>
      </c>
      <c r="BI514" s="19"/>
      <c r="BJ514" s="20" t="s">
        <v>7897</v>
      </c>
      <c r="BK514" s="21"/>
      <c r="BL514" s="7" t="s">
        <v>7898</v>
      </c>
      <c r="BM514" s="22" t="s">
        <v>7899</v>
      </c>
      <c r="BN514" s="8" t="s">
        <v>5047</v>
      </c>
      <c r="BO514" s="17">
        <v>31607</v>
      </c>
      <c r="BP514" s="17" t="s">
        <v>96</v>
      </c>
      <c r="BQ514" s="18" t="s">
        <v>7893</v>
      </c>
      <c r="BR514" s="7" t="s">
        <v>153</v>
      </c>
      <c r="BS514" s="7" t="s">
        <v>471</v>
      </c>
      <c r="BT514" s="7" t="s">
        <v>7900</v>
      </c>
      <c r="BU514" s="8" t="s">
        <v>7901</v>
      </c>
      <c r="BV514" s="23"/>
      <c r="BW514" s="24" t="s">
        <v>3280</v>
      </c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N514" s="25"/>
      <c r="CO514" s="25"/>
      <c r="CP514" s="25"/>
      <c r="CQ514" s="25"/>
      <c r="CR514" s="25"/>
      <c r="CS514" s="26"/>
    </row>
    <row r="515" spans="1:97" s="27" customFormat="1" ht="23.25" customHeight="1">
      <c r="A515" s="4">
        <v>435</v>
      </c>
      <c r="B515" s="6"/>
      <c r="C515" s="6"/>
      <c r="D515" s="6"/>
      <c r="E515" s="6"/>
      <c r="F515" s="6"/>
      <c r="G515" s="6"/>
      <c r="H515" s="5" t="s">
        <v>7095</v>
      </c>
      <c r="I515" s="6" t="s">
        <v>86</v>
      </c>
      <c r="J515" s="7" t="s">
        <v>9092</v>
      </c>
      <c r="K515" s="7" t="s">
        <v>9093</v>
      </c>
      <c r="L515" s="8"/>
      <c r="M515" s="5">
        <v>1753</v>
      </c>
      <c r="N515" s="5" t="s">
        <v>9094</v>
      </c>
      <c r="O515" s="9" t="s">
        <v>9095</v>
      </c>
      <c r="P515" s="10" t="s">
        <v>9096</v>
      </c>
      <c r="Q515" s="389" t="s">
        <v>9097</v>
      </c>
      <c r="R515" s="8" t="s">
        <v>10362</v>
      </c>
      <c r="S515" s="212" t="s">
        <v>12152</v>
      </c>
      <c r="T515" s="8" t="s">
        <v>8156</v>
      </c>
      <c r="U515" s="11" t="s">
        <v>172</v>
      </c>
      <c r="V515" s="12" t="s">
        <v>94</v>
      </c>
      <c r="W515" s="13">
        <v>42214</v>
      </c>
      <c r="X515" s="5" t="str">
        <f t="shared" ca="1" si="19"/>
        <v>11 Th, 1 Bln</v>
      </c>
      <c r="Y515" s="5"/>
      <c r="Z515" s="14"/>
      <c r="AA515" s="5" t="s">
        <v>96</v>
      </c>
      <c r="AB515" s="5" t="s">
        <v>97</v>
      </c>
      <c r="AC515" s="7" t="s">
        <v>9098</v>
      </c>
      <c r="AD515" s="131" t="s">
        <v>2459</v>
      </c>
      <c r="AE515" s="131" t="s">
        <v>2459</v>
      </c>
      <c r="AF515" s="7" t="s">
        <v>9099</v>
      </c>
      <c r="AG515" s="7" t="s">
        <v>9100</v>
      </c>
      <c r="AH515" s="7" t="s">
        <v>141</v>
      </c>
      <c r="AI515" s="7">
        <v>65153</v>
      </c>
      <c r="AJ515" s="7" t="s">
        <v>5047</v>
      </c>
      <c r="AK515" s="7" t="s">
        <v>104</v>
      </c>
      <c r="AL515" s="7">
        <v>6</v>
      </c>
      <c r="AM515" s="15" t="s">
        <v>9101</v>
      </c>
      <c r="AN515" s="15" t="s">
        <v>9101</v>
      </c>
      <c r="AO515" s="8">
        <v>2</v>
      </c>
      <c r="AP515" s="8">
        <v>2</v>
      </c>
      <c r="AQ515" s="8">
        <v>0</v>
      </c>
      <c r="AR515" s="8">
        <v>0</v>
      </c>
      <c r="AS515" s="132">
        <v>113</v>
      </c>
      <c r="AT515" s="131">
        <v>21</v>
      </c>
      <c r="AU515" s="132" t="s">
        <v>111</v>
      </c>
      <c r="AV515" s="16" t="s">
        <v>112</v>
      </c>
      <c r="AW515" s="56" t="s">
        <v>150</v>
      </c>
      <c r="AX515" s="56" t="s">
        <v>7136</v>
      </c>
      <c r="AY515" s="7" t="s">
        <v>9102</v>
      </c>
      <c r="AZ515" s="10" t="s">
        <v>9103</v>
      </c>
      <c r="BA515" s="7" t="s">
        <v>9104</v>
      </c>
      <c r="BB515" s="17">
        <v>31381</v>
      </c>
      <c r="BC515" s="17" t="s">
        <v>7112</v>
      </c>
      <c r="BD515" s="18" t="s">
        <v>9105</v>
      </c>
      <c r="BE515" s="7" t="s">
        <v>118</v>
      </c>
      <c r="BF515" s="7" t="s">
        <v>471</v>
      </c>
      <c r="BG515" s="7" t="s">
        <v>9106</v>
      </c>
      <c r="BH515" s="7" t="s">
        <v>9107</v>
      </c>
      <c r="BI515" s="19" t="s">
        <v>9108</v>
      </c>
      <c r="BJ515" s="20">
        <v>5000000</v>
      </c>
      <c r="BK515" s="21" t="s">
        <v>9109</v>
      </c>
      <c r="BL515" s="7" t="s">
        <v>9110</v>
      </c>
      <c r="BM515" s="22" t="s">
        <v>9111</v>
      </c>
      <c r="BN515" s="8" t="s">
        <v>9112</v>
      </c>
      <c r="BO515" s="17">
        <v>31657</v>
      </c>
      <c r="BP515" s="17" t="s">
        <v>96</v>
      </c>
      <c r="BQ515" s="18" t="s">
        <v>9101</v>
      </c>
      <c r="BR515" s="7" t="s">
        <v>118</v>
      </c>
      <c r="BS515" s="7" t="s">
        <v>471</v>
      </c>
      <c r="BT515" s="7" t="s">
        <v>9113</v>
      </c>
      <c r="BU515" s="8" t="s">
        <v>9114</v>
      </c>
      <c r="BV515" s="23" t="s">
        <v>9115</v>
      </c>
      <c r="BW515" s="24">
        <v>9000000</v>
      </c>
      <c r="BX515" s="21" t="s">
        <v>9116</v>
      </c>
      <c r="BY515" s="21" t="s">
        <v>9117</v>
      </c>
      <c r="BZ515" s="21" t="s">
        <v>7700</v>
      </c>
      <c r="CA515" s="21">
        <v>35544</v>
      </c>
      <c r="CB515" s="21"/>
      <c r="CC515" s="21" t="s">
        <v>9118</v>
      </c>
      <c r="CD515" s="21" t="s">
        <v>216</v>
      </c>
      <c r="CE515" s="21" t="s">
        <v>9119</v>
      </c>
      <c r="CF515" s="21" t="s">
        <v>96</v>
      </c>
      <c r="CG515" s="21" t="s">
        <v>9098</v>
      </c>
      <c r="CH515" s="21" t="s">
        <v>2459</v>
      </c>
      <c r="CI515" s="21" t="s">
        <v>2459</v>
      </c>
      <c r="CJ515" s="21" t="s">
        <v>9099</v>
      </c>
      <c r="CK515" s="21" t="s">
        <v>9100</v>
      </c>
      <c r="CL515" s="21" t="s">
        <v>5047</v>
      </c>
      <c r="CN515" s="25"/>
      <c r="CO515" s="25"/>
      <c r="CP515" s="25"/>
      <c r="CQ515" s="25"/>
      <c r="CR515" s="25"/>
      <c r="CS515" s="26"/>
    </row>
    <row r="516" spans="1:97" s="27" customFormat="1" ht="23.25" customHeight="1">
      <c r="A516" s="4">
        <v>354</v>
      </c>
      <c r="B516" s="6"/>
      <c r="C516" s="6"/>
      <c r="D516" s="6"/>
      <c r="E516" s="6"/>
      <c r="F516" s="6"/>
      <c r="G516" s="6"/>
      <c r="H516" s="5" t="s">
        <v>7095</v>
      </c>
      <c r="I516" s="6" t="s">
        <v>86</v>
      </c>
      <c r="J516" s="7" t="s">
        <v>287</v>
      </c>
      <c r="K516" s="7" t="s">
        <v>7272</v>
      </c>
      <c r="L516" s="8"/>
      <c r="M516" s="5">
        <v>1754</v>
      </c>
      <c r="N516" s="5" t="s">
        <v>7273</v>
      </c>
      <c r="O516" s="9" t="s">
        <v>7274</v>
      </c>
      <c r="P516" s="10" t="s">
        <v>7275</v>
      </c>
      <c r="Q516" s="389" t="s">
        <v>7276</v>
      </c>
      <c r="R516" s="8" t="s">
        <v>10362</v>
      </c>
      <c r="S516" s="212" t="s">
        <v>12152</v>
      </c>
      <c r="T516" s="8" t="s">
        <v>7277</v>
      </c>
      <c r="U516" s="11" t="s">
        <v>172</v>
      </c>
      <c r="V516" s="12" t="s">
        <v>94</v>
      </c>
      <c r="W516" s="13">
        <v>42295</v>
      </c>
      <c r="X516" s="5" t="str">
        <f t="shared" ca="1" si="19"/>
        <v>10 Th, 10 Bln</v>
      </c>
      <c r="Y516" s="5"/>
      <c r="Z516" s="14"/>
      <c r="AA516" s="5" t="s">
        <v>96</v>
      </c>
      <c r="AB516" s="5" t="s">
        <v>97</v>
      </c>
      <c r="AC516" s="7" t="s">
        <v>7278</v>
      </c>
      <c r="AD516" s="131" t="s">
        <v>384</v>
      </c>
      <c r="AE516" s="131" t="s">
        <v>293</v>
      </c>
      <c r="AF516" s="7" t="s">
        <v>7279</v>
      </c>
      <c r="AG516" s="7" t="s">
        <v>7280</v>
      </c>
      <c r="AH516" s="7" t="s">
        <v>141</v>
      </c>
      <c r="AI516" s="7">
        <v>65151</v>
      </c>
      <c r="AJ516" s="7" t="s">
        <v>5047</v>
      </c>
      <c r="AK516" s="7" t="s">
        <v>179</v>
      </c>
      <c r="AL516" s="7" t="s">
        <v>7281</v>
      </c>
      <c r="AM516" s="15" t="s">
        <v>7282</v>
      </c>
      <c r="AN516" s="15" t="s">
        <v>7283</v>
      </c>
      <c r="AO516" s="8">
        <v>3</v>
      </c>
      <c r="AP516" s="8">
        <v>2</v>
      </c>
      <c r="AQ516" s="8">
        <v>0</v>
      </c>
      <c r="AR516" s="8">
        <v>0</v>
      </c>
      <c r="AS516" s="132">
        <v>105</v>
      </c>
      <c r="AT516" s="131" t="s">
        <v>7284</v>
      </c>
      <c r="AU516" s="132" t="s">
        <v>149</v>
      </c>
      <c r="AV516" s="16" t="s">
        <v>112</v>
      </c>
      <c r="AW516" s="56" t="s">
        <v>7285</v>
      </c>
      <c r="AX516" s="56" t="s">
        <v>7108</v>
      </c>
      <c r="AY516" s="7" t="s">
        <v>7286</v>
      </c>
      <c r="AZ516" s="10" t="s">
        <v>7287</v>
      </c>
      <c r="BA516" s="7" t="s">
        <v>5047</v>
      </c>
      <c r="BB516" s="17">
        <v>29817</v>
      </c>
      <c r="BC516" s="17" t="s">
        <v>7112</v>
      </c>
      <c r="BD516" s="18" t="s">
        <v>7288</v>
      </c>
      <c r="BE516" s="7" t="s">
        <v>153</v>
      </c>
      <c r="BF516" s="7" t="s">
        <v>554</v>
      </c>
      <c r="BG516" s="7" t="s">
        <v>7289</v>
      </c>
      <c r="BH516" s="7" t="s">
        <v>7290</v>
      </c>
      <c r="BI516" s="19" t="s">
        <v>7291</v>
      </c>
      <c r="BJ516" s="20">
        <v>8000000</v>
      </c>
      <c r="BK516" s="21" t="s">
        <v>7292</v>
      </c>
      <c r="BL516" s="7" t="s">
        <v>7293</v>
      </c>
      <c r="BM516" s="22" t="s">
        <v>7294</v>
      </c>
      <c r="BN516" s="8" t="s">
        <v>5047</v>
      </c>
      <c r="BO516" s="17">
        <v>29466</v>
      </c>
      <c r="BP516" s="17" t="s">
        <v>96</v>
      </c>
      <c r="BQ516" s="18" t="s">
        <v>7283</v>
      </c>
      <c r="BR516" s="7" t="s">
        <v>118</v>
      </c>
      <c r="BS516" s="7" t="s">
        <v>7263</v>
      </c>
      <c r="BT516" s="7" t="s">
        <v>7295</v>
      </c>
      <c r="BU516" s="8" t="s">
        <v>7296</v>
      </c>
      <c r="BV516" s="23" t="s">
        <v>7297</v>
      </c>
      <c r="BW516" s="24">
        <v>8000000</v>
      </c>
      <c r="BX516" s="21" t="s">
        <v>7298</v>
      </c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N516" s="25"/>
      <c r="CO516" s="25"/>
      <c r="CP516" s="25"/>
      <c r="CQ516" s="25"/>
      <c r="CR516" s="25"/>
      <c r="CS516" s="26"/>
    </row>
    <row r="517" spans="1:97" s="27" customFormat="1" ht="23.25" customHeight="1">
      <c r="A517" s="4">
        <v>408</v>
      </c>
      <c r="B517" s="6"/>
      <c r="C517" s="6"/>
      <c r="D517" s="6"/>
      <c r="E517" s="6"/>
      <c r="F517" s="6"/>
      <c r="G517" s="6"/>
      <c r="H517" s="5" t="s">
        <v>7095</v>
      </c>
      <c r="I517" s="6" t="s">
        <v>86</v>
      </c>
      <c r="J517" s="7" t="s">
        <v>3891</v>
      </c>
      <c r="K517" s="7" t="s">
        <v>609</v>
      </c>
      <c r="L517" s="8"/>
      <c r="M517" s="5">
        <v>1756</v>
      </c>
      <c r="N517" s="5" t="s">
        <v>8509</v>
      </c>
      <c r="O517" s="9" t="s">
        <v>8510</v>
      </c>
      <c r="P517" s="10" t="s">
        <v>8511</v>
      </c>
      <c r="Q517" s="389" t="s">
        <v>8512</v>
      </c>
      <c r="R517" s="8" t="s">
        <v>10362</v>
      </c>
      <c r="S517" s="212" t="s">
        <v>12152</v>
      </c>
      <c r="T517" s="8" t="s">
        <v>8513</v>
      </c>
      <c r="U517" s="11" t="s">
        <v>93</v>
      </c>
      <c r="V517" s="12" t="s">
        <v>94</v>
      </c>
      <c r="W517" s="13">
        <v>42592</v>
      </c>
      <c r="X517" s="5" t="str">
        <f t="shared" ca="1" si="19"/>
        <v>10 Th, 1 Bln</v>
      </c>
      <c r="Y517" s="5"/>
      <c r="Z517" s="14"/>
      <c r="AA517" s="5" t="s">
        <v>96</v>
      </c>
      <c r="AB517" s="5" t="s">
        <v>97</v>
      </c>
      <c r="AC517" s="7" t="s">
        <v>8514</v>
      </c>
      <c r="AD517" s="131" t="s">
        <v>99</v>
      </c>
      <c r="AE517" s="131" t="s">
        <v>99</v>
      </c>
      <c r="AF517" s="7" t="s">
        <v>8515</v>
      </c>
      <c r="AG517" s="7" t="s">
        <v>5046</v>
      </c>
      <c r="AH517" s="7" t="s">
        <v>178</v>
      </c>
      <c r="AI517" s="7">
        <v>65143</v>
      </c>
      <c r="AJ517" s="7" t="s">
        <v>6343</v>
      </c>
      <c r="AK517" s="7" t="s">
        <v>104</v>
      </c>
      <c r="AL517" s="7" t="s">
        <v>7714</v>
      </c>
      <c r="AM517" s="15">
        <v>4359445</v>
      </c>
      <c r="AN517" s="15" t="s">
        <v>8516</v>
      </c>
      <c r="AO517" s="8">
        <v>3</v>
      </c>
      <c r="AP517" s="8">
        <v>2</v>
      </c>
      <c r="AQ517" s="8"/>
      <c r="AR517" s="8"/>
      <c r="AS517" s="132">
        <v>114</v>
      </c>
      <c r="AT517" s="131">
        <v>24</v>
      </c>
      <c r="AU517" s="132" t="s">
        <v>149</v>
      </c>
      <c r="AV517" s="16" t="s">
        <v>112</v>
      </c>
      <c r="AW517" s="56" t="s">
        <v>643</v>
      </c>
      <c r="AX517" s="56" t="s">
        <v>7108</v>
      </c>
      <c r="AY517" s="7" t="s">
        <v>8517</v>
      </c>
      <c r="AZ517" s="10" t="s">
        <v>8518</v>
      </c>
      <c r="BA517" s="7" t="s">
        <v>8519</v>
      </c>
      <c r="BB517" s="17">
        <v>28359</v>
      </c>
      <c r="BC517" s="17" t="s">
        <v>7112</v>
      </c>
      <c r="BD517" s="18" t="s">
        <v>8520</v>
      </c>
      <c r="BE517" s="7" t="s">
        <v>153</v>
      </c>
      <c r="BF517" s="7" t="s">
        <v>471</v>
      </c>
      <c r="BG517" s="7" t="s">
        <v>8521</v>
      </c>
      <c r="BH517" s="7" t="s">
        <v>8522</v>
      </c>
      <c r="BI517" s="19" t="s">
        <v>8523</v>
      </c>
      <c r="BJ517" s="20" t="s">
        <v>8524</v>
      </c>
      <c r="BK517" s="21" t="s">
        <v>8525</v>
      </c>
      <c r="BL517" s="7" t="s">
        <v>8526</v>
      </c>
      <c r="BM517" s="22" t="s">
        <v>8527</v>
      </c>
      <c r="BN517" s="8" t="s">
        <v>5047</v>
      </c>
      <c r="BO517" s="17">
        <v>28317</v>
      </c>
      <c r="BP517" s="17" t="s">
        <v>96</v>
      </c>
      <c r="BQ517" s="18" t="s">
        <v>8516</v>
      </c>
      <c r="BR517" s="7" t="s">
        <v>118</v>
      </c>
      <c r="BS517" s="7" t="s">
        <v>5653</v>
      </c>
      <c r="BT517" s="7" t="s">
        <v>163</v>
      </c>
      <c r="BU517" s="8" t="s">
        <v>163</v>
      </c>
      <c r="BV517" s="23" t="s">
        <v>163</v>
      </c>
      <c r="BW517" s="24" t="s">
        <v>163</v>
      </c>
      <c r="BX517" s="21" t="s">
        <v>8528</v>
      </c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N517" s="25"/>
      <c r="CO517" s="25"/>
      <c r="CP517" s="25"/>
      <c r="CQ517" s="25"/>
      <c r="CR517" s="25"/>
      <c r="CS517" s="26"/>
    </row>
    <row r="518" spans="1:97" s="27" customFormat="1" ht="23.25" customHeight="1">
      <c r="A518" s="4">
        <v>409</v>
      </c>
      <c r="B518" s="6"/>
      <c r="C518" s="6"/>
      <c r="D518" s="6"/>
      <c r="E518" s="6"/>
      <c r="F518" s="6"/>
      <c r="G518" s="6"/>
      <c r="H518" s="5" t="s">
        <v>7095</v>
      </c>
      <c r="I518" s="6" t="s">
        <v>86</v>
      </c>
      <c r="J518" s="7" t="s">
        <v>166</v>
      </c>
      <c r="K518" s="7" t="s">
        <v>8529</v>
      </c>
      <c r="L518" s="8"/>
      <c r="M518" s="5">
        <v>1757</v>
      </c>
      <c r="N518" s="5" t="s">
        <v>8530</v>
      </c>
      <c r="O518" s="9" t="s">
        <v>8531</v>
      </c>
      <c r="P518" s="10" t="s">
        <v>8532</v>
      </c>
      <c r="Q518" s="389" t="s">
        <v>8533</v>
      </c>
      <c r="R518" s="8" t="s">
        <v>10362</v>
      </c>
      <c r="S518" s="212" t="s">
        <v>12152</v>
      </c>
      <c r="T518" s="8" t="s">
        <v>8534</v>
      </c>
      <c r="U518" s="11" t="s">
        <v>172</v>
      </c>
      <c r="V518" s="12" t="s">
        <v>94</v>
      </c>
      <c r="W518" s="13">
        <v>42599</v>
      </c>
      <c r="X518" s="5" t="str">
        <f t="shared" ca="1" si="19"/>
        <v>10 Th, 0 Bln</v>
      </c>
      <c r="Y518" s="5"/>
      <c r="Z518" s="14"/>
      <c r="AA518" s="5" t="s">
        <v>96</v>
      </c>
      <c r="AB518" s="5" t="s">
        <v>97</v>
      </c>
      <c r="AC518" s="7" t="s">
        <v>8535</v>
      </c>
      <c r="AD518" s="131">
        <v>14</v>
      </c>
      <c r="AE518" s="131" t="s">
        <v>207</v>
      </c>
      <c r="AF518" s="7" t="s">
        <v>319</v>
      </c>
      <c r="AG518" s="7" t="s">
        <v>140</v>
      </c>
      <c r="AH518" s="7" t="s">
        <v>141</v>
      </c>
      <c r="AI518" s="7">
        <v>65152</v>
      </c>
      <c r="AJ518" s="7" t="s">
        <v>94</v>
      </c>
      <c r="AK518" s="7" t="s">
        <v>104</v>
      </c>
      <c r="AL518" s="7" t="s">
        <v>688</v>
      </c>
      <c r="AM518" s="15" t="s">
        <v>127</v>
      </c>
      <c r="AN518" s="15" t="s">
        <v>8536</v>
      </c>
      <c r="AO518" s="8">
        <v>2</v>
      </c>
      <c r="AP518" s="8">
        <v>1</v>
      </c>
      <c r="AQ518" s="8" t="s">
        <v>127</v>
      </c>
      <c r="AR518" s="8" t="s">
        <v>127</v>
      </c>
      <c r="AS518" s="132" t="s">
        <v>7421</v>
      </c>
      <c r="AT518" s="131" t="s">
        <v>8537</v>
      </c>
      <c r="AU518" s="132" t="s">
        <v>498</v>
      </c>
      <c r="AV518" s="16" t="s">
        <v>112</v>
      </c>
      <c r="AW518" s="56" t="s">
        <v>150</v>
      </c>
      <c r="AX518" s="56" t="s">
        <v>466</v>
      </c>
      <c r="AY518" s="7" t="s">
        <v>8538</v>
      </c>
      <c r="AZ518" s="10" t="s">
        <v>8539</v>
      </c>
      <c r="BA518" s="7" t="s">
        <v>94</v>
      </c>
      <c r="BB518" s="17">
        <v>30784</v>
      </c>
      <c r="BC518" s="17" t="s">
        <v>96</v>
      </c>
      <c r="BD518" s="18" t="s">
        <v>8536</v>
      </c>
      <c r="BE518" s="7" t="s">
        <v>118</v>
      </c>
      <c r="BF518" s="7" t="s">
        <v>1011</v>
      </c>
      <c r="BG518" s="7" t="s">
        <v>328</v>
      </c>
      <c r="BH518" s="7" t="s">
        <v>8540</v>
      </c>
      <c r="BI518" s="19" t="s">
        <v>506</v>
      </c>
      <c r="BJ518" s="20" t="s">
        <v>1639</v>
      </c>
      <c r="BK518" s="21" t="s">
        <v>8541</v>
      </c>
      <c r="BL518" s="7" t="s">
        <v>8542</v>
      </c>
      <c r="BM518" s="22" t="s">
        <v>8543</v>
      </c>
      <c r="BN518" s="8" t="s">
        <v>94</v>
      </c>
      <c r="BO518" s="17">
        <v>30831</v>
      </c>
      <c r="BP518" s="17" t="s">
        <v>96</v>
      </c>
      <c r="BQ518" s="18" t="s">
        <v>8544</v>
      </c>
      <c r="BR518" s="7" t="s">
        <v>118</v>
      </c>
      <c r="BS518" s="7" t="s">
        <v>503</v>
      </c>
      <c r="BT518" s="7" t="s">
        <v>8545</v>
      </c>
      <c r="BU518" s="8" t="s">
        <v>8546</v>
      </c>
      <c r="BV518" s="23" t="s">
        <v>127</v>
      </c>
      <c r="BW518" s="24" t="s">
        <v>1639</v>
      </c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N518" s="25"/>
      <c r="CO518" s="25"/>
      <c r="CP518" s="25"/>
      <c r="CQ518" s="25"/>
      <c r="CR518" s="25"/>
      <c r="CS518" s="26"/>
    </row>
    <row r="519" spans="1:97" s="27" customFormat="1" ht="23.25" customHeight="1">
      <c r="A519" s="4">
        <v>436</v>
      </c>
      <c r="B519" s="6"/>
      <c r="C519" s="6"/>
      <c r="D519" s="6"/>
      <c r="E519" s="6"/>
      <c r="F519" s="6"/>
      <c r="G519" s="6"/>
      <c r="H519" s="5" t="s">
        <v>7095</v>
      </c>
      <c r="I519" s="6" t="s">
        <v>86</v>
      </c>
      <c r="J519" s="7" t="s">
        <v>9120</v>
      </c>
      <c r="K519" s="7" t="s">
        <v>9121</v>
      </c>
      <c r="L519" s="8"/>
      <c r="M519" s="5">
        <v>1761</v>
      </c>
      <c r="N519" s="5" t="s">
        <v>9122</v>
      </c>
      <c r="O519" s="9" t="s">
        <v>9123</v>
      </c>
      <c r="P519" s="10" t="s">
        <v>9124</v>
      </c>
      <c r="Q519" s="389" t="s">
        <v>9125</v>
      </c>
      <c r="R519" s="8" t="s">
        <v>10362</v>
      </c>
      <c r="S519" s="212" t="s">
        <v>12152</v>
      </c>
      <c r="T519" s="8" t="s">
        <v>9126</v>
      </c>
      <c r="U519" s="11" t="s">
        <v>93</v>
      </c>
      <c r="V519" s="12" t="s">
        <v>94</v>
      </c>
      <c r="W519" s="13">
        <v>42258</v>
      </c>
      <c r="X519" s="5" t="str">
        <f t="shared" ca="1" si="19"/>
        <v>11 Th, 0 Bln</v>
      </c>
      <c r="Y519" s="5"/>
      <c r="Z519" s="14"/>
      <c r="AA519" s="5" t="s">
        <v>96</v>
      </c>
      <c r="AB519" s="5" t="s">
        <v>97</v>
      </c>
      <c r="AC519" s="7" t="s">
        <v>9127</v>
      </c>
      <c r="AD519" s="131" t="s">
        <v>175</v>
      </c>
      <c r="AE519" s="131" t="s">
        <v>175</v>
      </c>
      <c r="AF519" s="7" t="s">
        <v>993</v>
      </c>
      <c r="AG519" s="7" t="s">
        <v>994</v>
      </c>
      <c r="AH519" s="7" t="s">
        <v>141</v>
      </c>
      <c r="AI519" s="7">
        <v>65323</v>
      </c>
      <c r="AJ519" s="7" t="s">
        <v>2024</v>
      </c>
      <c r="AK519" s="7" t="s">
        <v>104</v>
      </c>
      <c r="AL519" s="7" t="s">
        <v>5208</v>
      </c>
      <c r="AM519" s="15" t="s">
        <v>9128</v>
      </c>
      <c r="AN519" s="15" t="s">
        <v>9128</v>
      </c>
      <c r="AO519" s="8">
        <v>1</v>
      </c>
      <c r="AP519" s="8">
        <v>0</v>
      </c>
      <c r="AQ519" s="8">
        <v>0</v>
      </c>
      <c r="AR519" s="8">
        <v>0</v>
      </c>
      <c r="AS519" s="132" t="s">
        <v>9129</v>
      </c>
      <c r="AT519" s="131" t="s">
        <v>9130</v>
      </c>
      <c r="AU519" s="132" t="s">
        <v>498</v>
      </c>
      <c r="AV519" s="16" t="s">
        <v>112</v>
      </c>
      <c r="AW519" s="56" t="s">
        <v>344</v>
      </c>
      <c r="AX519" s="56" t="s">
        <v>9131</v>
      </c>
      <c r="AY519" s="7" t="s">
        <v>9132</v>
      </c>
      <c r="AZ519" s="10" t="s">
        <v>9133</v>
      </c>
      <c r="BA519" s="7" t="s">
        <v>7576</v>
      </c>
      <c r="BB519" s="17">
        <v>33080</v>
      </c>
      <c r="BC519" s="17" t="s">
        <v>96</v>
      </c>
      <c r="BD519" s="18" t="s">
        <v>9134</v>
      </c>
      <c r="BE519" s="7" t="s">
        <v>118</v>
      </c>
      <c r="BF519" s="7" t="s">
        <v>247</v>
      </c>
      <c r="BG519" s="7" t="s">
        <v>9135</v>
      </c>
      <c r="BH519" s="7" t="s">
        <v>9136</v>
      </c>
      <c r="BI519" s="19"/>
      <c r="BJ519" s="20" t="s">
        <v>2700</v>
      </c>
      <c r="BK519" s="21"/>
      <c r="BL519" s="7" t="s">
        <v>9137</v>
      </c>
      <c r="BM519" s="22" t="s">
        <v>9138</v>
      </c>
      <c r="BN519" s="8" t="s">
        <v>9139</v>
      </c>
      <c r="BO519" s="17">
        <v>33656</v>
      </c>
      <c r="BP519" s="17" t="s">
        <v>96</v>
      </c>
      <c r="BQ519" s="18" t="s">
        <v>9128</v>
      </c>
      <c r="BR519" s="7" t="s">
        <v>118</v>
      </c>
      <c r="BS519" s="7" t="s">
        <v>247</v>
      </c>
      <c r="BT519" s="7" t="s">
        <v>9140</v>
      </c>
      <c r="BU519" s="8" t="s">
        <v>9141</v>
      </c>
      <c r="BV519" s="23"/>
      <c r="BW519" s="24" t="s">
        <v>9142</v>
      </c>
      <c r="BX519" s="21" t="s">
        <v>9143</v>
      </c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N519" s="25"/>
      <c r="CO519" s="25"/>
      <c r="CP519" s="25"/>
      <c r="CQ519" s="25"/>
      <c r="CR519" s="25"/>
      <c r="CS519" s="26"/>
    </row>
    <row r="520" spans="1:97" s="27" customFormat="1" ht="23.25" customHeight="1">
      <c r="A520" s="4">
        <v>412</v>
      </c>
      <c r="B520" s="101"/>
      <c r="C520" s="101"/>
      <c r="D520" s="101"/>
      <c r="E520" s="101"/>
      <c r="F520" s="101"/>
      <c r="G520" s="101"/>
      <c r="H520" s="102" t="s">
        <v>8592</v>
      </c>
      <c r="I520" s="101"/>
      <c r="J520" s="103" t="s">
        <v>8593</v>
      </c>
      <c r="K520" s="103" t="s">
        <v>8594</v>
      </c>
      <c r="L520" s="101"/>
      <c r="M520" s="101">
        <v>2079</v>
      </c>
      <c r="N520" s="104" t="s">
        <v>8595</v>
      </c>
      <c r="O520" s="104" t="s">
        <v>8596</v>
      </c>
      <c r="P520" s="105" t="s">
        <v>8597</v>
      </c>
      <c r="Q520" s="109" t="s">
        <v>8598</v>
      </c>
      <c r="R520" s="8" t="s">
        <v>10362</v>
      </c>
      <c r="S520" s="212" t="s">
        <v>12152</v>
      </c>
      <c r="T520" s="101" t="s">
        <v>8599</v>
      </c>
      <c r="U520" s="101" t="s">
        <v>172</v>
      </c>
      <c r="V520" s="101" t="s">
        <v>94</v>
      </c>
      <c r="W520" s="106">
        <v>42161</v>
      </c>
      <c r="X520" s="29" t="str">
        <f t="shared" ca="1" si="19"/>
        <v>11 Th, 3 Bln</v>
      </c>
      <c r="Y520" s="101"/>
      <c r="Z520" s="101" t="s">
        <v>2022</v>
      </c>
      <c r="AA520" s="101" t="s">
        <v>96</v>
      </c>
      <c r="AB520" s="101"/>
      <c r="AC520" s="103" t="s">
        <v>8600</v>
      </c>
      <c r="AD520" s="107">
        <v>7</v>
      </c>
      <c r="AE520" s="101">
        <v>8</v>
      </c>
      <c r="AF520" s="103" t="s">
        <v>4829</v>
      </c>
      <c r="AG520" s="103" t="s">
        <v>4829</v>
      </c>
      <c r="AH520" s="103" t="s">
        <v>142</v>
      </c>
      <c r="AI520" s="107"/>
      <c r="AJ520" s="103" t="s">
        <v>142</v>
      </c>
      <c r="AK520" s="101"/>
      <c r="AL520" s="101"/>
      <c r="AM520" s="108" t="s">
        <v>8601</v>
      </c>
      <c r="AN520" s="108" t="s">
        <v>8601</v>
      </c>
      <c r="AO520" s="101">
        <v>1</v>
      </c>
      <c r="AP520" s="107"/>
      <c r="AQ520" s="107"/>
      <c r="AR520" s="107"/>
      <c r="AS520" s="101">
        <v>20</v>
      </c>
      <c r="AT520" s="101">
        <v>127</v>
      </c>
      <c r="AU520" s="101" t="s">
        <v>182</v>
      </c>
      <c r="AV520" s="101"/>
      <c r="AW520" s="103"/>
      <c r="AX520" s="103"/>
      <c r="AY520" s="103" t="s">
        <v>8602</v>
      </c>
      <c r="AZ520" s="104" t="s">
        <v>8603</v>
      </c>
      <c r="BA520" s="101" t="s">
        <v>94</v>
      </c>
      <c r="BB520" s="109" t="s">
        <v>8604</v>
      </c>
      <c r="BC520" s="109" t="s">
        <v>96</v>
      </c>
      <c r="BD520" s="105" t="s">
        <v>8601</v>
      </c>
      <c r="BE520" s="101"/>
      <c r="BF520" s="103" t="s">
        <v>327</v>
      </c>
      <c r="BG520" s="29" t="s">
        <v>8605</v>
      </c>
      <c r="BH520" s="110" t="s">
        <v>8606</v>
      </c>
      <c r="BI520" s="109"/>
      <c r="BJ520" s="111">
        <v>20000000</v>
      </c>
      <c r="BK520" s="101"/>
      <c r="BL520" s="103" t="s">
        <v>8607</v>
      </c>
      <c r="BM520" s="104" t="s">
        <v>8608</v>
      </c>
      <c r="BN520" s="101" t="s">
        <v>2004</v>
      </c>
      <c r="BO520" s="109" t="s">
        <v>8609</v>
      </c>
      <c r="BP520" s="109"/>
      <c r="BQ520" s="104" t="s">
        <v>8610</v>
      </c>
      <c r="BR520" s="109" t="s">
        <v>118</v>
      </c>
      <c r="BS520" s="101" t="s">
        <v>247</v>
      </c>
      <c r="BT520" s="109" t="s">
        <v>8611</v>
      </c>
      <c r="BU520" s="109" t="s">
        <v>8612</v>
      </c>
      <c r="BV520" s="101"/>
      <c r="BW520" s="112">
        <v>25000000</v>
      </c>
      <c r="BX520" s="113" t="s">
        <v>8613</v>
      </c>
      <c r="BY520" s="101" t="s">
        <v>8614</v>
      </c>
      <c r="BZ520" s="101" t="s">
        <v>94</v>
      </c>
      <c r="CA520" s="106">
        <v>29493</v>
      </c>
      <c r="CB520" s="101" t="s">
        <v>8615</v>
      </c>
      <c r="CC520" s="104" t="s">
        <v>8616</v>
      </c>
      <c r="CD520" s="101" t="s">
        <v>8617</v>
      </c>
      <c r="CE520" s="101"/>
      <c r="CF520" s="101"/>
      <c r="CG520" s="101" t="s">
        <v>8618</v>
      </c>
      <c r="CH520" s="101">
        <v>7</v>
      </c>
      <c r="CI520" s="101">
        <v>6</v>
      </c>
      <c r="CJ520" s="101" t="s">
        <v>8619</v>
      </c>
      <c r="CK520" s="101" t="s">
        <v>410</v>
      </c>
      <c r="CL520" s="101" t="s">
        <v>142</v>
      </c>
      <c r="CN520" s="25"/>
      <c r="CO520" s="25"/>
      <c r="CP520" s="25"/>
      <c r="CQ520" s="25"/>
      <c r="CR520" s="25"/>
      <c r="CS520" s="26"/>
    </row>
    <row r="521" spans="1:97" s="27" customFormat="1" ht="29.25" customHeight="1">
      <c r="A521" s="4">
        <v>438</v>
      </c>
      <c r="B521" s="6"/>
      <c r="C521" s="6"/>
      <c r="D521" s="6"/>
      <c r="E521" s="6"/>
      <c r="F521" s="6"/>
      <c r="G521" s="6"/>
      <c r="H521" s="5" t="s">
        <v>7095</v>
      </c>
      <c r="I521" s="6" t="s">
        <v>86</v>
      </c>
      <c r="J521" s="7" t="s">
        <v>9159</v>
      </c>
      <c r="K521" s="7" t="s">
        <v>9160</v>
      </c>
      <c r="L521" s="8"/>
      <c r="M521" s="5">
        <v>1767</v>
      </c>
      <c r="N521" s="5" t="s">
        <v>9161</v>
      </c>
      <c r="O521" s="9" t="s">
        <v>9162</v>
      </c>
      <c r="P521" s="10" t="s">
        <v>9163</v>
      </c>
      <c r="Q521" s="389" t="s">
        <v>9164</v>
      </c>
      <c r="R521" s="8" t="s">
        <v>10362</v>
      </c>
      <c r="S521" s="212" t="s">
        <v>12152</v>
      </c>
      <c r="T521" s="8" t="s">
        <v>9165</v>
      </c>
      <c r="U521" s="11" t="s">
        <v>93</v>
      </c>
      <c r="V521" s="12" t="s">
        <v>511</v>
      </c>
      <c r="W521" s="13">
        <v>42249</v>
      </c>
      <c r="X521" s="5" t="str">
        <f t="shared" ca="1" si="19"/>
        <v>11 Th, 0 Bln</v>
      </c>
      <c r="Y521" s="5"/>
      <c r="Z521" s="14"/>
      <c r="AA521" s="5" t="s">
        <v>96</v>
      </c>
      <c r="AB521" s="5" t="s">
        <v>97</v>
      </c>
      <c r="AC521" s="7" t="s">
        <v>9166</v>
      </c>
      <c r="AD521" s="131" t="s">
        <v>293</v>
      </c>
      <c r="AE521" s="131" t="s">
        <v>137</v>
      </c>
      <c r="AF521" s="7" t="s">
        <v>2270</v>
      </c>
      <c r="AG521" s="7" t="s">
        <v>140</v>
      </c>
      <c r="AH521" s="7" t="s">
        <v>141</v>
      </c>
      <c r="AI521" s="7">
        <v>65152</v>
      </c>
      <c r="AJ521" s="7" t="s">
        <v>94</v>
      </c>
      <c r="AK521" s="7" t="s">
        <v>104</v>
      </c>
      <c r="AL521" s="7">
        <v>2</v>
      </c>
      <c r="AM521" s="15" t="s">
        <v>9167</v>
      </c>
      <c r="AN521" s="15" t="s">
        <v>9167</v>
      </c>
      <c r="AO521" s="8">
        <v>2</v>
      </c>
      <c r="AP521" s="8">
        <v>1</v>
      </c>
      <c r="AQ521" s="8">
        <v>0</v>
      </c>
      <c r="AR521" s="8">
        <v>0</v>
      </c>
      <c r="AS521" s="132">
        <v>115</v>
      </c>
      <c r="AT521" s="131">
        <v>16</v>
      </c>
      <c r="AU521" s="132" t="s">
        <v>182</v>
      </c>
      <c r="AV521" s="16" t="s">
        <v>112</v>
      </c>
      <c r="AW521" s="56" t="s">
        <v>113</v>
      </c>
      <c r="AX521" s="56" t="s">
        <v>114</v>
      </c>
      <c r="AY521" s="7" t="s">
        <v>9168</v>
      </c>
      <c r="AZ521" s="10" t="s">
        <v>9169</v>
      </c>
      <c r="BA521" s="7" t="s">
        <v>511</v>
      </c>
      <c r="BB521" s="17">
        <v>30344</v>
      </c>
      <c r="BC521" s="17" t="s">
        <v>96</v>
      </c>
      <c r="BD521" s="18" t="s">
        <v>9170</v>
      </c>
      <c r="BE521" s="7" t="s">
        <v>153</v>
      </c>
      <c r="BF521" s="7" t="s">
        <v>9171</v>
      </c>
      <c r="BG521" s="7" t="s">
        <v>9172</v>
      </c>
      <c r="BH521" s="7" t="s">
        <v>9173</v>
      </c>
      <c r="BI521" s="19" t="s">
        <v>9174</v>
      </c>
      <c r="BJ521" s="20" t="s">
        <v>3453</v>
      </c>
      <c r="BK521" s="21" t="s">
        <v>9175</v>
      </c>
      <c r="BL521" s="7" t="s">
        <v>9176</v>
      </c>
      <c r="BM521" s="22" t="s">
        <v>9177</v>
      </c>
      <c r="BN521" s="8" t="s">
        <v>9178</v>
      </c>
      <c r="BO521" s="17">
        <v>30765</v>
      </c>
      <c r="BP521" s="17" t="s">
        <v>96</v>
      </c>
      <c r="BQ521" s="18" t="s">
        <v>9167</v>
      </c>
      <c r="BR521" s="7" t="s">
        <v>118</v>
      </c>
      <c r="BS521" s="7" t="s">
        <v>1571</v>
      </c>
      <c r="BT521" s="7" t="s">
        <v>9179</v>
      </c>
      <c r="BU521" s="8" t="s">
        <v>9180</v>
      </c>
      <c r="BV521" s="23" t="s">
        <v>9181</v>
      </c>
      <c r="BW521" s="24" t="s">
        <v>9182</v>
      </c>
      <c r="BX521" s="21" t="s">
        <v>9183</v>
      </c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N521" s="25"/>
      <c r="CO521" s="25"/>
      <c r="CP521" s="25"/>
      <c r="CQ521" s="25"/>
      <c r="CR521" s="25"/>
      <c r="CS521" s="26"/>
    </row>
    <row r="522" spans="1:97" s="27" customFormat="1" ht="23.25" customHeight="1">
      <c r="A522" s="4">
        <v>439</v>
      </c>
      <c r="B522" s="6"/>
      <c r="C522" s="6"/>
      <c r="D522" s="6"/>
      <c r="E522" s="6"/>
      <c r="F522" s="6"/>
      <c r="G522" s="6"/>
      <c r="H522" s="5" t="s">
        <v>9184</v>
      </c>
      <c r="I522" s="6" t="s">
        <v>4774</v>
      </c>
      <c r="J522" s="7" t="s">
        <v>9185</v>
      </c>
      <c r="K522" s="7" t="s">
        <v>9186</v>
      </c>
      <c r="L522" s="8"/>
      <c r="M522" s="5">
        <v>1824</v>
      </c>
      <c r="N522" s="5" t="s">
        <v>9187</v>
      </c>
      <c r="O522" s="9" t="s">
        <v>9188</v>
      </c>
      <c r="P522" s="10" t="s">
        <v>9189</v>
      </c>
      <c r="Q522" s="389" t="s">
        <v>9190</v>
      </c>
      <c r="R522" s="8" t="s">
        <v>10362</v>
      </c>
      <c r="S522" s="212" t="s">
        <v>12152</v>
      </c>
      <c r="T522" s="8" t="s">
        <v>9191</v>
      </c>
      <c r="U522" s="11" t="s">
        <v>93</v>
      </c>
      <c r="V522" s="12" t="s">
        <v>94</v>
      </c>
      <c r="W522" s="13" t="s">
        <v>9192</v>
      </c>
      <c r="X522" s="5" t="e">
        <f t="shared" ca="1" si="19"/>
        <v>#VALUE!</v>
      </c>
      <c r="Y522" s="5"/>
      <c r="Z522" s="14"/>
      <c r="AA522" s="5" t="s">
        <v>96</v>
      </c>
      <c r="AB522" s="5" t="s">
        <v>97</v>
      </c>
      <c r="AC522" s="7" t="s">
        <v>9193</v>
      </c>
      <c r="AD522" s="131">
        <v>1</v>
      </c>
      <c r="AE522" s="131">
        <v>2</v>
      </c>
      <c r="AF522" s="7" t="s">
        <v>615</v>
      </c>
      <c r="AG522" s="7" t="s">
        <v>178</v>
      </c>
      <c r="AH522" s="7" t="s">
        <v>178</v>
      </c>
      <c r="AI522" s="7">
        <v>65142</v>
      </c>
      <c r="AJ522" s="7" t="s">
        <v>103</v>
      </c>
      <c r="AK522" s="7"/>
      <c r="AL522" s="7"/>
      <c r="AM522" s="15"/>
      <c r="AN522" s="15"/>
      <c r="AO522" s="8">
        <v>2</v>
      </c>
      <c r="AP522" s="8">
        <v>1</v>
      </c>
      <c r="AQ522" s="8"/>
      <c r="AR522" s="8"/>
      <c r="AS522" s="132">
        <v>110</v>
      </c>
      <c r="AT522" s="131">
        <v>14</v>
      </c>
      <c r="AU522" s="132"/>
      <c r="AV522" s="16"/>
      <c r="AW522" s="56" t="s">
        <v>113</v>
      </c>
      <c r="AX522" s="56"/>
      <c r="AY522" s="7" t="s">
        <v>9194</v>
      </c>
      <c r="AZ522" s="10" t="s">
        <v>9195</v>
      </c>
      <c r="BA522" s="7" t="s">
        <v>2279</v>
      </c>
      <c r="BB522" s="17">
        <v>30200</v>
      </c>
      <c r="BC522" s="17" t="s">
        <v>96</v>
      </c>
      <c r="BD522" s="18" t="s">
        <v>9196</v>
      </c>
      <c r="BE522" s="7" t="s">
        <v>118</v>
      </c>
      <c r="BF522" s="7" t="s">
        <v>471</v>
      </c>
      <c r="BG522" s="7" t="s">
        <v>9197</v>
      </c>
      <c r="BH522" s="7" t="s">
        <v>9198</v>
      </c>
      <c r="BI522" s="19"/>
      <c r="BJ522" s="20">
        <v>10000000</v>
      </c>
      <c r="BK522" s="21" t="s">
        <v>9199</v>
      </c>
      <c r="BL522" s="7" t="s">
        <v>9200</v>
      </c>
      <c r="BM522" s="22" t="s">
        <v>9201</v>
      </c>
      <c r="BN522" s="8" t="s">
        <v>94</v>
      </c>
      <c r="BO522" s="17">
        <v>29901</v>
      </c>
      <c r="BP522" s="17" t="s">
        <v>96</v>
      </c>
      <c r="BQ522" s="18" t="s">
        <v>9202</v>
      </c>
      <c r="BR522" s="7" t="s">
        <v>118</v>
      </c>
      <c r="BS522" s="7" t="s">
        <v>471</v>
      </c>
      <c r="BT522" s="7" t="s">
        <v>9203</v>
      </c>
      <c r="BU522" s="8" t="s">
        <v>94</v>
      </c>
      <c r="BV522" s="23"/>
      <c r="BW522" s="24">
        <v>10000000</v>
      </c>
      <c r="BX522" s="21" t="s">
        <v>9204</v>
      </c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N522" s="25"/>
      <c r="CO522" s="25"/>
      <c r="CP522" s="25"/>
      <c r="CQ522" s="25"/>
      <c r="CR522" s="25"/>
      <c r="CS522" s="26"/>
    </row>
    <row r="523" spans="1:97" s="87" customFormat="1" ht="23.25" customHeight="1">
      <c r="A523" s="4">
        <v>361</v>
      </c>
      <c r="B523" s="6"/>
      <c r="C523" s="6"/>
      <c r="D523" s="6"/>
      <c r="E523" s="6"/>
      <c r="F523" s="6"/>
      <c r="G523" s="6"/>
      <c r="H523" s="5" t="s">
        <v>7436</v>
      </c>
      <c r="I523" s="6" t="s">
        <v>4774</v>
      </c>
      <c r="J523" s="7" t="s">
        <v>7437</v>
      </c>
      <c r="K523" s="7" t="s">
        <v>7438</v>
      </c>
      <c r="L523" s="8"/>
      <c r="M523" s="5">
        <v>1825</v>
      </c>
      <c r="N523" s="5" t="s">
        <v>7439</v>
      </c>
      <c r="O523" s="9" t="s">
        <v>7440</v>
      </c>
      <c r="P523" s="10" t="s">
        <v>7441</v>
      </c>
      <c r="Q523" s="389" t="s">
        <v>7442</v>
      </c>
      <c r="R523" s="8" t="s">
        <v>10362</v>
      </c>
      <c r="S523" s="212" t="s">
        <v>12152</v>
      </c>
      <c r="T523" s="8" t="s">
        <v>2909</v>
      </c>
      <c r="U523" s="11" t="s">
        <v>93</v>
      </c>
      <c r="V523" s="12" t="s">
        <v>94</v>
      </c>
      <c r="W523" s="13" t="s">
        <v>7443</v>
      </c>
      <c r="X523" s="5" t="e">
        <f t="shared" ca="1" si="19"/>
        <v>#VALUE!</v>
      </c>
      <c r="Y523" s="5"/>
      <c r="Z523" s="14"/>
      <c r="AA523" s="5" t="s">
        <v>96</v>
      </c>
      <c r="AB523" s="5" t="s">
        <v>97</v>
      </c>
      <c r="AC523" s="7" t="s">
        <v>7444</v>
      </c>
      <c r="AD523" s="131">
        <v>15</v>
      </c>
      <c r="AE523" s="131">
        <v>5</v>
      </c>
      <c r="AF523" s="7" t="s">
        <v>4569</v>
      </c>
      <c r="AG523" s="7" t="s">
        <v>140</v>
      </c>
      <c r="AH523" s="7" t="s">
        <v>141</v>
      </c>
      <c r="AI523" s="7">
        <v>65152</v>
      </c>
      <c r="AJ523" s="7" t="s">
        <v>142</v>
      </c>
      <c r="AK523" s="7"/>
      <c r="AL523" s="7"/>
      <c r="AM523" s="15"/>
      <c r="AN523" s="15">
        <v>87751660805</v>
      </c>
      <c r="AO523" s="8">
        <v>1</v>
      </c>
      <c r="AP523" s="8"/>
      <c r="AQ523" s="8"/>
      <c r="AR523" s="8"/>
      <c r="AS523" s="132">
        <v>125</v>
      </c>
      <c r="AT523" s="131">
        <v>28</v>
      </c>
      <c r="AU523" s="132"/>
      <c r="AV523" s="16"/>
      <c r="AW523" s="56"/>
      <c r="AX523" s="56"/>
      <c r="AY523" s="7" t="s">
        <v>7445</v>
      </c>
      <c r="AZ523" s="10" t="s">
        <v>7446</v>
      </c>
      <c r="BA523" s="7" t="s">
        <v>94</v>
      </c>
      <c r="BB523" s="17" t="s">
        <v>7447</v>
      </c>
      <c r="BC523" s="17"/>
      <c r="BD523" s="18" t="s">
        <v>7448</v>
      </c>
      <c r="BE523" s="7" t="s">
        <v>2193</v>
      </c>
      <c r="BF523" s="7" t="s">
        <v>327</v>
      </c>
      <c r="BG523" s="7"/>
      <c r="BH523" s="7"/>
      <c r="BI523" s="19"/>
      <c r="BJ523" s="20" t="s">
        <v>7449</v>
      </c>
      <c r="BK523" s="21" t="s">
        <v>7450</v>
      </c>
      <c r="BL523" s="7" t="s">
        <v>7451</v>
      </c>
      <c r="BM523" s="22"/>
      <c r="BN523" s="8" t="s">
        <v>94</v>
      </c>
      <c r="BO523" s="17" t="s">
        <v>7452</v>
      </c>
      <c r="BP523" s="17"/>
      <c r="BQ523" s="18" t="s">
        <v>7448</v>
      </c>
      <c r="BR523" s="7" t="s">
        <v>2193</v>
      </c>
      <c r="BS523" s="7"/>
      <c r="BT523" s="7"/>
      <c r="BU523" s="8"/>
      <c r="BV523" s="23"/>
      <c r="BW523" s="24"/>
      <c r="BX523" s="21"/>
      <c r="BY523" s="21" t="s">
        <v>7453</v>
      </c>
      <c r="BZ523" s="21" t="s">
        <v>94</v>
      </c>
      <c r="CA523" s="21" t="s">
        <v>7454</v>
      </c>
      <c r="CB523" s="21" t="s">
        <v>7455</v>
      </c>
      <c r="CC523" s="21" t="s">
        <v>7448</v>
      </c>
      <c r="CD523" s="21" t="s">
        <v>7456</v>
      </c>
      <c r="CE523" s="21" t="s">
        <v>1731</v>
      </c>
      <c r="CF523" s="21" t="s">
        <v>96</v>
      </c>
      <c r="CG523" s="21" t="s">
        <v>7444</v>
      </c>
      <c r="CH523" s="21">
        <v>15</v>
      </c>
      <c r="CI523" s="21">
        <v>5</v>
      </c>
      <c r="CJ523" s="21" t="s">
        <v>4569</v>
      </c>
      <c r="CK523" s="21" t="s">
        <v>140</v>
      </c>
      <c r="CL523" s="21" t="s">
        <v>142</v>
      </c>
      <c r="CN523" s="85"/>
      <c r="CO523" s="85"/>
      <c r="CP523" s="85"/>
      <c r="CQ523" s="85"/>
      <c r="CR523" s="85"/>
      <c r="CS523" s="86"/>
    </row>
    <row r="524" spans="1:97" s="27" customFormat="1" ht="23.25" customHeight="1">
      <c r="A524" s="4">
        <v>362</v>
      </c>
      <c r="B524" s="61"/>
      <c r="C524" s="61"/>
      <c r="D524" s="61"/>
      <c r="E524" s="61"/>
      <c r="F524" s="61"/>
      <c r="G524" s="61"/>
      <c r="H524" s="62" t="s">
        <v>7457</v>
      </c>
      <c r="I524" s="61" t="s">
        <v>4774</v>
      </c>
      <c r="J524" s="63" t="s">
        <v>7458</v>
      </c>
      <c r="K524" s="63" t="s">
        <v>7459</v>
      </c>
      <c r="L524" s="64"/>
      <c r="M524" s="62">
        <v>2070</v>
      </c>
      <c r="N524" s="62">
        <v>3169460849</v>
      </c>
      <c r="O524" s="65" t="s">
        <v>7460</v>
      </c>
      <c r="P524" s="66" t="s">
        <v>7461</v>
      </c>
      <c r="Q524" s="391" t="s">
        <v>7462</v>
      </c>
      <c r="R524" s="8" t="s">
        <v>10362</v>
      </c>
      <c r="S524" s="212" t="s">
        <v>12152</v>
      </c>
      <c r="T524" s="64" t="s">
        <v>7463</v>
      </c>
      <c r="U524" s="67" t="s">
        <v>93</v>
      </c>
      <c r="V524" s="68" t="s">
        <v>7464</v>
      </c>
      <c r="W524" s="69" t="s">
        <v>7465</v>
      </c>
      <c r="X524" s="62" t="str">
        <f ca="1">""&amp;DATEDIF(Z524,TODAY(),"y")&amp;" Th, "&amp;DATEDIF(Z524,TODAY(),"ym")&amp;" Bln"</f>
        <v>10 Th, 6 Bln</v>
      </c>
      <c r="Y524" s="62"/>
      <c r="Z524" s="14">
        <v>42422</v>
      </c>
      <c r="AA524" s="62" t="s">
        <v>96</v>
      </c>
      <c r="AB524" s="62"/>
      <c r="AC524" s="70" t="s">
        <v>7466</v>
      </c>
      <c r="AD524" s="133">
        <v>3</v>
      </c>
      <c r="AE524" s="64">
        <v>1</v>
      </c>
      <c r="AF524" s="63" t="s">
        <v>7467</v>
      </c>
      <c r="AG524" s="63" t="s">
        <v>7468</v>
      </c>
      <c r="AH524" s="63" t="s">
        <v>141</v>
      </c>
      <c r="AI524" s="63">
        <v>15422</v>
      </c>
      <c r="AJ524" s="63" t="s">
        <v>7469</v>
      </c>
      <c r="AK524" s="63" t="s">
        <v>104</v>
      </c>
      <c r="AL524" s="71"/>
      <c r="AM524" s="71"/>
      <c r="AN524" s="72" t="s">
        <v>7470</v>
      </c>
      <c r="AO524" s="64">
        <v>2</v>
      </c>
      <c r="AP524" s="64">
        <v>1</v>
      </c>
      <c r="AQ524" s="64">
        <v>0</v>
      </c>
      <c r="AR524" s="134">
        <v>0</v>
      </c>
      <c r="AS524" s="133">
        <v>23</v>
      </c>
      <c r="AT524" s="134">
        <v>123</v>
      </c>
      <c r="AU524" s="134"/>
      <c r="AV524" s="73"/>
      <c r="AW524" s="135"/>
      <c r="AX524" s="63" t="s">
        <v>114</v>
      </c>
      <c r="AY524" s="74" t="s">
        <v>7471</v>
      </c>
      <c r="AZ524" s="63" t="s">
        <v>7472</v>
      </c>
      <c r="BA524" s="75" t="s">
        <v>7473</v>
      </c>
      <c r="BB524" s="75" t="s">
        <v>7474</v>
      </c>
      <c r="BC524" s="76" t="s">
        <v>96</v>
      </c>
      <c r="BD524" s="77" t="s">
        <v>7475</v>
      </c>
      <c r="BE524" s="63" t="s">
        <v>7476</v>
      </c>
      <c r="BF524" s="63" t="s">
        <v>7477</v>
      </c>
      <c r="BG524" s="63" t="s">
        <v>7478</v>
      </c>
      <c r="BH524" s="78" t="s">
        <v>7479</v>
      </c>
      <c r="BI524" s="79" t="s">
        <v>7480</v>
      </c>
      <c r="BJ524" s="80">
        <v>19000000</v>
      </c>
      <c r="BK524" s="81" t="s">
        <v>7481</v>
      </c>
      <c r="BL524" s="82" t="s">
        <v>7482</v>
      </c>
      <c r="BM524" s="77" t="s">
        <v>7483</v>
      </c>
      <c r="BN524" s="145" t="s">
        <v>94</v>
      </c>
      <c r="BO524" s="75" t="s">
        <v>7484</v>
      </c>
      <c r="BP524" s="76" t="s">
        <v>96</v>
      </c>
      <c r="BQ524" s="77" t="s">
        <v>7470</v>
      </c>
      <c r="BR524" s="63" t="s">
        <v>7476</v>
      </c>
      <c r="BS524" s="63" t="s">
        <v>7477</v>
      </c>
      <c r="BT524" s="64" t="s">
        <v>7485</v>
      </c>
      <c r="BU524" s="64" t="s">
        <v>7486</v>
      </c>
      <c r="BV524" s="79" t="s">
        <v>7487</v>
      </c>
      <c r="BW524" s="83">
        <v>19000000</v>
      </c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4"/>
      <c r="CN524" s="25"/>
      <c r="CO524" s="25"/>
      <c r="CP524" s="25"/>
      <c r="CQ524" s="25"/>
      <c r="CR524" s="25"/>
      <c r="CS524" s="26"/>
    </row>
    <row r="525" spans="1:97" s="27" customFormat="1" ht="23.25" customHeight="1">
      <c r="A525" s="180">
        <v>386</v>
      </c>
      <c r="B525" s="181"/>
      <c r="C525" s="181"/>
      <c r="D525" s="181"/>
      <c r="E525" s="181"/>
      <c r="F525" s="181"/>
      <c r="G525" s="181"/>
      <c r="H525" s="99" t="s">
        <v>7095</v>
      </c>
      <c r="I525" s="181" t="s">
        <v>86</v>
      </c>
      <c r="J525" s="182" t="s">
        <v>7999</v>
      </c>
      <c r="K525" s="182" t="s">
        <v>8000</v>
      </c>
      <c r="L525" s="183"/>
      <c r="M525" s="99">
        <v>1776</v>
      </c>
      <c r="N525" s="99" t="s">
        <v>8001</v>
      </c>
      <c r="O525" s="230" t="s">
        <v>8002</v>
      </c>
      <c r="P525" s="184" t="s">
        <v>8003</v>
      </c>
      <c r="Q525" s="393" t="s">
        <v>8004</v>
      </c>
      <c r="R525" s="8" t="s">
        <v>10362</v>
      </c>
      <c r="S525" s="212" t="s">
        <v>12152</v>
      </c>
      <c r="T525" s="183" t="s">
        <v>4859</v>
      </c>
      <c r="U525" s="185" t="s">
        <v>172</v>
      </c>
      <c r="V525" s="186" t="s">
        <v>94</v>
      </c>
      <c r="W525" s="187">
        <v>42436</v>
      </c>
      <c r="X525" s="99" t="str">
        <f ca="1">""&amp;DATEDIF(W525,TODAY(),"y")&amp;" Th, "&amp;DATEDIF(W525,TODAY(),"ym")&amp;" Bln"</f>
        <v>10 Th, 6 Bln</v>
      </c>
      <c r="Y525" s="99"/>
      <c r="Z525" s="188"/>
      <c r="AA525" s="99" t="s">
        <v>96</v>
      </c>
      <c r="AB525" s="99" t="s">
        <v>97</v>
      </c>
      <c r="AC525" s="182" t="s">
        <v>8005</v>
      </c>
      <c r="AD525" s="189" t="s">
        <v>293</v>
      </c>
      <c r="AE525" s="189" t="s">
        <v>546</v>
      </c>
      <c r="AF525" s="182" t="s">
        <v>7781</v>
      </c>
      <c r="AG525" s="182" t="s">
        <v>7496</v>
      </c>
      <c r="AH525" s="182" t="s">
        <v>141</v>
      </c>
      <c r="AI525" s="182">
        <v>65152</v>
      </c>
      <c r="AJ525" s="182" t="s">
        <v>7782</v>
      </c>
      <c r="AK525" s="182" t="s">
        <v>179</v>
      </c>
      <c r="AL525" s="182" t="s">
        <v>8006</v>
      </c>
      <c r="AM525" s="190" t="s">
        <v>8007</v>
      </c>
      <c r="AN525" s="190" t="s">
        <v>8007</v>
      </c>
      <c r="AO525" s="183">
        <v>1</v>
      </c>
      <c r="AP525" s="183">
        <v>0</v>
      </c>
      <c r="AQ525" s="183">
        <v>0</v>
      </c>
      <c r="AR525" s="183">
        <v>0</v>
      </c>
      <c r="AS525" s="191">
        <v>119</v>
      </c>
      <c r="AT525" s="189">
        <v>23</v>
      </c>
      <c r="AU525" s="191" t="s">
        <v>182</v>
      </c>
      <c r="AV525" s="192" t="s">
        <v>112</v>
      </c>
      <c r="AW525" s="193" t="s">
        <v>549</v>
      </c>
      <c r="AX525" s="193" t="s">
        <v>8008</v>
      </c>
      <c r="AY525" s="182" t="s">
        <v>8009</v>
      </c>
      <c r="AZ525" s="184" t="s">
        <v>8010</v>
      </c>
      <c r="BA525" s="182" t="s">
        <v>8011</v>
      </c>
      <c r="BB525" s="195">
        <v>31006</v>
      </c>
      <c r="BC525" s="195" t="s">
        <v>7112</v>
      </c>
      <c r="BD525" s="196" t="s">
        <v>8012</v>
      </c>
      <c r="BE525" s="182" t="s">
        <v>118</v>
      </c>
      <c r="BF525" s="182" t="s">
        <v>5043</v>
      </c>
      <c r="BG525" s="182" t="s">
        <v>7983</v>
      </c>
      <c r="BH525" s="182" t="s">
        <v>8013</v>
      </c>
      <c r="BI525" s="197" t="s">
        <v>182</v>
      </c>
      <c r="BJ525" s="198" t="s">
        <v>8014</v>
      </c>
      <c r="BK525" s="199" t="s">
        <v>8015</v>
      </c>
      <c r="BL525" s="182" t="s">
        <v>8016</v>
      </c>
      <c r="BM525" s="200" t="s">
        <v>8017</v>
      </c>
      <c r="BN525" s="183" t="s">
        <v>5047</v>
      </c>
      <c r="BO525" s="195">
        <v>30430</v>
      </c>
      <c r="BP525" s="195" t="s">
        <v>96</v>
      </c>
      <c r="BQ525" s="196" t="s">
        <v>8007</v>
      </c>
      <c r="BR525" s="182" t="s">
        <v>118</v>
      </c>
      <c r="BS525" s="182" t="s">
        <v>5653</v>
      </c>
      <c r="BT525" s="182" t="s">
        <v>7983</v>
      </c>
      <c r="BU525" s="183" t="s">
        <v>8013</v>
      </c>
      <c r="BV525" s="202"/>
      <c r="BW525" s="203">
        <v>0</v>
      </c>
      <c r="BX525" s="199"/>
      <c r="BY525" s="199"/>
      <c r="BZ525" s="199"/>
      <c r="CA525" s="199"/>
      <c r="CB525" s="199"/>
      <c r="CC525" s="199"/>
      <c r="CD525" s="199"/>
      <c r="CE525" s="199"/>
      <c r="CF525" s="199"/>
      <c r="CG525" s="199"/>
      <c r="CH525" s="199"/>
      <c r="CI525" s="199"/>
      <c r="CJ525" s="199"/>
      <c r="CK525" s="199"/>
      <c r="CL525" s="199"/>
      <c r="CN525" s="25"/>
      <c r="CO525" s="25"/>
      <c r="CP525" s="25"/>
      <c r="CQ525" s="25"/>
      <c r="CR525" s="25"/>
      <c r="CS525" s="26"/>
    </row>
    <row r="526" spans="1:97" s="291" customFormat="1" ht="20.25" customHeight="1">
      <c r="H526" s="305">
        <v>46192</v>
      </c>
      <c r="I526" s="291" t="s">
        <v>4774</v>
      </c>
      <c r="J526" s="291" t="s">
        <v>13283</v>
      </c>
      <c r="K526" s="292" t="s">
        <v>13284</v>
      </c>
      <c r="M526" s="288">
        <v>2327</v>
      </c>
      <c r="N526" s="288">
        <v>3154736697</v>
      </c>
      <c r="O526" s="301" t="s">
        <v>13285</v>
      </c>
      <c r="P526" s="301" t="s">
        <v>13286</v>
      </c>
      <c r="Q526" s="395" t="s">
        <v>12137</v>
      </c>
      <c r="R526" s="48" t="s">
        <v>10362</v>
      </c>
      <c r="S526" s="300" t="s">
        <v>12152</v>
      </c>
      <c r="T526" s="288" t="s">
        <v>13287</v>
      </c>
      <c r="U526" s="288" t="s">
        <v>172</v>
      </c>
      <c r="V526" s="288" t="s">
        <v>13288</v>
      </c>
      <c r="W526" s="304">
        <v>42343</v>
      </c>
      <c r="X526" s="288" t="str">
        <f ca="1">""&amp;DATEDIF(W526,TODAY(),"y")&amp;" Th, "&amp;DATEDIF(W526,TODAY(),"ym")&amp;" Bln"</f>
        <v>10 Th, 9 Bln</v>
      </c>
      <c r="Y526" s="288"/>
      <c r="Z526" s="288"/>
      <c r="AA526" s="288" t="s">
        <v>96</v>
      </c>
      <c r="AB526" s="288"/>
      <c r="AC526" s="291" t="s">
        <v>13289</v>
      </c>
      <c r="AD526" s="288"/>
      <c r="AE526" s="288"/>
      <c r="AF526" s="291" t="s">
        <v>295</v>
      </c>
      <c r="AG526" s="291" t="s">
        <v>178</v>
      </c>
      <c r="AH526" s="291" t="s">
        <v>178</v>
      </c>
      <c r="AJ526" s="291" t="s">
        <v>103</v>
      </c>
      <c r="AO526" s="288"/>
      <c r="AP526" s="288"/>
      <c r="AQ526" s="288"/>
      <c r="AR526" s="288"/>
      <c r="AS526" s="288"/>
      <c r="AT526" s="288"/>
      <c r="AU526" s="288"/>
      <c r="AW526" s="292"/>
      <c r="AX526" s="63" t="s">
        <v>114</v>
      </c>
      <c r="AY526" s="292" t="s">
        <v>13290</v>
      </c>
      <c r="AZ526" s="302" t="s">
        <v>13291</v>
      </c>
      <c r="BA526" s="291" t="s">
        <v>4399</v>
      </c>
      <c r="BB526" s="289">
        <v>31493</v>
      </c>
      <c r="BD526" s="302" t="s">
        <v>13292</v>
      </c>
      <c r="BE526" s="7" t="s">
        <v>216</v>
      </c>
      <c r="BF526" s="291" t="s">
        <v>276</v>
      </c>
      <c r="BG526" s="291" t="s">
        <v>13293</v>
      </c>
      <c r="BH526" s="291" t="s">
        <v>13294</v>
      </c>
      <c r="BI526" s="291" t="s">
        <v>13295</v>
      </c>
      <c r="BJ526" s="291" t="s">
        <v>13296</v>
      </c>
      <c r="BL526" s="293" t="s">
        <v>13297</v>
      </c>
      <c r="BM526" s="302" t="s">
        <v>13298</v>
      </c>
      <c r="BN526" s="288" t="s">
        <v>4399</v>
      </c>
      <c r="BO526" s="294">
        <v>32017</v>
      </c>
      <c r="BQ526" s="296" t="s">
        <v>13299</v>
      </c>
      <c r="BR526" s="291" t="s">
        <v>118</v>
      </c>
      <c r="BS526" s="336" t="s">
        <v>5653</v>
      </c>
    </row>
    <row r="527" spans="1:97" s="27" customFormat="1" ht="23.25" customHeight="1">
      <c r="A527" s="4">
        <v>417</v>
      </c>
      <c r="B527" s="6"/>
      <c r="C527" s="6"/>
      <c r="D527" s="6"/>
      <c r="E527" s="6"/>
      <c r="F527" s="6"/>
      <c r="G527" s="6"/>
      <c r="H527" s="5" t="s">
        <v>7095</v>
      </c>
      <c r="I527" s="6" t="s">
        <v>86</v>
      </c>
      <c r="J527" s="7" t="s">
        <v>402</v>
      </c>
      <c r="K527" s="7" t="s">
        <v>8718</v>
      </c>
      <c r="L527" s="8"/>
      <c r="M527" s="5">
        <v>1783</v>
      </c>
      <c r="N527" s="5" t="s">
        <v>8719</v>
      </c>
      <c r="O527" s="9" t="s">
        <v>8720</v>
      </c>
      <c r="P527" s="10" t="s">
        <v>8721</v>
      </c>
      <c r="Q527" s="389" t="s">
        <v>8722</v>
      </c>
      <c r="R527" s="8" t="s">
        <v>10362</v>
      </c>
      <c r="S527" s="212" t="s">
        <v>12152</v>
      </c>
      <c r="T527" s="8" t="s">
        <v>8723</v>
      </c>
      <c r="U527" s="11" t="s">
        <v>172</v>
      </c>
      <c r="V527" s="12" t="s">
        <v>94</v>
      </c>
      <c r="W527" s="13">
        <v>42528</v>
      </c>
      <c r="X527" s="5" t="str">
        <f t="shared" ref="X527:X544" ca="1" si="20">""&amp;DATEDIF(W527,TODAY(),"y")&amp;" Th, "&amp;DATEDIF(W527,TODAY(),"ym")&amp;" Bln"</f>
        <v>10 Th, 3 Bln</v>
      </c>
      <c r="Y527" s="5"/>
      <c r="Z527" s="14"/>
      <c r="AA527" s="5" t="s">
        <v>96</v>
      </c>
      <c r="AB527" s="5" t="s">
        <v>97</v>
      </c>
      <c r="AC527" s="7" t="s">
        <v>8724</v>
      </c>
      <c r="AD527" s="131" t="s">
        <v>99</v>
      </c>
      <c r="AE527" s="131" t="s">
        <v>384</v>
      </c>
      <c r="AF527" s="7" t="s">
        <v>7212</v>
      </c>
      <c r="AG527" s="7" t="s">
        <v>5046</v>
      </c>
      <c r="AH527" s="7" t="s">
        <v>178</v>
      </c>
      <c r="AI527" s="7">
        <v>65158</v>
      </c>
      <c r="AJ527" s="7" t="s">
        <v>5047</v>
      </c>
      <c r="AK527" s="7" t="s">
        <v>104</v>
      </c>
      <c r="AL527" s="7" t="s">
        <v>5030</v>
      </c>
      <c r="AM527" s="15" t="s">
        <v>3648</v>
      </c>
      <c r="AN527" s="15" t="s">
        <v>3648</v>
      </c>
      <c r="AO527" s="8">
        <v>2</v>
      </c>
      <c r="AP527" s="8">
        <v>3</v>
      </c>
      <c r="AQ527" s="8"/>
      <c r="AR527" s="8"/>
      <c r="AS527" s="132">
        <v>130</v>
      </c>
      <c r="AT527" s="131">
        <v>28</v>
      </c>
      <c r="AU527" s="132" t="s">
        <v>149</v>
      </c>
      <c r="AV527" s="16" t="s">
        <v>112</v>
      </c>
      <c r="AW527" s="56" t="s">
        <v>549</v>
      </c>
      <c r="AX527" s="56" t="s">
        <v>8725</v>
      </c>
      <c r="AY527" s="7" t="s">
        <v>8726</v>
      </c>
      <c r="AZ527" s="10" t="s">
        <v>8727</v>
      </c>
      <c r="BA527" s="7" t="s">
        <v>6306</v>
      </c>
      <c r="BB527" s="17">
        <v>29833</v>
      </c>
      <c r="BC527" s="17" t="s">
        <v>7112</v>
      </c>
      <c r="BD527" s="18" t="s">
        <v>3651</v>
      </c>
      <c r="BE527" s="7" t="s">
        <v>153</v>
      </c>
      <c r="BF527" s="7" t="s">
        <v>8728</v>
      </c>
      <c r="BG527" s="7" t="s">
        <v>8729</v>
      </c>
      <c r="BH527" s="7" t="s">
        <v>8730</v>
      </c>
      <c r="BI527" s="19"/>
      <c r="BJ527" s="20">
        <v>4000000</v>
      </c>
      <c r="BK527" s="21"/>
      <c r="BL527" s="7" t="s">
        <v>8731</v>
      </c>
      <c r="BM527" s="22" t="s">
        <v>3656</v>
      </c>
      <c r="BN527" s="8" t="s">
        <v>5047</v>
      </c>
      <c r="BO527" s="17">
        <v>30597</v>
      </c>
      <c r="BP527" s="17" t="s">
        <v>96</v>
      </c>
      <c r="BQ527" s="18" t="s">
        <v>3648</v>
      </c>
      <c r="BR527" s="7" t="s">
        <v>118</v>
      </c>
      <c r="BS527" s="7" t="s">
        <v>8732</v>
      </c>
      <c r="BT527" s="7" t="s">
        <v>8733</v>
      </c>
      <c r="BU527" s="8" t="s">
        <v>8734</v>
      </c>
      <c r="BV527" s="23"/>
      <c r="BW527" s="24">
        <v>3000000</v>
      </c>
      <c r="BX527" s="21" t="s">
        <v>3654</v>
      </c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N527" s="25"/>
      <c r="CO527" s="25"/>
      <c r="CP527" s="25"/>
      <c r="CQ527" s="25"/>
      <c r="CR527" s="25"/>
      <c r="CS527" s="26"/>
    </row>
    <row r="528" spans="1:97" s="27" customFormat="1" ht="23.25" customHeight="1">
      <c r="A528" s="4">
        <v>390</v>
      </c>
      <c r="B528" s="6"/>
      <c r="C528" s="6"/>
      <c r="D528" s="6"/>
      <c r="E528" s="6"/>
      <c r="F528" s="6"/>
      <c r="G528" s="6"/>
      <c r="H528" s="5" t="s">
        <v>7095</v>
      </c>
      <c r="I528" s="6" t="s">
        <v>86</v>
      </c>
      <c r="J528" s="7" t="s">
        <v>4325</v>
      </c>
      <c r="K528" s="7" t="s">
        <v>4326</v>
      </c>
      <c r="L528" s="8"/>
      <c r="M528" s="5">
        <v>1787</v>
      </c>
      <c r="N528" s="5" t="s">
        <v>8096</v>
      </c>
      <c r="O528" s="9" t="s">
        <v>8097</v>
      </c>
      <c r="P528" s="10" t="s">
        <v>8098</v>
      </c>
      <c r="Q528" s="389" t="s">
        <v>8099</v>
      </c>
      <c r="R528" s="8" t="s">
        <v>10362</v>
      </c>
      <c r="S528" s="212" t="s">
        <v>12152</v>
      </c>
      <c r="T528" s="8" t="s">
        <v>2198</v>
      </c>
      <c r="U528" s="11" t="s">
        <v>172</v>
      </c>
      <c r="V528" s="12" t="s">
        <v>94</v>
      </c>
      <c r="W528" s="13">
        <v>42436</v>
      </c>
      <c r="X528" s="5" t="str">
        <f t="shared" ca="1" si="20"/>
        <v>10 Th, 6 Bln</v>
      </c>
      <c r="Y528" s="5"/>
      <c r="Z528" s="14"/>
      <c r="AA528" s="5" t="s">
        <v>96</v>
      </c>
      <c r="AB528" s="5" t="s">
        <v>97</v>
      </c>
      <c r="AC528" s="7" t="s">
        <v>8100</v>
      </c>
      <c r="AD528" s="131" t="s">
        <v>207</v>
      </c>
      <c r="AE528" s="131" t="s">
        <v>99</v>
      </c>
      <c r="AF528" s="7" t="s">
        <v>942</v>
      </c>
      <c r="AG528" s="7" t="s">
        <v>178</v>
      </c>
      <c r="AH528" s="7" t="s">
        <v>178</v>
      </c>
      <c r="AI528" s="7">
        <v>65143</v>
      </c>
      <c r="AJ528" s="7" t="s">
        <v>94</v>
      </c>
      <c r="AK528" s="7" t="s">
        <v>179</v>
      </c>
      <c r="AL528" s="7" t="s">
        <v>461</v>
      </c>
      <c r="AM528" s="15" t="s">
        <v>127</v>
      </c>
      <c r="AN528" s="15" t="s">
        <v>4340</v>
      </c>
      <c r="AO528" s="8">
        <v>3</v>
      </c>
      <c r="AP528" s="8">
        <v>3</v>
      </c>
      <c r="AQ528" s="8" t="s">
        <v>127</v>
      </c>
      <c r="AR528" s="8" t="s">
        <v>127</v>
      </c>
      <c r="AS528" s="132">
        <v>110</v>
      </c>
      <c r="AT528" s="131">
        <v>28</v>
      </c>
      <c r="AU528" s="132" t="s">
        <v>149</v>
      </c>
      <c r="AV528" s="16" t="s">
        <v>112</v>
      </c>
      <c r="AW528" s="56" t="s">
        <v>150</v>
      </c>
      <c r="AX528" s="56" t="s">
        <v>2291</v>
      </c>
      <c r="AY528" s="7" t="s">
        <v>8101</v>
      </c>
      <c r="AZ528" s="10" t="s">
        <v>4334</v>
      </c>
      <c r="BA528" s="7" t="s">
        <v>603</v>
      </c>
      <c r="BB528" s="17">
        <v>30405</v>
      </c>
      <c r="BC528" s="17" t="s">
        <v>96</v>
      </c>
      <c r="BD528" s="18" t="s">
        <v>4331</v>
      </c>
      <c r="BE528" s="7" t="s">
        <v>118</v>
      </c>
      <c r="BF528" s="7" t="s">
        <v>276</v>
      </c>
      <c r="BG528" s="7" t="s">
        <v>8102</v>
      </c>
      <c r="BH528" s="7" t="s">
        <v>395</v>
      </c>
      <c r="BI528" s="19"/>
      <c r="BJ528" s="20" t="s">
        <v>8014</v>
      </c>
      <c r="BK528" s="21" t="s">
        <v>8103</v>
      </c>
      <c r="BL528" s="7" t="s">
        <v>8104</v>
      </c>
      <c r="BM528" s="22" t="s">
        <v>4339</v>
      </c>
      <c r="BN528" s="8" t="s">
        <v>94</v>
      </c>
      <c r="BO528" s="17">
        <v>30150</v>
      </c>
      <c r="BP528" s="17" t="s">
        <v>96</v>
      </c>
      <c r="BQ528" s="18" t="s">
        <v>4340</v>
      </c>
      <c r="BR528" s="7" t="s">
        <v>118</v>
      </c>
      <c r="BS528" s="7" t="s">
        <v>126</v>
      </c>
      <c r="BT528" s="7" t="s">
        <v>345</v>
      </c>
      <c r="BU528" s="8" t="s">
        <v>127</v>
      </c>
      <c r="BV528" s="23" t="s">
        <v>345</v>
      </c>
      <c r="BW528" s="24" t="s">
        <v>127</v>
      </c>
      <c r="BX528" s="21" t="s">
        <v>8105</v>
      </c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N528" s="25"/>
      <c r="CO528" s="25"/>
      <c r="CP528" s="25"/>
      <c r="CQ528" s="25"/>
      <c r="CR528" s="25"/>
      <c r="CS528" s="26"/>
    </row>
    <row r="529" spans="1:97" s="27" customFormat="1" ht="28.5">
      <c r="A529" s="4">
        <v>442</v>
      </c>
      <c r="B529" s="6"/>
      <c r="C529" s="6"/>
      <c r="D529" s="6"/>
      <c r="E529" s="6"/>
      <c r="F529" s="6"/>
      <c r="G529" s="6"/>
      <c r="H529" s="5" t="s">
        <v>7095</v>
      </c>
      <c r="I529" s="6" t="s">
        <v>86</v>
      </c>
      <c r="J529" s="7" t="s">
        <v>166</v>
      </c>
      <c r="K529" s="7" t="s">
        <v>4642</v>
      </c>
      <c r="L529" s="8"/>
      <c r="M529" s="5">
        <v>1788</v>
      </c>
      <c r="N529" s="5" t="s">
        <v>9246</v>
      </c>
      <c r="O529" s="9" t="s">
        <v>7582</v>
      </c>
      <c r="P529" s="10" t="s">
        <v>9247</v>
      </c>
      <c r="Q529" s="389" t="s">
        <v>9248</v>
      </c>
      <c r="R529" s="8" t="s">
        <v>10362</v>
      </c>
      <c r="S529" s="212" t="s">
        <v>12152</v>
      </c>
      <c r="T529" s="8" t="s">
        <v>9249</v>
      </c>
      <c r="U529" s="11" t="s">
        <v>172</v>
      </c>
      <c r="V529" s="12" t="s">
        <v>94</v>
      </c>
      <c r="W529" s="13">
        <v>42363</v>
      </c>
      <c r="X529" s="5" t="str">
        <f t="shared" ca="1" si="20"/>
        <v>10 Th, 8 Bln</v>
      </c>
      <c r="Y529" s="5"/>
      <c r="Z529" s="14"/>
      <c r="AA529" s="5" t="s">
        <v>96</v>
      </c>
      <c r="AB529" s="5" t="s">
        <v>97</v>
      </c>
      <c r="AC529" s="7" t="s">
        <v>7586</v>
      </c>
      <c r="AD529" s="131">
        <v>6</v>
      </c>
      <c r="AE529" s="131">
        <v>3</v>
      </c>
      <c r="AF529" s="7" t="s">
        <v>7587</v>
      </c>
      <c r="AG529" s="7" t="s">
        <v>7133</v>
      </c>
      <c r="AH529" s="7" t="s">
        <v>102</v>
      </c>
      <c r="AI529" s="7">
        <v>65147</v>
      </c>
      <c r="AJ529" s="7" t="s">
        <v>7106</v>
      </c>
      <c r="AK529" s="7" t="s">
        <v>179</v>
      </c>
      <c r="AL529" s="7" t="s">
        <v>9250</v>
      </c>
      <c r="AM529" s="15" t="s">
        <v>127</v>
      </c>
      <c r="AN529" s="15" t="s">
        <v>7588</v>
      </c>
      <c r="AO529" s="8">
        <v>2</v>
      </c>
      <c r="AP529" s="8">
        <v>2</v>
      </c>
      <c r="AQ529" s="8" t="s">
        <v>127</v>
      </c>
      <c r="AR529" s="8" t="s">
        <v>127</v>
      </c>
      <c r="AS529" s="132">
        <v>112</v>
      </c>
      <c r="AT529" s="131" t="s">
        <v>7589</v>
      </c>
      <c r="AU529" s="132" t="s">
        <v>182</v>
      </c>
      <c r="AV529" s="16" t="s">
        <v>112</v>
      </c>
      <c r="AW529" s="56" t="s">
        <v>392</v>
      </c>
      <c r="AX529" s="56" t="s">
        <v>7590</v>
      </c>
      <c r="AY529" s="7" t="s">
        <v>7591</v>
      </c>
      <c r="AZ529" s="10" t="s">
        <v>7592</v>
      </c>
      <c r="BA529" s="7" t="s">
        <v>5047</v>
      </c>
      <c r="BB529" s="17">
        <v>28343</v>
      </c>
      <c r="BC529" s="17" t="s">
        <v>7112</v>
      </c>
      <c r="BD529" s="18" t="s">
        <v>7593</v>
      </c>
      <c r="BE529" s="7" t="s">
        <v>216</v>
      </c>
      <c r="BF529" s="7" t="s">
        <v>5043</v>
      </c>
      <c r="BG529" s="7" t="s">
        <v>7594</v>
      </c>
      <c r="BH529" s="7" t="s">
        <v>127</v>
      </c>
      <c r="BI529" s="19" t="s">
        <v>127</v>
      </c>
      <c r="BJ529" s="20">
        <v>2000000</v>
      </c>
      <c r="BK529" s="21" t="s">
        <v>9251</v>
      </c>
      <c r="BL529" s="7" t="s">
        <v>7597</v>
      </c>
      <c r="BM529" s="22" t="s">
        <v>7598</v>
      </c>
      <c r="BN529" s="8" t="s">
        <v>5047</v>
      </c>
      <c r="BO529" s="17">
        <v>28771</v>
      </c>
      <c r="BP529" s="17" t="s">
        <v>96</v>
      </c>
      <c r="BQ529" s="18" t="s">
        <v>7588</v>
      </c>
      <c r="BR529" s="7" t="s">
        <v>118</v>
      </c>
      <c r="BS529" s="7" t="s">
        <v>7599</v>
      </c>
      <c r="BT529" s="7" t="s">
        <v>7600</v>
      </c>
      <c r="BU529" s="8" t="s">
        <v>7601</v>
      </c>
      <c r="BV529" s="23" t="s">
        <v>7602</v>
      </c>
      <c r="BW529" s="24">
        <v>4000000</v>
      </c>
      <c r="BX529" s="21" t="s">
        <v>7603</v>
      </c>
      <c r="BY529" s="21" t="s">
        <v>127</v>
      </c>
      <c r="BZ529" s="21" t="s">
        <v>127</v>
      </c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N529" s="25"/>
      <c r="CO529" s="25"/>
      <c r="CP529" s="25"/>
      <c r="CQ529" s="25"/>
      <c r="CR529" s="25"/>
      <c r="CS529" s="26"/>
    </row>
    <row r="530" spans="1:97" s="27" customFormat="1" ht="23.25" customHeight="1">
      <c r="A530" s="4">
        <v>445</v>
      </c>
      <c r="B530" s="6"/>
      <c r="C530" s="6"/>
      <c r="D530" s="6"/>
      <c r="E530" s="6"/>
      <c r="F530" s="6"/>
      <c r="G530" s="6"/>
      <c r="H530" s="5" t="s">
        <v>7095</v>
      </c>
      <c r="I530" s="6" t="s">
        <v>86</v>
      </c>
      <c r="J530" s="7" t="s">
        <v>9288</v>
      </c>
      <c r="K530" s="7" t="s">
        <v>9289</v>
      </c>
      <c r="L530" s="8"/>
      <c r="M530" s="5">
        <v>1800</v>
      </c>
      <c r="N530" s="5" t="s">
        <v>9290</v>
      </c>
      <c r="O530" s="9" t="s">
        <v>9291</v>
      </c>
      <c r="P530" s="10" t="s">
        <v>11476</v>
      </c>
      <c r="Q530" s="389" t="s">
        <v>9292</v>
      </c>
      <c r="R530" s="8" t="s">
        <v>10362</v>
      </c>
      <c r="S530" s="212" t="s">
        <v>12152</v>
      </c>
      <c r="T530" s="8" t="s">
        <v>4376</v>
      </c>
      <c r="U530" s="11" t="s">
        <v>172</v>
      </c>
      <c r="V530" s="12" t="s">
        <v>94</v>
      </c>
      <c r="W530" s="13">
        <v>42085</v>
      </c>
      <c r="X530" s="5" t="str">
        <f t="shared" ca="1" si="20"/>
        <v>11 Th, 5 Bln</v>
      </c>
      <c r="Y530" s="5"/>
      <c r="Z530" s="14"/>
      <c r="AA530" s="5" t="s">
        <v>96</v>
      </c>
      <c r="AB530" s="5" t="s">
        <v>97</v>
      </c>
      <c r="AC530" s="7" t="s">
        <v>9293</v>
      </c>
      <c r="AD530" s="131" t="s">
        <v>176</v>
      </c>
      <c r="AE530" s="131" t="s">
        <v>827</v>
      </c>
      <c r="AF530" s="7" t="s">
        <v>9294</v>
      </c>
      <c r="AG530" s="7" t="s">
        <v>687</v>
      </c>
      <c r="AH530" s="7" t="s">
        <v>141</v>
      </c>
      <c r="AI530" s="7">
        <v>65151</v>
      </c>
      <c r="AJ530" s="7" t="s">
        <v>9295</v>
      </c>
      <c r="AK530" s="7" t="s">
        <v>104</v>
      </c>
      <c r="AL530" s="7" t="s">
        <v>5386</v>
      </c>
      <c r="AM530" s="15" t="s">
        <v>127</v>
      </c>
      <c r="AN530" s="15" t="s">
        <v>9296</v>
      </c>
      <c r="AO530" s="8">
        <v>1</v>
      </c>
      <c r="AP530" s="8">
        <v>0</v>
      </c>
      <c r="AQ530" s="8">
        <v>0</v>
      </c>
      <c r="AR530" s="8">
        <v>0</v>
      </c>
      <c r="AS530" s="132">
        <v>120</v>
      </c>
      <c r="AT530" s="131">
        <v>19</v>
      </c>
      <c r="AU530" s="132" t="s">
        <v>182</v>
      </c>
      <c r="AV530" s="16" t="s">
        <v>112</v>
      </c>
      <c r="AW530" s="56" t="s">
        <v>113</v>
      </c>
      <c r="AX530" s="56" t="s">
        <v>7311</v>
      </c>
      <c r="AY530" s="7" t="s">
        <v>9297</v>
      </c>
      <c r="AZ530" s="10" t="s">
        <v>9298</v>
      </c>
      <c r="BA530" s="7" t="s">
        <v>9299</v>
      </c>
      <c r="BB530" s="17">
        <v>34540</v>
      </c>
      <c r="BC530" s="17" t="s">
        <v>7719</v>
      </c>
      <c r="BD530" s="18" t="s">
        <v>9300</v>
      </c>
      <c r="BE530" s="7" t="s">
        <v>118</v>
      </c>
      <c r="BF530" s="7" t="s">
        <v>9301</v>
      </c>
      <c r="BG530" s="7" t="s">
        <v>9302</v>
      </c>
      <c r="BH530" s="7" t="s">
        <v>9303</v>
      </c>
      <c r="BI530" s="19" t="s">
        <v>9304</v>
      </c>
      <c r="BJ530" s="20">
        <v>3150000</v>
      </c>
      <c r="BK530" s="21" t="s">
        <v>9305</v>
      </c>
      <c r="BL530" s="7" t="s">
        <v>9306</v>
      </c>
      <c r="BM530" s="22" t="s">
        <v>9307</v>
      </c>
      <c r="BN530" s="8" t="s">
        <v>9299</v>
      </c>
      <c r="BO530" s="17">
        <v>34177</v>
      </c>
      <c r="BP530" s="17" t="s">
        <v>96</v>
      </c>
      <c r="BQ530" s="18" t="s">
        <v>9296</v>
      </c>
      <c r="BR530" s="7" t="s">
        <v>118</v>
      </c>
      <c r="BS530" s="7" t="s">
        <v>9308</v>
      </c>
      <c r="BT530" s="7" t="s">
        <v>9309</v>
      </c>
      <c r="BU530" s="8" t="s">
        <v>9310</v>
      </c>
      <c r="BV530" s="23" t="s">
        <v>9311</v>
      </c>
      <c r="BW530" s="24">
        <v>4500000</v>
      </c>
      <c r="BX530" s="21" t="s">
        <v>9312</v>
      </c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N530" s="25"/>
      <c r="CO530" s="25"/>
      <c r="CP530" s="25"/>
      <c r="CQ530" s="25"/>
      <c r="CR530" s="25"/>
      <c r="CS530" s="26"/>
    </row>
    <row r="531" spans="1:97" s="27" customFormat="1" ht="27.75" customHeight="1">
      <c r="A531" s="4">
        <v>421</v>
      </c>
      <c r="B531" s="6"/>
      <c r="C531" s="6"/>
      <c r="D531" s="6"/>
      <c r="E531" s="6"/>
      <c r="F531" s="6"/>
      <c r="G531" s="6"/>
      <c r="H531" s="5" t="s">
        <v>7095</v>
      </c>
      <c r="I531" s="6" t="s">
        <v>86</v>
      </c>
      <c r="J531" s="7" t="s">
        <v>166</v>
      </c>
      <c r="K531" s="7" t="s">
        <v>8800</v>
      </c>
      <c r="L531" s="8"/>
      <c r="M531" s="5">
        <v>1803</v>
      </c>
      <c r="N531" s="5" t="s">
        <v>8801</v>
      </c>
      <c r="O531" s="9" t="s">
        <v>8802</v>
      </c>
      <c r="P531" s="10" t="s">
        <v>8803</v>
      </c>
      <c r="Q531" s="389" t="s">
        <v>8804</v>
      </c>
      <c r="R531" s="8" t="s">
        <v>10362</v>
      </c>
      <c r="S531" s="212" t="s">
        <v>12152</v>
      </c>
      <c r="T531" s="8" t="s">
        <v>8805</v>
      </c>
      <c r="U531" s="11" t="s">
        <v>93</v>
      </c>
      <c r="V531" s="12" t="s">
        <v>713</v>
      </c>
      <c r="W531" s="13">
        <v>42416</v>
      </c>
      <c r="X531" s="5" t="str">
        <f t="shared" ca="1" si="20"/>
        <v>10 Th, 7 Bln</v>
      </c>
      <c r="Y531" s="5"/>
      <c r="Z531" s="14"/>
      <c r="AA531" s="5" t="s">
        <v>96</v>
      </c>
      <c r="AB531" s="5" t="s">
        <v>97</v>
      </c>
      <c r="AC531" s="7" t="s">
        <v>8806</v>
      </c>
      <c r="AD531" s="131">
        <v>6</v>
      </c>
      <c r="AE531" s="131">
        <v>6</v>
      </c>
      <c r="AF531" s="7" t="s">
        <v>8807</v>
      </c>
      <c r="AG531" s="7" t="s">
        <v>7258</v>
      </c>
      <c r="AH531" s="7" t="s">
        <v>241</v>
      </c>
      <c r="AI531" s="7">
        <v>65126</v>
      </c>
      <c r="AJ531" s="7" t="s">
        <v>5047</v>
      </c>
      <c r="AK531" s="7" t="s">
        <v>104</v>
      </c>
      <c r="AL531" s="7" t="s">
        <v>8666</v>
      </c>
      <c r="AM531" s="15" t="s">
        <v>8808</v>
      </c>
      <c r="AN531" s="15" t="s">
        <v>8808</v>
      </c>
      <c r="AO531" s="8">
        <v>2</v>
      </c>
      <c r="AP531" s="8">
        <v>2</v>
      </c>
      <c r="AQ531" s="8">
        <v>0</v>
      </c>
      <c r="AR531" s="8">
        <v>0</v>
      </c>
      <c r="AS531" s="132">
        <v>110</v>
      </c>
      <c r="AT531" s="131">
        <v>18</v>
      </c>
      <c r="AU531" s="132" t="s">
        <v>149</v>
      </c>
      <c r="AV531" s="16" t="s">
        <v>112</v>
      </c>
      <c r="AW531" s="56" t="s">
        <v>8809</v>
      </c>
      <c r="AX531" s="56" t="s">
        <v>7699</v>
      </c>
      <c r="AY531" s="7" t="s">
        <v>8810</v>
      </c>
      <c r="AZ531" s="10" t="s">
        <v>8811</v>
      </c>
      <c r="BA531" s="7" t="s">
        <v>5047</v>
      </c>
      <c r="BB531" s="17">
        <v>29376</v>
      </c>
      <c r="BC531" s="17" t="s">
        <v>7112</v>
      </c>
      <c r="BD531" s="18" t="s">
        <v>8812</v>
      </c>
      <c r="BE531" s="7" t="s">
        <v>118</v>
      </c>
      <c r="BF531" s="7" t="s">
        <v>8361</v>
      </c>
      <c r="BG531" s="7" t="s">
        <v>4158</v>
      </c>
      <c r="BH531" s="7" t="s">
        <v>8813</v>
      </c>
      <c r="BI531" s="19" t="s">
        <v>8814</v>
      </c>
      <c r="BJ531" s="20" t="s">
        <v>3351</v>
      </c>
      <c r="BK531" s="21" t="s">
        <v>8815</v>
      </c>
      <c r="BL531" s="7" t="s">
        <v>8816</v>
      </c>
      <c r="BM531" s="22" t="s">
        <v>8817</v>
      </c>
      <c r="BN531" s="8" t="s">
        <v>8818</v>
      </c>
      <c r="BO531" s="17">
        <v>31622</v>
      </c>
      <c r="BP531" s="17" t="s">
        <v>96</v>
      </c>
      <c r="BQ531" s="18" t="s">
        <v>8819</v>
      </c>
      <c r="BR531" s="7" t="s">
        <v>118</v>
      </c>
      <c r="BS531" s="7" t="s">
        <v>254</v>
      </c>
      <c r="BT531" s="7" t="s">
        <v>163</v>
      </c>
      <c r="BU531" s="8" t="s">
        <v>163</v>
      </c>
      <c r="BV531" s="23" t="s">
        <v>163</v>
      </c>
      <c r="BW531" s="24" t="s">
        <v>163</v>
      </c>
      <c r="BX531" s="21" t="s">
        <v>8820</v>
      </c>
      <c r="BY531" s="21" t="s">
        <v>8821</v>
      </c>
      <c r="BZ531" s="21" t="s">
        <v>8818</v>
      </c>
      <c r="CA531" s="21">
        <v>28523</v>
      </c>
      <c r="CB531" s="21"/>
      <c r="CC531" s="21" t="s">
        <v>8822</v>
      </c>
      <c r="CD531" s="21" t="s">
        <v>118</v>
      </c>
      <c r="CE531" s="21" t="s">
        <v>8823</v>
      </c>
      <c r="CF531" s="21" t="s">
        <v>96</v>
      </c>
      <c r="CG531" s="21" t="s">
        <v>8824</v>
      </c>
      <c r="CH531" s="21">
        <v>11</v>
      </c>
      <c r="CI531" s="21">
        <v>2</v>
      </c>
      <c r="CJ531" s="21" t="s">
        <v>8073</v>
      </c>
      <c r="CK531" s="21" t="s">
        <v>7133</v>
      </c>
      <c r="CL531" s="21" t="s">
        <v>5047</v>
      </c>
      <c r="CN531" s="25"/>
      <c r="CO531" s="25"/>
      <c r="CP531" s="25"/>
      <c r="CQ531" s="25"/>
      <c r="CR531" s="25"/>
      <c r="CS531" s="26"/>
    </row>
    <row r="532" spans="1:97" s="27" customFormat="1" ht="23.25" customHeight="1">
      <c r="A532" s="4">
        <v>393</v>
      </c>
      <c r="B532" s="6"/>
      <c r="C532" s="6"/>
      <c r="D532" s="6"/>
      <c r="E532" s="6"/>
      <c r="F532" s="6"/>
      <c r="G532" s="6"/>
      <c r="H532" s="5" t="s">
        <v>7095</v>
      </c>
      <c r="I532" s="6" t="s">
        <v>86</v>
      </c>
      <c r="J532" s="7" t="s">
        <v>8150</v>
      </c>
      <c r="K532" s="7" t="s">
        <v>8151</v>
      </c>
      <c r="L532" s="8"/>
      <c r="M532" s="5">
        <v>1804</v>
      </c>
      <c r="N532" s="5" t="s">
        <v>8152</v>
      </c>
      <c r="O532" s="9" t="s">
        <v>8153</v>
      </c>
      <c r="P532" s="10" t="s">
        <v>8154</v>
      </c>
      <c r="Q532" s="389" t="s">
        <v>8155</v>
      </c>
      <c r="R532" s="8" t="s">
        <v>10362</v>
      </c>
      <c r="S532" s="212" t="s">
        <v>12152</v>
      </c>
      <c r="T532" s="8" t="s">
        <v>8156</v>
      </c>
      <c r="U532" s="11" t="s">
        <v>172</v>
      </c>
      <c r="V532" s="12" t="s">
        <v>94</v>
      </c>
      <c r="W532" s="13">
        <v>42570</v>
      </c>
      <c r="X532" s="5" t="str">
        <f t="shared" ca="1" si="20"/>
        <v>10 Th, 1 Bln</v>
      </c>
      <c r="Y532" s="5"/>
      <c r="Z532" s="14"/>
      <c r="AA532" s="5" t="s">
        <v>96</v>
      </c>
      <c r="AB532" s="5" t="s">
        <v>97</v>
      </c>
      <c r="AC532" s="7" t="s">
        <v>8157</v>
      </c>
      <c r="AD532" s="131">
        <v>17</v>
      </c>
      <c r="AE532" s="131" t="s">
        <v>293</v>
      </c>
      <c r="AF532" s="7" t="s">
        <v>8158</v>
      </c>
      <c r="AG532" s="7" t="s">
        <v>178</v>
      </c>
      <c r="AH532" s="7" t="s">
        <v>178</v>
      </c>
      <c r="AI532" s="7">
        <v>65143</v>
      </c>
      <c r="AJ532" s="7" t="s">
        <v>94</v>
      </c>
      <c r="AK532" s="7" t="s">
        <v>104</v>
      </c>
      <c r="AL532" s="7" t="s">
        <v>708</v>
      </c>
      <c r="AM532" s="15">
        <v>0</v>
      </c>
      <c r="AN532" s="15" t="s">
        <v>8159</v>
      </c>
      <c r="AO532" s="8">
        <v>2</v>
      </c>
      <c r="AP532" s="8">
        <v>2</v>
      </c>
      <c r="AQ532" s="8">
        <v>0</v>
      </c>
      <c r="AR532" s="8">
        <v>0</v>
      </c>
      <c r="AS532" s="132" t="s">
        <v>8160</v>
      </c>
      <c r="AT532" s="131" t="s">
        <v>8161</v>
      </c>
      <c r="AU532" s="132" t="s">
        <v>111</v>
      </c>
      <c r="AV532" s="16" t="s">
        <v>112</v>
      </c>
      <c r="AW532" s="56" t="s">
        <v>113</v>
      </c>
      <c r="AX532" s="56" t="s">
        <v>114</v>
      </c>
      <c r="AY532" s="7" t="s">
        <v>8162</v>
      </c>
      <c r="AZ532" s="10" t="s">
        <v>8163</v>
      </c>
      <c r="BA532" s="7" t="s">
        <v>8164</v>
      </c>
      <c r="BB532" s="17">
        <v>30466</v>
      </c>
      <c r="BC532" s="17" t="s">
        <v>96</v>
      </c>
      <c r="BD532" s="18" t="s">
        <v>8159</v>
      </c>
      <c r="BE532" s="7" t="s">
        <v>224</v>
      </c>
      <c r="BF532" s="7" t="s">
        <v>2122</v>
      </c>
      <c r="BG532" s="7" t="s">
        <v>226</v>
      </c>
      <c r="BH532" s="7" t="s">
        <v>8165</v>
      </c>
      <c r="BI532" s="19">
        <v>0</v>
      </c>
      <c r="BJ532" s="20" t="s">
        <v>3407</v>
      </c>
      <c r="BK532" s="21" t="s">
        <v>8166</v>
      </c>
      <c r="BL532" s="7" t="s">
        <v>8167</v>
      </c>
      <c r="BM532" s="22" t="s">
        <v>8168</v>
      </c>
      <c r="BN532" s="8" t="s">
        <v>8169</v>
      </c>
      <c r="BO532" s="17">
        <v>30883</v>
      </c>
      <c r="BP532" s="17" t="s">
        <v>96</v>
      </c>
      <c r="BQ532" s="18" t="s">
        <v>8170</v>
      </c>
      <c r="BR532" s="7" t="s">
        <v>153</v>
      </c>
      <c r="BS532" s="7" t="s">
        <v>154</v>
      </c>
      <c r="BT532" s="7" t="s">
        <v>761</v>
      </c>
      <c r="BU532" s="8" t="s">
        <v>3710</v>
      </c>
      <c r="BV532" s="23">
        <v>0</v>
      </c>
      <c r="BW532" s="24" t="s">
        <v>8171</v>
      </c>
      <c r="BX532" s="21" t="s">
        <v>8172</v>
      </c>
      <c r="BY532" s="21" t="s">
        <v>8173</v>
      </c>
      <c r="BZ532" s="21" t="s">
        <v>8174</v>
      </c>
      <c r="CA532" s="21">
        <v>21327</v>
      </c>
      <c r="CB532" s="21"/>
      <c r="CC532" s="21" t="s">
        <v>8175</v>
      </c>
      <c r="CD532" s="21" t="s">
        <v>224</v>
      </c>
      <c r="CE532" s="21" t="s">
        <v>7113</v>
      </c>
      <c r="CF532" s="21" t="s">
        <v>96</v>
      </c>
      <c r="CG532" s="21" t="s">
        <v>8176</v>
      </c>
      <c r="CH532" s="21">
        <v>0</v>
      </c>
      <c r="CI532" s="21">
        <v>0</v>
      </c>
      <c r="CJ532" s="21" t="s">
        <v>8177</v>
      </c>
      <c r="CK532" s="21">
        <v>0</v>
      </c>
      <c r="CL532" s="21" t="s">
        <v>8178</v>
      </c>
      <c r="CN532" s="25"/>
      <c r="CO532" s="25"/>
      <c r="CP532" s="25"/>
      <c r="CQ532" s="25"/>
      <c r="CR532" s="25"/>
      <c r="CS532" s="26"/>
    </row>
    <row r="533" spans="1:97" s="27" customFormat="1" ht="23.25" customHeight="1">
      <c r="A533" s="4">
        <v>423</v>
      </c>
      <c r="B533" s="6"/>
      <c r="C533" s="6"/>
      <c r="D533" s="6"/>
      <c r="E533" s="6"/>
      <c r="F533" s="6"/>
      <c r="G533" s="6"/>
      <c r="H533" s="5" t="s">
        <v>7095</v>
      </c>
      <c r="I533" s="6" t="s">
        <v>86</v>
      </c>
      <c r="J533" s="7" t="s">
        <v>166</v>
      </c>
      <c r="K533" s="7" t="s">
        <v>8847</v>
      </c>
      <c r="L533" s="8"/>
      <c r="M533" s="5">
        <v>1812</v>
      </c>
      <c r="N533" s="5" t="s">
        <v>8848</v>
      </c>
      <c r="O533" s="9" t="s">
        <v>8849</v>
      </c>
      <c r="P533" s="10" t="s">
        <v>8850</v>
      </c>
      <c r="Q533" s="389" t="s">
        <v>8851</v>
      </c>
      <c r="R533" s="8" t="s">
        <v>10362</v>
      </c>
      <c r="S533" s="212" t="s">
        <v>12152</v>
      </c>
      <c r="T533" s="8" t="s">
        <v>8852</v>
      </c>
      <c r="U533" s="11" t="s">
        <v>93</v>
      </c>
      <c r="V533" s="12" t="s">
        <v>94</v>
      </c>
      <c r="W533" s="13">
        <v>42417</v>
      </c>
      <c r="X533" s="5" t="str">
        <f t="shared" ca="1" si="20"/>
        <v>10 Th, 6 Bln</v>
      </c>
      <c r="Y533" s="5"/>
      <c r="Z533" s="14"/>
      <c r="AA533" s="5" t="s">
        <v>96</v>
      </c>
      <c r="AB533" s="5" t="s">
        <v>97</v>
      </c>
      <c r="AC533" s="7" t="s">
        <v>8853</v>
      </c>
      <c r="AD533" s="131" t="s">
        <v>207</v>
      </c>
      <c r="AE533" s="131" t="s">
        <v>546</v>
      </c>
      <c r="AF533" s="7" t="s">
        <v>5506</v>
      </c>
      <c r="AG533" s="7" t="s">
        <v>5046</v>
      </c>
      <c r="AH533" s="7" t="s">
        <v>178</v>
      </c>
      <c r="AI533" s="7">
        <v>65142</v>
      </c>
      <c r="AJ533" s="7" t="s">
        <v>5047</v>
      </c>
      <c r="AK533" s="7" t="s">
        <v>179</v>
      </c>
      <c r="AL533" s="7" t="s">
        <v>8138</v>
      </c>
      <c r="AM533" s="15" t="s">
        <v>8854</v>
      </c>
      <c r="AN533" s="15" t="s">
        <v>8854</v>
      </c>
      <c r="AO533" s="8">
        <v>2</v>
      </c>
      <c r="AP533" s="8">
        <v>2</v>
      </c>
      <c r="AQ533" s="8"/>
      <c r="AR533" s="8"/>
      <c r="AS533" s="132">
        <v>106</v>
      </c>
      <c r="AT533" s="131">
        <v>16</v>
      </c>
      <c r="AU533" s="132" t="s">
        <v>182</v>
      </c>
      <c r="AV533" s="16" t="s">
        <v>112</v>
      </c>
      <c r="AW533" s="56" t="s">
        <v>150</v>
      </c>
      <c r="AX533" s="56" t="s">
        <v>7136</v>
      </c>
      <c r="AY533" s="7" t="s">
        <v>8855</v>
      </c>
      <c r="AZ533" s="10" t="s">
        <v>8856</v>
      </c>
      <c r="BA533" s="7" t="s">
        <v>8857</v>
      </c>
      <c r="BB533" s="17">
        <v>28292</v>
      </c>
      <c r="BC533" s="17" t="s">
        <v>7112</v>
      </c>
      <c r="BD533" s="18" t="s">
        <v>8858</v>
      </c>
      <c r="BE533" s="7" t="s">
        <v>153</v>
      </c>
      <c r="BF533" s="7" t="s">
        <v>7113</v>
      </c>
      <c r="BG533" s="7" t="s">
        <v>7731</v>
      </c>
      <c r="BH533" s="7" t="s">
        <v>8859</v>
      </c>
      <c r="BI533" s="19"/>
      <c r="BJ533" s="20">
        <v>3000000</v>
      </c>
      <c r="BK533" s="21" t="s">
        <v>8860</v>
      </c>
      <c r="BL533" s="7" t="s">
        <v>8861</v>
      </c>
      <c r="BM533" s="22" t="s">
        <v>8862</v>
      </c>
      <c r="BN533" s="8" t="s">
        <v>8863</v>
      </c>
      <c r="BO533" s="17">
        <v>32426</v>
      </c>
      <c r="BP533" s="17" t="s">
        <v>96</v>
      </c>
      <c r="BQ533" s="18" t="s">
        <v>8854</v>
      </c>
      <c r="BR533" s="7" t="s">
        <v>118</v>
      </c>
      <c r="BS533" s="7" t="s">
        <v>7599</v>
      </c>
      <c r="BT533" s="7" t="s">
        <v>8864</v>
      </c>
      <c r="BU533" s="8" t="s">
        <v>8865</v>
      </c>
      <c r="BV533" s="23"/>
      <c r="BW533" s="24">
        <v>1000000</v>
      </c>
      <c r="BX533" s="21" t="s">
        <v>8866</v>
      </c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N533" s="25"/>
      <c r="CO533" s="25"/>
      <c r="CP533" s="25"/>
      <c r="CQ533" s="25"/>
      <c r="CR533" s="25"/>
      <c r="CS533" s="26"/>
    </row>
    <row r="534" spans="1:97" s="27" customFormat="1" ht="23.25" customHeight="1">
      <c r="A534" s="4">
        <v>425</v>
      </c>
      <c r="B534" s="6"/>
      <c r="C534" s="6"/>
      <c r="D534" s="6"/>
      <c r="E534" s="6"/>
      <c r="F534" s="6"/>
      <c r="G534" s="6"/>
      <c r="H534" s="5" t="s">
        <v>7095</v>
      </c>
      <c r="I534" s="6" t="s">
        <v>86</v>
      </c>
      <c r="J534" s="7" t="s">
        <v>8884</v>
      </c>
      <c r="K534" s="7" t="s">
        <v>8885</v>
      </c>
      <c r="L534" s="8"/>
      <c r="M534" s="5">
        <v>1817</v>
      </c>
      <c r="N534" s="5" t="s">
        <v>8886</v>
      </c>
      <c r="O534" s="9" t="s">
        <v>8180</v>
      </c>
      <c r="P534" s="10" t="s">
        <v>8887</v>
      </c>
      <c r="Q534" s="389" t="s">
        <v>8888</v>
      </c>
      <c r="R534" s="8" t="s">
        <v>10362</v>
      </c>
      <c r="S534" s="212" t="s">
        <v>12152</v>
      </c>
      <c r="T534" s="8" t="s">
        <v>4329</v>
      </c>
      <c r="U534" s="11" t="s">
        <v>93</v>
      </c>
      <c r="V534" s="12" t="s">
        <v>8184</v>
      </c>
      <c r="W534" s="13">
        <v>42203</v>
      </c>
      <c r="X534" s="5" t="str">
        <f t="shared" ca="1" si="20"/>
        <v>11 Th, 1 Bln</v>
      </c>
      <c r="Y534" s="5"/>
      <c r="Z534" s="14"/>
      <c r="AA534" s="5" t="s">
        <v>96</v>
      </c>
      <c r="AB534" s="5" t="s">
        <v>97</v>
      </c>
      <c r="AC534" s="7" t="s">
        <v>8185</v>
      </c>
      <c r="AD534" s="131">
        <v>4</v>
      </c>
      <c r="AE534" s="131">
        <v>4</v>
      </c>
      <c r="AF534" s="7" t="s">
        <v>8186</v>
      </c>
      <c r="AG534" s="7" t="s">
        <v>8889</v>
      </c>
      <c r="AH534" s="7" t="s">
        <v>178</v>
      </c>
      <c r="AI534" s="7">
        <v>65144</v>
      </c>
      <c r="AJ534" s="7" t="s">
        <v>8890</v>
      </c>
      <c r="AK534" s="7" t="s">
        <v>179</v>
      </c>
      <c r="AL534" s="7" t="s">
        <v>8891</v>
      </c>
      <c r="AM534" s="15" t="s">
        <v>8892</v>
      </c>
      <c r="AN534" s="15" t="s">
        <v>8191</v>
      </c>
      <c r="AO534" s="8">
        <v>3</v>
      </c>
      <c r="AP534" s="8">
        <v>2</v>
      </c>
      <c r="AQ534" s="8">
        <v>0</v>
      </c>
      <c r="AR534" s="8">
        <v>0</v>
      </c>
      <c r="AS534" s="132" t="s">
        <v>8893</v>
      </c>
      <c r="AT534" s="131" t="s">
        <v>8894</v>
      </c>
      <c r="AU534" s="132" t="s">
        <v>111</v>
      </c>
      <c r="AV534" s="16" t="s">
        <v>112</v>
      </c>
      <c r="AW534" s="56" t="s">
        <v>113</v>
      </c>
      <c r="AX534" s="56" t="s">
        <v>8895</v>
      </c>
      <c r="AY534" s="7" t="s">
        <v>8896</v>
      </c>
      <c r="AZ534" s="10" t="s">
        <v>8196</v>
      </c>
      <c r="BA534" s="7" t="s">
        <v>8897</v>
      </c>
      <c r="BB534" s="17">
        <v>27404</v>
      </c>
      <c r="BC534" s="17" t="s">
        <v>8898</v>
      </c>
      <c r="BD534" s="18" t="s">
        <v>8199</v>
      </c>
      <c r="BE534" s="7" t="s">
        <v>118</v>
      </c>
      <c r="BF534" s="7" t="s">
        <v>276</v>
      </c>
      <c r="BG534" s="7" t="s">
        <v>8899</v>
      </c>
      <c r="BH534" s="7" t="s">
        <v>8900</v>
      </c>
      <c r="BI534" s="19" t="s">
        <v>8901</v>
      </c>
      <c r="BJ534" s="20" t="s">
        <v>8902</v>
      </c>
      <c r="BK534" s="21" t="s">
        <v>8903</v>
      </c>
      <c r="BL534" s="7" t="s">
        <v>8205</v>
      </c>
      <c r="BM534" s="22" t="s">
        <v>8206</v>
      </c>
      <c r="BN534" s="8" t="s">
        <v>8184</v>
      </c>
      <c r="BO534" s="17">
        <v>29448</v>
      </c>
      <c r="BP534" s="17" t="s">
        <v>96</v>
      </c>
      <c r="BQ534" s="18" t="s">
        <v>8191</v>
      </c>
      <c r="BR534" s="7" t="s">
        <v>153</v>
      </c>
      <c r="BS534" s="7" t="s">
        <v>8904</v>
      </c>
      <c r="BT534" s="7" t="s">
        <v>8905</v>
      </c>
      <c r="BU534" s="8" t="s">
        <v>8209</v>
      </c>
      <c r="BV534" s="23" t="s">
        <v>8906</v>
      </c>
      <c r="BW534" s="24" t="s">
        <v>8211</v>
      </c>
      <c r="BX534" s="21" t="s">
        <v>8212</v>
      </c>
      <c r="BY534" s="21" t="s">
        <v>8907</v>
      </c>
      <c r="BZ534" s="21" t="s">
        <v>8908</v>
      </c>
      <c r="CA534" s="21">
        <v>20609</v>
      </c>
      <c r="CB534" s="21"/>
      <c r="CC534" s="21">
        <v>8123353006</v>
      </c>
      <c r="CD534" s="21" t="s">
        <v>224</v>
      </c>
      <c r="CE534" s="21" t="s">
        <v>8909</v>
      </c>
      <c r="CF534" s="21" t="s">
        <v>96</v>
      </c>
      <c r="CG534" s="21" t="s">
        <v>8185</v>
      </c>
      <c r="CH534" s="21">
        <v>4</v>
      </c>
      <c r="CI534" s="21">
        <v>4</v>
      </c>
      <c r="CJ534" s="21" t="s">
        <v>8216</v>
      </c>
      <c r="CK534" s="21" t="s">
        <v>8910</v>
      </c>
      <c r="CL534" s="21" t="s">
        <v>8911</v>
      </c>
      <c r="CN534" s="25"/>
      <c r="CO534" s="25"/>
      <c r="CP534" s="25"/>
      <c r="CQ534" s="25"/>
      <c r="CR534" s="25"/>
      <c r="CS534" s="26"/>
    </row>
    <row r="535" spans="1:97" s="27" customFormat="1" ht="23.25" customHeight="1">
      <c r="A535" s="4">
        <v>399</v>
      </c>
      <c r="B535" s="6"/>
      <c r="C535" s="6"/>
      <c r="D535" s="6"/>
      <c r="E535" s="6"/>
      <c r="F535" s="6"/>
      <c r="G535" s="6"/>
      <c r="H535" s="5" t="s">
        <v>7095</v>
      </c>
      <c r="I535" s="6" t="s">
        <v>86</v>
      </c>
      <c r="J535" s="7" t="s">
        <v>4880</v>
      </c>
      <c r="K535" s="7" t="s">
        <v>8299</v>
      </c>
      <c r="L535" s="8"/>
      <c r="M535" s="5">
        <v>1714</v>
      </c>
      <c r="N535" s="5" t="s">
        <v>8300</v>
      </c>
      <c r="O535" s="9" t="s">
        <v>8301</v>
      </c>
      <c r="P535" s="10" t="s">
        <v>8302</v>
      </c>
      <c r="Q535" s="389" t="s">
        <v>8303</v>
      </c>
      <c r="R535" s="8" t="s">
        <v>10796</v>
      </c>
      <c r="S535" s="212" t="s">
        <v>12153</v>
      </c>
      <c r="T535" s="8" t="s">
        <v>8305</v>
      </c>
      <c r="U535" s="11" t="s">
        <v>93</v>
      </c>
      <c r="V535" s="12" t="s">
        <v>94</v>
      </c>
      <c r="W535" s="13">
        <v>42112</v>
      </c>
      <c r="X535" s="5" t="str">
        <f t="shared" ca="1" si="20"/>
        <v>11 Th, 4 Bln</v>
      </c>
      <c r="Y535" s="5"/>
      <c r="Z535" s="14"/>
      <c r="AA535" s="5" t="s">
        <v>96</v>
      </c>
      <c r="AB535" s="5" t="s">
        <v>97</v>
      </c>
      <c r="AC535" s="7" t="s">
        <v>8306</v>
      </c>
      <c r="AD535" s="131" t="s">
        <v>265</v>
      </c>
      <c r="AE535" s="131" t="s">
        <v>966</v>
      </c>
      <c r="AF535" s="7" t="s">
        <v>993</v>
      </c>
      <c r="AG535" s="7" t="s">
        <v>994</v>
      </c>
      <c r="AH535" s="7" t="s">
        <v>141</v>
      </c>
      <c r="AI535" s="7">
        <v>65323</v>
      </c>
      <c r="AJ535" s="7" t="s">
        <v>2024</v>
      </c>
      <c r="AK535" s="7" t="s">
        <v>104</v>
      </c>
      <c r="AL535" s="7" t="s">
        <v>5208</v>
      </c>
      <c r="AM535" s="15" t="s">
        <v>127</v>
      </c>
      <c r="AN535" s="15" t="s">
        <v>8307</v>
      </c>
      <c r="AO535" s="8">
        <v>2</v>
      </c>
      <c r="AP535" s="8">
        <v>1</v>
      </c>
      <c r="AQ535" s="8" t="s">
        <v>127</v>
      </c>
      <c r="AR535" s="8" t="s">
        <v>127</v>
      </c>
      <c r="AS535" s="132" t="s">
        <v>2207</v>
      </c>
      <c r="AT535" s="131" t="s">
        <v>8308</v>
      </c>
      <c r="AU535" s="132" t="s">
        <v>498</v>
      </c>
      <c r="AV535" s="16" t="s">
        <v>112</v>
      </c>
      <c r="AW535" s="56" t="s">
        <v>150</v>
      </c>
      <c r="AX535" s="56" t="s">
        <v>183</v>
      </c>
      <c r="AY535" s="7" t="s">
        <v>8309</v>
      </c>
      <c r="AZ535" s="10" t="s">
        <v>8310</v>
      </c>
      <c r="BA535" s="7" t="s">
        <v>94</v>
      </c>
      <c r="BB535" s="17">
        <v>32201</v>
      </c>
      <c r="BC535" s="17" t="s">
        <v>96</v>
      </c>
      <c r="BD535" s="18" t="s">
        <v>8311</v>
      </c>
      <c r="BE535" s="7" t="s">
        <v>216</v>
      </c>
      <c r="BF535" s="7" t="s">
        <v>247</v>
      </c>
      <c r="BG535" s="7" t="s">
        <v>8312</v>
      </c>
      <c r="BH535" s="7" t="s">
        <v>8313</v>
      </c>
      <c r="BI535" s="19" t="s">
        <v>8311</v>
      </c>
      <c r="BJ535" s="20">
        <v>15000000</v>
      </c>
      <c r="BK535" s="21" t="s">
        <v>8314</v>
      </c>
      <c r="BL535" s="7" t="s">
        <v>8315</v>
      </c>
      <c r="BM535" s="22" t="s">
        <v>8316</v>
      </c>
      <c r="BN535" s="8" t="s">
        <v>94</v>
      </c>
      <c r="BO535" s="17">
        <v>32199</v>
      </c>
      <c r="BP535" s="17" t="s">
        <v>96</v>
      </c>
      <c r="BQ535" s="18" t="s">
        <v>8307</v>
      </c>
      <c r="BR535" s="7" t="s">
        <v>216</v>
      </c>
      <c r="BS535" s="7" t="s">
        <v>247</v>
      </c>
      <c r="BT535" s="7" t="s">
        <v>8317</v>
      </c>
      <c r="BU535" s="8" t="s">
        <v>8318</v>
      </c>
      <c r="BV535" s="23" t="s">
        <v>8319</v>
      </c>
      <c r="BW535" s="24">
        <v>15000000</v>
      </c>
      <c r="BX535" s="21" t="s">
        <v>8320</v>
      </c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N535" s="25"/>
      <c r="CO535" s="25"/>
      <c r="CP535" s="25"/>
      <c r="CQ535" s="25"/>
      <c r="CR535" s="25"/>
      <c r="CS535" s="26"/>
    </row>
    <row r="536" spans="1:97" s="27" customFormat="1" ht="23.25" customHeight="1">
      <c r="A536" s="4">
        <v>428</v>
      </c>
      <c r="B536" s="6"/>
      <c r="C536" s="6"/>
      <c r="D536" s="6"/>
      <c r="E536" s="6"/>
      <c r="F536" s="6"/>
      <c r="G536" s="6"/>
      <c r="H536" s="5" t="s">
        <v>7095</v>
      </c>
      <c r="I536" s="6" t="s">
        <v>86</v>
      </c>
      <c r="J536" s="7" t="s">
        <v>166</v>
      </c>
      <c r="K536" s="7" t="s">
        <v>8937</v>
      </c>
      <c r="L536" s="8"/>
      <c r="M536" s="5">
        <v>1719</v>
      </c>
      <c r="N536" s="5" t="s">
        <v>8938</v>
      </c>
      <c r="O536" s="9" t="s">
        <v>8939</v>
      </c>
      <c r="P536" s="10" t="s">
        <v>11452</v>
      </c>
      <c r="Q536" s="389" t="s">
        <v>11451</v>
      </c>
      <c r="R536" s="8" t="s">
        <v>10796</v>
      </c>
      <c r="S536" s="212" t="s">
        <v>12153</v>
      </c>
      <c r="T536" s="8" t="s">
        <v>8940</v>
      </c>
      <c r="U536" s="11" t="s">
        <v>172</v>
      </c>
      <c r="V536" s="12" t="s">
        <v>8941</v>
      </c>
      <c r="W536" s="13">
        <v>42285</v>
      </c>
      <c r="X536" s="5" t="str">
        <f t="shared" ca="1" si="20"/>
        <v>10 Th, 11 Bln</v>
      </c>
      <c r="Y536" s="5"/>
      <c r="Z536" s="14"/>
      <c r="AA536" s="5" t="s">
        <v>96</v>
      </c>
      <c r="AB536" s="5" t="s">
        <v>97</v>
      </c>
      <c r="AC536" s="7" t="s">
        <v>8942</v>
      </c>
      <c r="AD536" s="131">
        <v>8</v>
      </c>
      <c r="AE536" s="131">
        <v>4</v>
      </c>
      <c r="AF536" s="7" t="s">
        <v>5045</v>
      </c>
      <c r="AG536" s="7" t="s">
        <v>5046</v>
      </c>
      <c r="AH536" s="7" t="s">
        <v>178</v>
      </c>
      <c r="AI536" s="7">
        <v>65141</v>
      </c>
      <c r="AJ536" s="7" t="s">
        <v>5047</v>
      </c>
      <c r="AK536" s="7" t="s">
        <v>104</v>
      </c>
      <c r="AL536" s="7" t="s">
        <v>8943</v>
      </c>
      <c r="AM536" s="15" t="s">
        <v>8944</v>
      </c>
      <c r="AN536" s="15" t="s">
        <v>8945</v>
      </c>
      <c r="AO536" s="8">
        <v>2</v>
      </c>
      <c r="AP536" s="8">
        <v>3</v>
      </c>
      <c r="AQ536" s="8">
        <v>1</v>
      </c>
      <c r="AR536" s="8">
        <v>0</v>
      </c>
      <c r="AS536" s="132">
        <v>111</v>
      </c>
      <c r="AT536" s="131">
        <v>14</v>
      </c>
      <c r="AU536" s="132" t="s">
        <v>182</v>
      </c>
      <c r="AV536" s="16" t="s">
        <v>112</v>
      </c>
      <c r="AW536" s="56" t="s">
        <v>392</v>
      </c>
      <c r="AX536" s="56" t="s">
        <v>8946</v>
      </c>
      <c r="AY536" s="7" t="s">
        <v>8947</v>
      </c>
      <c r="AZ536" s="10" t="s">
        <v>8948</v>
      </c>
      <c r="BA536" s="7" t="s">
        <v>5042</v>
      </c>
      <c r="BB536" s="17">
        <v>29398</v>
      </c>
      <c r="BC536" s="17" t="s">
        <v>7112</v>
      </c>
      <c r="BD536" s="18" t="s">
        <v>8944</v>
      </c>
      <c r="BE536" s="7" t="s">
        <v>118</v>
      </c>
      <c r="BF536" s="7" t="s">
        <v>5043</v>
      </c>
      <c r="BG536" s="7" t="s">
        <v>5934</v>
      </c>
      <c r="BH536" s="7" t="s">
        <v>8949</v>
      </c>
      <c r="BI536" s="19" t="s">
        <v>8950</v>
      </c>
      <c r="BJ536" s="20">
        <v>15000000</v>
      </c>
      <c r="BK536" s="21" t="s">
        <v>8951</v>
      </c>
      <c r="BL536" s="7" t="s">
        <v>8952</v>
      </c>
      <c r="BM536" s="22" t="s">
        <v>8953</v>
      </c>
      <c r="BN536" s="8" t="s">
        <v>5047</v>
      </c>
      <c r="BO536" s="17">
        <v>29596</v>
      </c>
      <c r="BP536" s="17" t="s">
        <v>96</v>
      </c>
      <c r="BQ536" s="18" t="s">
        <v>8945</v>
      </c>
      <c r="BR536" s="7" t="s">
        <v>216</v>
      </c>
      <c r="BS536" s="7" t="s">
        <v>5043</v>
      </c>
      <c r="BT536" s="7" t="s">
        <v>5934</v>
      </c>
      <c r="BU536" s="8" t="s">
        <v>8954</v>
      </c>
      <c r="BV536" s="23" t="s">
        <v>8955</v>
      </c>
      <c r="BW536" s="24">
        <v>10000000</v>
      </c>
      <c r="BX536" s="21" t="s">
        <v>8956</v>
      </c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N536" s="25"/>
      <c r="CO536" s="25"/>
      <c r="CP536" s="25"/>
      <c r="CQ536" s="25"/>
      <c r="CR536" s="25"/>
      <c r="CS536" s="26"/>
    </row>
    <row r="537" spans="1:97" s="27" customFormat="1" ht="23.25" customHeight="1">
      <c r="A537" s="4">
        <v>373</v>
      </c>
      <c r="B537" s="6"/>
      <c r="C537" s="6"/>
      <c r="D537" s="6"/>
      <c r="E537" s="6"/>
      <c r="F537" s="6"/>
      <c r="G537" s="6"/>
      <c r="H537" s="5" t="s">
        <v>7095</v>
      </c>
      <c r="I537" s="6" t="s">
        <v>86</v>
      </c>
      <c r="J537" s="7" t="s">
        <v>7733</v>
      </c>
      <c r="K537" s="7" t="s">
        <v>7734</v>
      </c>
      <c r="L537" s="8"/>
      <c r="M537" s="5">
        <v>1722</v>
      </c>
      <c r="N537" s="5" t="s">
        <v>7735</v>
      </c>
      <c r="O537" s="9" t="s">
        <v>7736</v>
      </c>
      <c r="P537" s="10" t="s">
        <v>7737</v>
      </c>
      <c r="Q537" s="389" t="s">
        <v>7738</v>
      </c>
      <c r="R537" s="8" t="s">
        <v>10796</v>
      </c>
      <c r="S537" s="212" t="s">
        <v>12153</v>
      </c>
      <c r="T537" s="8" t="s">
        <v>7739</v>
      </c>
      <c r="U537" s="11" t="s">
        <v>172</v>
      </c>
      <c r="V537" s="12" t="s">
        <v>94</v>
      </c>
      <c r="W537" s="13">
        <v>42046</v>
      </c>
      <c r="X537" s="5" t="str">
        <f t="shared" ca="1" si="20"/>
        <v>11 Th, 7 Bln</v>
      </c>
      <c r="Y537" s="5"/>
      <c r="Z537" s="14"/>
      <c r="AA537" s="5" t="s">
        <v>96</v>
      </c>
      <c r="AB537" s="5" t="s">
        <v>97</v>
      </c>
      <c r="AC537" s="7" t="s">
        <v>7740</v>
      </c>
      <c r="AD537" s="131" t="s">
        <v>294</v>
      </c>
      <c r="AE537" s="131" t="s">
        <v>99</v>
      </c>
      <c r="AF537" s="7" t="s">
        <v>177</v>
      </c>
      <c r="AG537" s="7" t="s">
        <v>178</v>
      </c>
      <c r="AH537" s="7" t="s">
        <v>178</v>
      </c>
      <c r="AI537" s="7">
        <v>65143</v>
      </c>
      <c r="AJ537" s="7" t="s">
        <v>94</v>
      </c>
      <c r="AK537" s="7" t="s">
        <v>104</v>
      </c>
      <c r="AL537" s="7" t="s">
        <v>342</v>
      </c>
      <c r="AM537" s="15" t="s">
        <v>162</v>
      </c>
      <c r="AN537" s="15" t="s">
        <v>7741</v>
      </c>
      <c r="AO537" s="8">
        <v>4</v>
      </c>
      <c r="AP537" s="8">
        <v>3</v>
      </c>
      <c r="AQ537" s="8" t="s">
        <v>162</v>
      </c>
      <c r="AR537" s="8" t="s">
        <v>162</v>
      </c>
      <c r="AS537" s="132">
        <v>128</v>
      </c>
      <c r="AT537" s="131">
        <v>35</v>
      </c>
      <c r="AU537" s="132" t="s">
        <v>182</v>
      </c>
      <c r="AV537" s="16" t="s">
        <v>112</v>
      </c>
      <c r="AW537" s="56" t="s">
        <v>7742</v>
      </c>
      <c r="AX537" s="56" t="s">
        <v>114</v>
      </c>
      <c r="AY537" s="7" t="s">
        <v>7743</v>
      </c>
      <c r="AZ537" s="10" t="s">
        <v>7744</v>
      </c>
      <c r="BA537" s="7" t="s">
        <v>94</v>
      </c>
      <c r="BB537" s="17">
        <v>25681</v>
      </c>
      <c r="BC537" s="17" t="s">
        <v>96</v>
      </c>
      <c r="BD537" s="18" t="s">
        <v>7745</v>
      </c>
      <c r="BE537" s="7" t="s">
        <v>118</v>
      </c>
      <c r="BF537" s="7" t="s">
        <v>247</v>
      </c>
      <c r="BG537" s="7" t="s">
        <v>7746</v>
      </c>
      <c r="BH537" s="7" t="s">
        <v>7747</v>
      </c>
      <c r="BI537" s="19" t="s">
        <v>7745</v>
      </c>
      <c r="BJ537" s="20" t="s">
        <v>1078</v>
      </c>
      <c r="BK537" s="21" t="s">
        <v>7748</v>
      </c>
      <c r="BL537" s="7" t="s">
        <v>7749</v>
      </c>
      <c r="BM537" s="22" t="s">
        <v>7750</v>
      </c>
      <c r="BN537" s="8" t="s">
        <v>94</v>
      </c>
      <c r="BO537" s="17">
        <v>28332</v>
      </c>
      <c r="BP537" s="17" t="s">
        <v>96</v>
      </c>
      <c r="BQ537" s="18" t="s">
        <v>7741</v>
      </c>
      <c r="BR537" s="7" t="s">
        <v>118</v>
      </c>
      <c r="BS537" s="7" t="s">
        <v>126</v>
      </c>
      <c r="BT537" s="7" t="s">
        <v>162</v>
      </c>
      <c r="BU537" s="8" t="s">
        <v>162</v>
      </c>
      <c r="BV537" s="23" t="s">
        <v>162</v>
      </c>
      <c r="BW537" s="24" t="s">
        <v>162</v>
      </c>
      <c r="BX537" s="21" t="s">
        <v>7751</v>
      </c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N537" s="25"/>
      <c r="CO537" s="25"/>
      <c r="CP537" s="25"/>
      <c r="CQ537" s="25"/>
      <c r="CR537" s="25"/>
      <c r="CS537" s="26"/>
    </row>
    <row r="538" spans="1:97" s="27" customFormat="1" ht="23.25" customHeight="1">
      <c r="A538" s="4">
        <v>429</v>
      </c>
      <c r="B538" s="6"/>
      <c r="C538" s="6"/>
      <c r="D538" s="6"/>
      <c r="E538" s="6"/>
      <c r="F538" s="6"/>
      <c r="G538" s="6"/>
      <c r="H538" s="5" t="s">
        <v>7095</v>
      </c>
      <c r="I538" s="6" t="s">
        <v>86</v>
      </c>
      <c r="J538" s="7" t="s">
        <v>2282</v>
      </c>
      <c r="K538" s="7" t="s">
        <v>2084</v>
      </c>
      <c r="L538" s="8"/>
      <c r="M538" s="5">
        <v>1725</v>
      </c>
      <c r="N538" s="5" t="s">
        <v>8957</v>
      </c>
      <c r="O538" s="9" t="s">
        <v>8958</v>
      </c>
      <c r="P538" s="10" t="s">
        <v>8959</v>
      </c>
      <c r="Q538" s="389" t="s">
        <v>8960</v>
      </c>
      <c r="R538" s="8" t="s">
        <v>10796</v>
      </c>
      <c r="S538" s="212" t="s">
        <v>12153</v>
      </c>
      <c r="T538" s="8" t="s">
        <v>8961</v>
      </c>
      <c r="U538" s="11" t="s">
        <v>172</v>
      </c>
      <c r="V538" s="12" t="s">
        <v>94</v>
      </c>
      <c r="W538" s="13">
        <v>42232</v>
      </c>
      <c r="X538" s="5" t="str">
        <f t="shared" ca="1" si="20"/>
        <v>11 Th, 1 Bln</v>
      </c>
      <c r="Y538" s="5"/>
      <c r="Z538" s="14"/>
      <c r="AA538" s="5" t="s">
        <v>96</v>
      </c>
      <c r="AB538" s="5" t="s">
        <v>97</v>
      </c>
      <c r="AC538" s="7" t="s">
        <v>8962</v>
      </c>
      <c r="AD538" s="131">
        <v>10</v>
      </c>
      <c r="AE538" s="131">
        <v>11</v>
      </c>
      <c r="AF538" s="7" t="s">
        <v>7781</v>
      </c>
      <c r="AG538" s="7" t="s">
        <v>6310</v>
      </c>
      <c r="AH538" s="7" t="s">
        <v>141</v>
      </c>
      <c r="AI538" s="7">
        <v>65152</v>
      </c>
      <c r="AJ538" s="7" t="s">
        <v>5535</v>
      </c>
      <c r="AK538" s="7" t="s">
        <v>104</v>
      </c>
      <c r="AL538" s="7">
        <v>5</v>
      </c>
      <c r="AM538" s="15" t="s">
        <v>3142</v>
      </c>
      <c r="AN538" s="15">
        <v>81252526807</v>
      </c>
      <c r="AO538" s="8">
        <v>2</v>
      </c>
      <c r="AP538" s="8">
        <v>1</v>
      </c>
      <c r="AQ538" s="8">
        <v>0</v>
      </c>
      <c r="AR538" s="8">
        <v>0</v>
      </c>
      <c r="AS538" s="132">
        <v>108</v>
      </c>
      <c r="AT538" s="131" t="s">
        <v>8963</v>
      </c>
      <c r="AU538" s="132" t="s">
        <v>182</v>
      </c>
      <c r="AV538" s="16" t="s">
        <v>112</v>
      </c>
      <c r="AW538" s="56" t="s">
        <v>163</v>
      </c>
      <c r="AX538" s="56" t="s">
        <v>8964</v>
      </c>
      <c r="AY538" s="7" t="s">
        <v>8965</v>
      </c>
      <c r="AZ538" s="10" t="s">
        <v>8966</v>
      </c>
      <c r="BA538" s="7" t="s">
        <v>5047</v>
      </c>
      <c r="BB538" s="17">
        <v>31887</v>
      </c>
      <c r="BC538" s="17" t="s">
        <v>7112</v>
      </c>
      <c r="BD538" s="18" t="s">
        <v>8967</v>
      </c>
      <c r="BE538" s="7" t="s">
        <v>224</v>
      </c>
      <c r="BF538" s="7" t="s">
        <v>7113</v>
      </c>
      <c r="BG538" s="7" t="s">
        <v>8968</v>
      </c>
      <c r="BH538" s="7" t="s">
        <v>8969</v>
      </c>
      <c r="BI538" s="19"/>
      <c r="BJ538" s="20">
        <v>5000000</v>
      </c>
      <c r="BK538" s="21" t="s">
        <v>8970</v>
      </c>
      <c r="BL538" s="7" t="s">
        <v>8971</v>
      </c>
      <c r="BM538" s="22" t="s">
        <v>8972</v>
      </c>
      <c r="BN538" s="8" t="s">
        <v>5047</v>
      </c>
      <c r="BO538" s="17">
        <v>32057</v>
      </c>
      <c r="BP538" s="17" t="s">
        <v>96</v>
      </c>
      <c r="BQ538" s="18" t="s">
        <v>8973</v>
      </c>
      <c r="BR538" s="7" t="s">
        <v>153</v>
      </c>
      <c r="BS538" s="7" t="s">
        <v>7113</v>
      </c>
      <c r="BT538" s="7" t="s">
        <v>8974</v>
      </c>
      <c r="BU538" s="8" t="s">
        <v>8975</v>
      </c>
      <c r="BV538" s="23"/>
      <c r="BW538" s="24">
        <v>3500000</v>
      </c>
      <c r="BX538" s="21" t="s">
        <v>8976</v>
      </c>
      <c r="BY538" s="21" t="s">
        <v>8977</v>
      </c>
      <c r="BZ538" s="21" t="s">
        <v>8978</v>
      </c>
      <c r="CA538" s="21">
        <v>21875</v>
      </c>
      <c r="CB538" s="21"/>
      <c r="CC538" s="21"/>
      <c r="CD538" s="21" t="s">
        <v>216</v>
      </c>
      <c r="CE538" s="21" t="s">
        <v>8979</v>
      </c>
      <c r="CF538" s="21" t="s">
        <v>96</v>
      </c>
      <c r="CG538" s="21" t="s">
        <v>8980</v>
      </c>
      <c r="CH538" s="21">
        <v>5</v>
      </c>
      <c r="CI538" s="21">
        <v>8</v>
      </c>
      <c r="CJ538" s="21" t="s">
        <v>7781</v>
      </c>
      <c r="CK538" s="21" t="s">
        <v>6310</v>
      </c>
      <c r="CL538" s="21" t="s">
        <v>5535</v>
      </c>
      <c r="CN538" s="25"/>
      <c r="CO538" s="25"/>
      <c r="CP538" s="25"/>
      <c r="CQ538" s="25"/>
      <c r="CR538" s="25"/>
      <c r="CS538" s="26"/>
    </row>
    <row r="539" spans="1:97" s="27" customFormat="1" ht="23.25" customHeight="1">
      <c r="A539" s="4">
        <v>432</v>
      </c>
      <c r="B539" s="6"/>
      <c r="C539" s="6"/>
      <c r="D539" s="6"/>
      <c r="E539" s="6"/>
      <c r="F539" s="6"/>
      <c r="G539" s="6"/>
      <c r="H539" s="5" t="s">
        <v>7095</v>
      </c>
      <c r="I539" s="6" t="s">
        <v>86</v>
      </c>
      <c r="J539" s="7" t="s">
        <v>9027</v>
      </c>
      <c r="K539" s="7" t="s">
        <v>9028</v>
      </c>
      <c r="L539" s="8"/>
      <c r="M539" s="5">
        <v>1733</v>
      </c>
      <c r="N539" s="5" t="s">
        <v>9029</v>
      </c>
      <c r="O539" s="9" t="s">
        <v>9030</v>
      </c>
      <c r="P539" s="10" t="s">
        <v>9031</v>
      </c>
      <c r="Q539" s="389" t="s">
        <v>9032</v>
      </c>
      <c r="R539" s="8" t="s">
        <v>10796</v>
      </c>
      <c r="S539" s="212" t="s">
        <v>12153</v>
      </c>
      <c r="T539" s="8" t="s">
        <v>9033</v>
      </c>
      <c r="U539" s="11" t="s">
        <v>93</v>
      </c>
      <c r="V539" s="12" t="s">
        <v>94</v>
      </c>
      <c r="W539" s="13">
        <v>42333</v>
      </c>
      <c r="X539" s="5" t="str">
        <f t="shared" ca="1" si="20"/>
        <v>10 Th, 9 Bln</v>
      </c>
      <c r="Y539" s="5"/>
      <c r="Z539" s="14"/>
      <c r="AA539" s="5" t="s">
        <v>96</v>
      </c>
      <c r="AB539" s="5" t="s">
        <v>97</v>
      </c>
      <c r="AC539" s="7" t="s">
        <v>9034</v>
      </c>
      <c r="AD539" s="131">
        <v>5</v>
      </c>
      <c r="AE539" s="131">
        <v>9</v>
      </c>
      <c r="AF539" s="7" t="s">
        <v>7977</v>
      </c>
      <c r="AG539" s="7" t="s">
        <v>5046</v>
      </c>
      <c r="AH539" s="7" t="s">
        <v>178</v>
      </c>
      <c r="AI539" s="7">
        <v>65141</v>
      </c>
      <c r="AJ539" s="7" t="s">
        <v>7106</v>
      </c>
      <c r="AK539" s="7" t="s">
        <v>104</v>
      </c>
      <c r="AL539" s="7" t="s">
        <v>4986</v>
      </c>
      <c r="AM539" s="15" t="s">
        <v>9035</v>
      </c>
      <c r="AN539" s="15" t="s">
        <v>9035</v>
      </c>
      <c r="AO539" s="8">
        <v>2</v>
      </c>
      <c r="AP539" s="8">
        <v>1</v>
      </c>
      <c r="AQ539" s="8">
        <v>0</v>
      </c>
      <c r="AR539" s="8" t="s">
        <v>182</v>
      </c>
      <c r="AS539" s="132">
        <v>122</v>
      </c>
      <c r="AT539" s="131">
        <v>16.3</v>
      </c>
      <c r="AU539" s="132" t="s">
        <v>498</v>
      </c>
      <c r="AV539" s="16" t="s">
        <v>112</v>
      </c>
      <c r="AW539" s="56" t="s">
        <v>6967</v>
      </c>
      <c r="AX539" s="56" t="s">
        <v>7136</v>
      </c>
      <c r="AY539" s="7" t="s">
        <v>9036</v>
      </c>
      <c r="AZ539" s="10" t="s">
        <v>9037</v>
      </c>
      <c r="BA539" s="7" t="s">
        <v>9038</v>
      </c>
      <c r="BB539" s="17">
        <v>29010</v>
      </c>
      <c r="BC539" s="17" t="s">
        <v>7112</v>
      </c>
      <c r="BD539" s="18" t="s">
        <v>9039</v>
      </c>
      <c r="BE539" s="7" t="s">
        <v>118</v>
      </c>
      <c r="BF539" s="7" t="s">
        <v>5043</v>
      </c>
      <c r="BG539" s="7" t="s">
        <v>9040</v>
      </c>
      <c r="BH539" s="7" t="s">
        <v>9041</v>
      </c>
      <c r="BI539" s="19" t="s">
        <v>127</v>
      </c>
      <c r="BJ539" s="20">
        <v>5000000</v>
      </c>
      <c r="BK539" s="21" t="s">
        <v>9042</v>
      </c>
      <c r="BL539" s="7" t="s">
        <v>9043</v>
      </c>
      <c r="BM539" s="22" t="s">
        <v>9044</v>
      </c>
      <c r="BN539" s="8" t="s">
        <v>9045</v>
      </c>
      <c r="BO539" s="17">
        <v>28690</v>
      </c>
      <c r="BP539" s="17" t="s">
        <v>96</v>
      </c>
      <c r="BQ539" s="18" t="s">
        <v>9035</v>
      </c>
      <c r="BR539" s="7" t="s">
        <v>118</v>
      </c>
      <c r="BS539" s="7" t="s">
        <v>5934</v>
      </c>
      <c r="BT539" s="7" t="s">
        <v>9046</v>
      </c>
      <c r="BU539" s="8" t="s">
        <v>9047</v>
      </c>
      <c r="BV539" s="23" t="s">
        <v>9048</v>
      </c>
      <c r="BW539" s="24">
        <v>5000000</v>
      </c>
      <c r="BX539" s="21" t="s">
        <v>9049</v>
      </c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N539" s="25"/>
      <c r="CO539" s="25"/>
      <c r="CP539" s="25"/>
      <c r="CQ539" s="25"/>
      <c r="CR539" s="25"/>
      <c r="CS539" s="26"/>
    </row>
    <row r="540" spans="1:97" s="27" customFormat="1" ht="23.25" customHeight="1">
      <c r="A540" s="4">
        <v>404</v>
      </c>
      <c r="B540" s="28"/>
      <c r="C540" s="28"/>
      <c r="D540" s="28"/>
      <c r="E540" s="28"/>
      <c r="F540" s="28"/>
      <c r="G540" s="28"/>
      <c r="H540" s="29" t="s">
        <v>7095</v>
      </c>
      <c r="I540" s="28" t="s">
        <v>1216</v>
      </c>
      <c r="J540" s="30" t="s">
        <v>8413</v>
      </c>
      <c r="K540" s="30" t="s">
        <v>8414</v>
      </c>
      <c r="L540" s="31"/>
      <c r="M540" s="29">
        <v>1736</v>
      </c>
      <c r="N540" s="29" t="s">
        <v>8415</v>
      </c>
      <c r="O540" s="92" t="s">
        <v>8416</v>
      </c>
      <c r="P540" s="32" t="s">
        <v>8417</v>
      </c>
      <c r="Q540" s="390" t="s">
        <v>8418</v>
      </c>
      <c r="R540" s="8" t="s">
        <v>10796</v>
      </c>
      <c r="S540" s="212" t="s">
        <v>12153</v>
      </c>
      <c r="T540" s="31" t="s">
        <v>1655</v>
      </c>
      <c r="U540" s="33" t="s">
        <v>172</v>
      </c>
      <c r="V540" s="34" t="s">
        <v>94</v>
      </c>
      <c r="W540" s="35">
        <v>42252</v>
      </c>
      <c r="X540" s="31" t="str">
        <f t="shared" ca="1" si="20"/>
        <v>11 Th, 0 Bln</v>
      </c>
      <c r="Y540" s="31"/>
      <c r="Z540" s="36"/>
      <c r="AA540" s="31" t="s">
        <v>96</v>
      </c>
      <c r="AB540" s="31" t="s">
        <v>97</v>
      </c>
      <c r="AC540" s="30" t="s">
        <v>8419</v>
      </c>
      <c r="AD540" s="129" t="s">
        <v>384</v>
      </c>
      <c r="AE540" s="129">
        <v>14</v>
      </c>
      <c r="AF540" s="30" t="s">
        <v>8420</v>
      </c>
      <c r="AG540" s="30" t="s">
        <v>7674</v>
      </c>
      <c r="AH540" s="30" t="s">
        <v>2159</v>
      </c>
      <c r="AI540" s="30">
        <v>65139</v>
      </c>
      <c r="AJ540" s="30" t="s">
        <v>5047</v>
      </c>
      <c r="AK540" s="30" t="s">
        <v>104</v>
      </c>
      <c r="AL540" s="30" t="s">
        <v>7910</v>
      </c>
      <c r="AM540" s="37">
        <v>0</v>
      </c>
      <c r="AN540" s="37" t="s">
        <v>8421</v>
      </c>
      <c r="AO540" s="31">
        <v>1</v>
      </c>
      <c r="AP540" s="31">
        <v>1</v>
      </c>
      <c r="AQ540" s="31">
        <v>0</v>
      </c>
      <c r="AR540" s="31"/>
      <c r="AS540" s="130">
        <v>120</v>
      </c>
      <c r="AT540" s="129">
        <v>20</v>
      </c>
      <c r="AU540" s="130" t="s">
        <v>182</v>
      </c>
      <c r="AV540" s="38" t="s">
        <v>112</v>
      </c>
      <c r="AW540" s="123" t="s">
        <v>113</v>
      </c>
      <c r="AX540" s="123" t="s">
        <v>7136</v>
      </c>
      <c r="AY540" s="30" t="s">
        <v>8422</v>
      </c>
      <c r="AZ540" s="32" t="s">
        <v>8423</v>
      </c>
      <c r="BA540" s="30" t="s">
        <v>7700</v>
      </c>
      <c r="BB540" s="39">
        <v>31696</v>
      </c>
      <c r="BC540" s="39" t="s">
        <v>7112</v>
      </c>
      <c r="BD540" s="40">
        <v>81233234696</v>
      </c>
      <c r="BE540" s="30" t="s">
        <v>118</v>
      </c>
      <c r="BF540" s="30" t="s">
        <v>5043</v>
      </c>
      <c r="BG540" s="30">
        <v>0</v>
      </c>
      <c r="BH540" s="30" t="s">
        <v>8424</v>
      </c>
      <c r="BI540" s="41">
        <v>0</v>
      </c>
      <c r="BJ540" s="42">
        <v>10000000</v>
      </c>
      <c r="BK540" s="43" t="s">
        <v>8425</v>
      </c>
      <c r="BL540" s="30" t="s">
        <v>8426</v>
      </c>
      <c r="BM540" s="44" t="s">
        <v>8427</v>
      </c>
      <c r="BN540" s="125" t="s">
        <v>5047</v>
      </c>
      <c r="BO540" s="39">
        <v>31953</v>
      </c>
      <c r="BP540" s="39" t="s">
        <v>8428</v>
      </c>
      <c r="BQ540" s="40" t="s">
        <v>8421</v>
      </c>
      <c r="BR540" s="30" t="s">
        <v>118</v>
      </c>
      <c r="BS540" s="30" t="s">
        <v>5043</v>
      </c>
      <c r="BT540" s="30">
        <v>0</v>
      </c>
      <c r="BU540" s="30" t="s">
        <v>8424</v>
      </c>
      <c r="BV540" s="45">
        <v>0</v>
      </c>
      <c r="BW540" s="46">
        <v>3000000</v>
      </c>
      <c r="BX540" s="47" t="s">
        <v>8429</v>
      </c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N540" s="25"/>
      <c r="CO540" s="25"/>
      <c r="CP540" s="25"/>
      <c r="CQ540" s="25"/>
      <c r="CR540" s="25"/>
      <c r="CS540" s="26"/>
    </row>
    <row r="541" spans="1:97" s="27" customFormat="1" ht="23.25" customHeight="1">
      <c r="A541" s="4">
        <v>351</v>
      </c>
      <c r="B541" s="6"/>
      <c r="C541" s="6"/>
      <c r="D541" s="6"/>
      <c r="E541" s="6"/>
      <c r="F541" s="6"/>
      <c r="G541" s="6"/>
      <c r="H541" s="5" t="s">
        <v>7095</v>
      </c>
      <c r="I541" s="6" t="s">
        <v>86</v>
      </c>
      <c r="J541" s="7" t="s">
        <v>311</v>
      </c>
      <c r="K541" s="7" t="s">
        <v>7206</v>
      </c>
      <c r="L541" s="8"/>
      <c r="M541" s="5">
        <v>1738</v>
      </c>
      <c r="N541" s="5">
        <v>3154608258</v>
      </c>
      <c r="O541" s="9" t="s">
        <v>7207</v>
      </c>
      <c r="P541" s="10" t="s">
        <v>7208</v>
      </c>
      <c r="Q541" s="389" t="s">
        <v>7209</v>
      </c>
      <c r="R541" s="8" t="s">
        <v>10796</v>
      </c>
      <c r="S541" s="596" t="s">
        <v>12153</v>
      </c>
      <c r="T541" s="8" t="s">
        <v>7210</v>
      </c>
      <c r="U541" s="11" t="s">
        <v>172</v>
      </c>
      <c r="V541" s="12" t="s">
        <v>971</v>
      </c>
      <c r="W541" s="13">
        <v>42321</v>
      </c>
      <c r="X541" s="5" t="str">
        <f t="shared" ca="1" si="20"/>
        <v>10 Th, 10 Bln</v>
      </c>
      <c r="Y541" s="5"/>
      <c r="Z541" s="14"/>
      <c r="AA541" s="5" t="s">
        <v>96</v>
      </c>
      <c r="AB541" s="5" t="s">
        <v>97</v>
      </c>
      <c r="AC541" s="7" t="s">
        <v>7211</v>
      </c>
      <c r="AD541" s="131" t="s">
        <v>293</v>
      </c>
      <c r="AE541" s="131" t="s">
        <v>137</v>
      </c>
      <c r="AF541" s="7" t="s">
        <v>7212</v>
      </c>
      <c r="AG541" s="7" t="s">
        <v>5046</v>
      </c>
      <c r="AH541" s="7" t="s">
        <v>178</v>
      </c>
      <c r="AI541" s="7">
        <v>65153</v>
      </c>
      <c r="AJ541" s="7" t="s">
        <v>5047</v>
      </c>
      <c r="AK541" s="7" t="s">
        <v>179</v>
      </c>
      <c r="AL541" s="7" t="s">
        <v>7213</v>
      </c>
      <c r="AM541" s="15" t="s">
        <v>2459</v>
      </c>
      <c r="AN541" s="15" t="s">
        <v>7214</v>
      </c>
      <c r="AO541" s="8">
        <v>1</v>
      </c>
      <c r="AP541" s="8">
        <v>0</v>
      </c>
      <c r="AQ541" s="8">
        <v>0</v>
      </c>
      <c r="AR541" s="8">
        <v>0</v>
      </c>
      <c r="AS541" s="132" t="s">
        <v>272</v>
      </c>
      <c r="AT541" s="131" t="s">
        <v>5189</v>
      </c>
      <c r="AU541" s="132" t="s">
        <v>182</v>
      </c>
      <c r="AV541" s="16" t="s">
        <v>112</v>
      </c>
      <c r="AW541" s="56" t="s">
        <v>113</v>
      </c>
      <c r="AX541" s="56" t="s">
        <v>7108</v>
      </c>
      <c r="AY541" s="7" t="s">
        <v>7215</v>
      </c>
      <c r="AZ541" s="10" t="s">
        <v>7216</v>
      </c>
      <c r="BA541" s="7" t="s">
        <v>7217</v>
      </c>
      <c r="BB541" s="17">
        <v>31590</v>
      </c>
      <c r="BC541" s="17" t="s">
        <v>7112</v>
      </c>
      <c r="BD541" s="18" t="s">
        <v>7218</v>
      </c>
      <c r="BE541" s="7" t="s">
        <v>118</v>
      </c>
      <c r="BF541" s="7" t="s">
        <v>7219</v>
      </c>
      <c r="BG541" s="7" t="s">
        <v>7220</v>
      </c>
      <c r="BH541" s="7" t="s">
        <v>5047</v>
      </c>
      <c r="BI541" s="19">
        <v>0</v>
      </c>
      <c r="BJ541" s="20">
        <v>10000000</v>
      </c>
      <c r="BK541" s="21" t="s">
        <v>7221</v>
      </c>
      <c r="BL541" s="7" t="s">
        <v>7222</v>
      </c>
      <c r="BM541" s="22" t="s">
        <v>7223</v>
      </c>
      <c r="BN541" s="8" t="s">
        <v>7224</v>
      </c>
      <c r="BO541" s="17">
        <v>31628</v>
      </c>
      <c r="BP541" s="17" t="s">
        <v>96</v>
      </c>
      <c r="BQ541" s="18" t="s">
        <v>7214</v>
      </c>
      <c r="BR541" s="7" t="s">
        <v>118</v>
      </c>
      <c r="BS541" s="7" t="s">
        <v>7225</v>
      </c>
      <c r="BT541" s="7" t="s">
        <v>7226</v>
      </c>
      <c r="BU541" s="8" t="s">
        <v>7227</v>
      </c>
      <c r="BV541" s="23" t="s">
        <v>2459</v>
      </c>
      <c r="BW541" s="24">
        <v>8000000</v>
      </c>
      <c r="BX541" s="21" t="s">
        <v>7228</v>
      </c>
      <c r="BY541" s="21" t="s">
        <v>7229</v>
      </c>
      <c r="BZ541" s="21" t="s">
        <v>7230</v>
      </c>
      <c r="CA541" s="21">
        <v>30884</v>
      </c>
      <c r="CB541" s="21"/>
      <c r="CC541" s="21">
        <v>0</v>
      </c>
      <c r="CD541" s="21" t="s">
        <v>118</v>
      </c>
      <c r="CE541" s="21" t="s">
        <v>5934</v>
      </c>
      <c r="CF541" s="21" t="s">
        <v>96</v>
      </c>
      <c r="CG541" s="21" t="s">
        <v>7217</v>
      </c>
      <c r="CH541" s="21">
        <v>0</v>
      </c>
      <c r="CI541" s="21">
        <v>0</v>
      </c>
      <c r="CJ541" s="21" t="s">
        <v>7231</v>
      </c>
      <c r="CK541" s="21" t="s">
        <v>7232</v>
      </c>
      <c r="CL541" s="21" t="s">
        <v>7217</v>
      </c>
      <c r="CN541" s="25"/>
      <c r="CO541" s="25"/>
      <c r="CP541" s="25"/>
      <c r="CQ541" s="25"/>
      <c r="CR541" s="25"/>
      <c r="CS541" s="26"/>
    </row>
    <row r="542" spans="1:97" s="27" customFormat="1" ht="23.25" customHeight="1">
      <c r="A542" s="4">
        <v>375</v>
      </c>
      <c r="B542" s="6"/>
      <c r="C542" s="6"/>
      <c r="D542" s="6"/>
      <c r="E542" s="6"/>
      <c r="F542" s="6"/>
      <c r="G542" s="6"/>
      <c r="H542" s="5" t="s">
        <v>7095</v>
      </c>
      <c r="I542" s="6" t="s">
        <v>86</v>
      </c>
      <c r="J542" s="7" t="s">
        <v>7774</v>
      </c>
      <c r="K542" s="7" t="s">
        <v>7775</v>
      </c>
      <c r="L542" s="8"/>
      <c r="M542" s="5">
        <v>1739</v>
      </c>
      <c r="N542" s="5" t="s">
        <v>7776</v>
      </c>
      <c r="O542" s="9" t="s">
        <v>7777</v>
      </c>
      <c r="P542" s="10" t="s">
        <v>7777</v>
      </c>
      <c r="Q542" s="389" t="s">
        <v>7778</v>
      </c>
      <c r="R542" s="8" t="s">
        <v>10796</v>
      </c>
      <c r="S542" s="212" t="s">
        <v>12153</v>
      </c>
      <c r="T542" s="8" t="s">
        <v>7779</v>
      </c>
      <c r="U542" s="11" t="s">
        <v>93</v>
      </c>
      <c r="V542" s="12" t="s">
        <v>519</v>
      </c>
      <c r="W542" s="13">
        <v>42222</v>
      </c>
      <c r="X542" s="5" t="str">
        <f t="shared" ca="1" si="20"/>
        <v>11 Th, 1 Bln</v>
      </c>
      <c r="Y542" s="5"/>
      <c r="Z542" s="14"/>
      <c r="AA542" s="5" t="s">
        <v>96</v>
      </c>
      <c r="AB542" s="5" t="s">
        <v>97</v>
      </c>
      <c r="AC542" s="7" t="s">
        <v>7780</v>
      </c>
      <c r="AD542" s="131" t="s">
        <v>100</v>
      </c>
      <c r="AE542" s="131">
        <v>12</v>
      </c>
      <c r="AF542" s="7" t="s">
        <v>7781</v>
      </c>
      <c r="AG542" s="7" t="s">
        <v>7496</v>
      </c>
      <c r="AH542" s="7" t="s">
        <v>141</v>
      </c>
      <c r="AI542" s="7">
        <v>65152</v>
      </c>
      <c r="AJ542" s="7" t="s">
        <v>7782</v>
      </c>
      <c r="AK542" s="7" t="s">
        <v>386</v>
      </c>
      <c r="AL542" s="7">
        <v>5</v>
      </c>
      <c r="AM542" s="15">
        <v>0</v>
      </c>
      <c r="AN542" s="15" t="s">
        <v>7783</v>
      </c>
      <c r="AO542" s="8">
        <v>1</v>
      </c>
      <c r="AP542" s="8">
        <v>0</v>
      </c>
      <c r="AQ542" s="8">
        <v>0</v>
      </c>
      <c r="AR542" s="8">
        <v>0</v>
      </c>
      <c r="AS542" s="132">
        <v>112</v>
      </c>
      <c r="AT542" s="131">
        <v>17</v>
      </c>
      <c r="AU542" s="132" t="s">
        <v>149</v>
      </c>
      <c r="AV542" s="16" t="s">
        <v>112</v>
      </c>
      <c r="AW542" s="56" t="s">
        <v>7784</v>
      </c>
      <c r="AX542" s="56" t="s">
        <v>7108</v>
      </c>
      <c r="AY542" s="7" t="s">
        <v>7785</v>
      </c>
      <c r="AZ542" s="10" t="s">
        <v>7786</v>
      </c>
      <c r="BA542" s="7" t="s">
        <v>7576</v>
      </c>
      <c r="BB542" s="17">
        <v>31822</v>
      </c>
      <c r="BC542" s="17" t="s">
        <v>7112</v>
      </c>
      <c r="BD542" s="18" t="s">
        <v>7787</v>
      </c>
      <c r="BE542" s="7" t="s">
        <v>118</v>
      </c>
      <c r="BF542" s="7" t="s">
        <v>5043</v>
      </c>
      <c r="BG542" s="7" t="s">
        <v>7788</v>
      </c>
      <c r="BH542" s="7" t="s">
        <v>7780</v>
      </c>
      <c r="BI542" s="19" t="s">
        <v>7787</v>
      </c>
      <c r="BJ542" s="20">
        <v>10000000</v>
      </c>
      <c r="BK542" s="21" t="s">
        <v>7789</v>
      </c>
      <c r="BL542" s="7" t="s">
        <v>7790</v>
      </c>
      <c r="BM542" s="22" t="s">
        <v>7791</v>
      </c>
      <c r="BN542" s="8" t="s">
        <v>7792</v>
      </c>
      <c r="BO542" s="17">
        <v>31718</v>
      </c>
      <c r="BP542" s="17" t="s">
        <v>96</v>
      </c>
      <c r="BQ542" s="18" t="s">
        <v>7783</v>
      </c>
      <c r="BR542" s="7" t="s">
        <v>118</v>
      </c>
      <c r="BS542" s="7" t="s">
        <v>5043</v>
      </c>
      <c r="BT542" s="7" t="s">
        <v>7793</v>
      </c>
      <c r="BU542" s="8" t="s">
        <v>7794</v>
      </c>
      <c r="BV542" s="23"/>
      <c r="BW542" s="24">
        <v>5000000</v>
      </c>
      <c r="BX542" s="21" t="s">
        <v>7795</v>
      </c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N542" s="25"/>
      <c r="CO542" s="25"/>
      <c r="CP542" s="25"/>
      <c r="CQ542" s="25"/>
      <c r="CR542" s="25"/>
      <c r="CS542" s="26"/>
    </row>
    <row r="543" spans="1:97" s="27" customFormat="1" ht="23.25" customHeight="1">
      <c r="A543" s="4">
        <v>352</v>
      </c>
      <c r="B543" s="6"/>
      <c r="C543" s="6"/>
      <c r="D543" s="6"/>
      <c r="E543" s="6"/>
      <c r="F543" s="6"/>
      <c r="G543" s="6"/>
      <c r="H543" s="5" t="s">
        <v>7095</v>
      </c>
      <c r="I543" s="6" t="s">
        <v>86</v>
      </c>
      <c r="J543" s="7" t="s">
        <v>87</v>
      </c>
      <c r="K543" s="7" t="s">
        <v>7233</v>
      </c>
      <c r="L543" s="8"/>
      <c r="M543" s="5">
        <v>1741</v>
      </c>
      <c r="N543" s="5" t="s">
        <v>7234</v>
      </c>
      <c r="O543" s="9" t="s">
        <v>89</v>
      </c>
      <c r="P543" s="10" t="s">
        <v>7235</v>
      </c>
      <c r="Q543" s="389" t="s">
        <v>7236</v>
      </c>
      <c r="R543" s="8" t="s">
        <v>10796</v>
      </c>
      <c r="S543" s="212" t="s">
        <v>12153</v>
      </c>
      <c r="T543" s="8" t="s">
        <v>7237</v>
      </c>
      <c r="U543" s="11" t="s">
        <v>93</v>
      </c>
      <c r="V543" s="12" t="s">
        <v>94</v>
      </c>
      <c r="W543" s="13">
        <v>42469</v>
      </c>
      <c r="X543" s="5" t="str">
        <f t="shared" ca="1" si="20"/>
        <v>10 Th, 5 Bln</v>
      </c>
      <c r="Y543" s="5"/>
      <c r="Z543" s="14"/>
      <c r="AA543" s="5" t="s">
        <v>96</v>
      </c>
      <c r="AB543" s="5" t="s">
        <v>97</v>
      </c>
      <c r="AC543" s="7" t="s">
        <v>7238</v>
      </c>
      <c r="AD543" s="131" t="s">
        <v>358</v>
      </c>
      <c r="AE543" s="131" t="s">
        <v>827</v>
      </c>
      <c r="AF543" s="7" t="s">
        <v>7239</v>
      </c>
      <c r="AG543" s="7" t="s">
        <v>7133</v>
      </c>
      <c r="AH543" s="7" t="s">
        <v>102</v>
      </c>
      <c r="AI543" s="7">
        <v>65148</v>
      </c>
      <c r="AJ543" s="7" t="s">
        <v>7106</v>
      </c>
      <c r="AK543" s="7" t="s">
        <v>179</v>
      </c>
      <c r="AL543" s="7" t="s">
        <v>7240</v>
      </c>
      <c r="AM543" s="15" t="s">
        <v>106</v>
      </c>
      <c r="AN543" s="15" t="s">
        <v>106</v>
      </c>
      <c r="AO543" s="8">
        <v>1</v>
      </c>
      <c r="AP543" s="8">
        <v>2</v>
      </c>
      <c r="AQ543" s="8"/>
      <c r="AR543" s="8"/>
      <c r="AS543" s="132" t="s">
        <v>110</v>
      </c>
      <c r="AT543" s="131" t="s">
        <v>7241</v>
      </c>
      <c r="AU543" s="132" t="s">
        <v>182</v>
      </c>
      <c r="AV543" s="16" t="s">
        <v>112</v>
      </c>
      <c r="AW543" s="56" t="s">
        <v>113</v>
      </c>
      <c r="AX543" s="56" t="s">
        <v>7108</v>
      </c>
      <c r="AY543" s="7" t="s">
        <v>7242</v>
      </c>
      <c r="AZ543" s="10" t="s">
        <v>116</v>
      </c>
      <c r="BA543" s="7" t="s">
        <v>5047</v>
      </c>
      <c r="BB543" s="17">
        <v>32386</v>
      </c>
      <c r="BC543" s="17" t="s">
        <v>7112</v>
      </c>
      <c r="BD543" s="18" t="s">
        <v>117</v>
      </c>
      <c r="BE543" s="7" t="s">
        <v>118</v>
      </c>
      <c r="BF543" s="7" t="s">
        <v>7243</v>
      </c>
      <c r="BG543" s="7" t="s">
        <v>120</v>
      </c>
      <c r="BH543" s="7" t="s">
        <v>7244</v>
      </c>
      <c r="BI543" s="19"/>
      <c r="BJ543" s="20">
        <v>8000000</v>
      </c>
      <c r="BK543" s="21"/>
      <c r="BL543" s="7" t="s">
        <v>7245</v>
      </c>
      <c r="BM543" s="22" t="s">
        <v>7246</v>
      </c>
      <c r="BN543" s="8" t="s">
        <v>7247</v>
      </c>
      <c r="BO543" s="17">
        <v>32291</v>
      </c>
      <c r="BP543" s="17" t="s">
        <v>96</v>
      </c>
      <c r="BQ543" s="18" t="s">
        <v>106</v>
      </c>
      <c r="BR543" s="7" t="s">
        <v>118</v>
      </c>
      <c r="BS543" s="7" t="s">
        <v>5653</v>
      </c>
      <c r="BT543" s="7" t="s">
        <v>5653</v>
      </c>
      <c r="BU543" s="8" t="s">
        <v>7248</v>
      </c>
      <c r="BV543" s="23"/>
      <c r="BW543" s="24" t="s">
        <v>7249</v>
      </c>
      <c r="BX543" s="21" t="s">
        <v>128</v>
      </c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N543" s="25"/>
      <c r="CO543" s="25"/>
      <c r="CP543" s="25"/>
      <c r="CQ543" s="25"/>
      <c r="CR543" s="25"/>
      <c r="CS543" s="26"/>
    </row>
    <row r="544" spans="1:97" s="27" customFormat="1" ht="23.25" customHeight="1">
      <c r="A544" s="4">
        <v>378</v>
      </c>
      <c r="B544" s="6"/>
      <c r="C544" s="6"/>
      <c r="D544" s="6"/>
      <c r="E544" s="6"/>
      <c r="F544" s="6"/>
      <c r="G544" s="6"/>
      <c r="H544" s="5" t="s">
        <v>7095</v>
      </c>
      <c r="I544" s="6" t="s">
        <v>86</v>
      </c>
      <c r="J544" s="7" t="s">
        <v>7821</v>
      </c>
      <c r="K544" s="7" t="s">
        <v>7822</v>
      </c>
      <c r="L544" s="8"/>
      <c r="M544" s="5">
        <v>1745</v>
      </c>
      <c r="N544" s="5">
        <v>3156814806</v>
      </c>
      <c r="O544" s="9" t="s">
        <v>7823</v>
      </c>
      <c r="P544" s="10" t="s">
        <v>7824</v>
      </c>
      <c r="Q544" s="389" t="s">
        <v>7825</v>
      </c>
      <c r="R544" s="8" t="s">
        <v>10796</v>
      </c>
      <c r="S544" s="212" t="s">
        <v>12153</v>
      </c>
      <c r="T544" s="8" t="s">
        <v>7826</v>
      </c>
      <c r="U544" s="11" t="s">
        <v>93</v>
      </c>
      <c r="V544" s="12" t="s">
        <v>94</v>
      </c>
      <c r="W544" s="13">
        <v>42222</v>
      </c>
      <c r="X544" s="5" t="str">
        <f t="shared" ca="1" si="20"/>
        <v>11 Th, 1 Bln</v>
      </c>
      <c r="Y544" s="5"/>
      <c r="Z544" s="14"/>
      <c r="AA544" s="5" t="s">
        <v>96</v>
      </c>
      <c r="AB544" s="5" t="s">
        <v>97</v>
      </c>
      <c r="AC544" s="7" t="s">
        <v>7827</v>
      </c>
      <c r="AD544" s="131" t="s">
        <v>176</v>
      </c>
      <c r="AE544" s="131" t="s">
        <v>138</v>
      </c>
      <c r="AF544" s="7" t="s">
        <v>521</v>
      </c>
      <c r="AG544" s="7" t="s">
        <v>178</v>
      </c>
      <c r="AH544" s="7" t="s">
        <v>178</v>
      </c>
      <c r="AI544" s="7">
        <v>65141</v>
      </c>
      <c r="AJ544" s="7" t="s">
        <v>103</v>
      </c>
      <c r="AK544" s="7" t="s">
        <v>104</v>
      </c>
      <c r="AL544" s="7" t="s">
        <v>5030</v>
      </c>
      <c r="AM544" s="15">
        <v>0</v>
      </c>
      <c r="AN544" s="15" t="s">
        <v>7828</v>
      </c>
      <c r="AO544" s="8">
        <v>2</v>
      </c>
      <c r="AP544" s="8">
        <v>1</v>
      </c>
      <c r="AQ544" s="8"/>
      <c r="AR544" s="8"/>
      <c r="AS544" s="132">
        <v>117</v>
      </c>
      <c r="AT544" s="131">
        <v>25</v>
      </c>
      <c r="AU544" s="132" t="s">
        <v>149</v>
      </c>
      <c r="AV544" s="16" t="s">
        <v>112</v>
      </c>
      <c r="AW544" s="56" t="s">
        <v>163</v>
      </c>
      <c r="AX544" s="56" t="s">
        <v>114</v>
      </c>
      <c r="AY544" s="7" t="s">
        <v>7829</v>
      </c>
      <c r="AZ544" s="10" t="s">
        <v>7830</v>
      </c>
      <c r="BA544" s="7" t="s">
        <v>511</v>
      </c>
      <c r="BB544" s="17">
        <v>44472</v>
      </c>
      <c r="BC544" s="17" t="s">
        <v>96</v>
      </c>
      <c r="BD544" s="18" t="s">
        <v>7831</v>
      </c>
      <c r="BE544" s="7" t="s">
        <v>118</v>
      </c>
      <c r="BF544" s="7" t="s">
        <v>7832</v>
      </c>
      <c r="BG544" s="7" t="s">
        <v>7833</v>
      </c>
      <c r="BH544" s="7" t="s">
        <v>7834</v>
      </c>
      <c r="BI544" s="19"/>
      <c r="BJ544" s="20">
        <v>4500000</v>
      </c>
      <c r="BK544" s="21"/>
      <c r="BL544" s="7" t="s">
        <v>7835</v>
      </c>
      <c r="BM544" s="22" t="s">
        <v>7836</v>
      </c>
      <c r="BN544" s="8" t="s">
        <v>511</v>
      </c>
      <c r="BO544" s="17">
        <v>31359</v>
      </c>
      <c r="BP544" s="17" t="s">
        <v>96</v>
      </c>
      <c r="BQ544" s="18" t="s">
        <v>7828</v>
      </c>
      <c r="BR544" s="7" t="s">
        <v>118</v>
      </c>
      <c r="BS544" s="7" t="s">
        <v>4901</v>
      </c>
      <c r="BT544" s="7" t="s">
        <v>7837</v>
      </c>
      <c r="BU544" s="8" t="s">
        <v>7838</v>
      </c>
      <c r="BV544" s="23"/>
      <c r="BW544" s="24" t="s">
        <v>7839</v>
      </c>
      <c r="BX544" s="21"/>
      <c r="BY544" s="21" t="s">
        <v>7840</v>
      </c>
      <c r="BZ544" s="21" t="s">
        <v>7700</v>
      </c>
      <c r="CA544" s="21">
        <v>23996</v>
      </c>
      <c r="CB544" s="21"/>
      <c r="CC544" s="21" t="s">
        <v>7841</v>
      </c>
      <c r="CD544" s="21" t="s">
        <v>216</v>
      </c>
      <c r="CE544" s="21"/>
      <c r="CF544" s="21" t="s">
        <v>96</v>
      </c>
      <c r="CG544" s="21"/>
      <c r="CH544" s="21"/>
      <c r="CI544" s="21"/>
      <c r="CJ544" s="21"/>
      <c r="CK544" s="21"/>
      <c r="CL544" s="21"/>
      <c r="CN544" s="25"/>
      <c r="CO544" s="25"/>
      <c r="CP544" s="25"/>
      <c r="CQ544" s="25"/>
      <c r="CR544" s="25"/>
      <c r="CS544" s="26"/>
    </row>
    <row r="545" spans="1:97" s="27" customFormat="1" ht="29.25" customHeight="1">
      <c r="A545" s="4">
        <v>355</v>
      </c>
      <c r="B545" s="6"/>
      <c r="C545" s="6"/>
      <c r="D545" s="6"/>
      <c r="E545" s="6"/>
      <c r="F545" s="6"/>
      <c r="G545" s="6"/>
      <c r="H545" s="5" t="s">
        <v>7095</v>
      </c>
      <c r="I545" s="6" t="s">
        <v>86</v>
      </c>
      <c r="J545" s="7" t="s">
        <v>166</v>
      </c>
      <c r="K545" s="7" t="s">
        <v>7299</v>
      </c>
      <c r="L545" s="8"/>
      <c r="M545" s="5">
        <v>1755</v>
      </c>
      <c r="N545" s="5" t="s">
        <v>7300</v>
      </c>
      <c r="O545" s="9" t="s">
        <v>7301</v>
      </c>
      <c r="P545" s="10" t="s">
        <v>7302</v>
      </c>
      <c r="Q545" s="389" t="s">
        <v>7303</v>
      </c>
      <c r="R545" s="8" t="s">
        <v>10796</v>
      </c>
      <c r="S545" s="212" t="s">
        <v>12153</v>
      </c>
      <c r="T545" s="8" t="s">
        <v>7304</v>
      </c>
      <c r="U545" s="11" t="s">
        <v>93</v>
      </c>
      <c r="V545" s="12" t="s">
        <v>94</v>
      </c>
      <c r="W545" s="13">
        <v>42458</v>
      </c>
      <c r="X545" s="5" t="str">
        <f t="shared" ref="X545:X552" ca="1" si="21">""&amp;DATEDIF(W545,TODAY(),"y")&amp;" Th, "&amp;DATEDIF(W545,TODAY(),"ym")&amp;" Bln"</f>
        <v>10 Th, 5 Bln</v>
      </c>
      <c r="Y545" s="5"/>
      <c r="Z545" s="14"/>
      <c r="AA545" s="5" t="s">
        <v>96</v>
      </c>
      <c r="AB545" s="5" t="s">
        <v>97</v>
      </c>
      <c r="AC545" s="7" t="s">
        <v>7305</v>
      </c>
      <c r="AD545" s="131" t="s">
        <v>967</v>
      </c>
      <c r="AE545" s="131" t="s">
        <v>175</v>
      </c>
      <c r="AF545" s="7" t="s">
        <v>7306</v>
      </c>
      <c r="AG545" s="7" t="s">
        <v>7307</v>
      </c>
      <c r="AH545" s="7" t="s">
        <v>178</v>
      </c>
      <c r="AI545" s="7">
        <v>65143</v>
      </c>
      <c r="AJ545" s="7" t="s">
        <v>7308</v>
      </c>
      <c r="AK545" s="7" t="s">
        <v>104</v>
      </c>
      <c r="AL545" s="7" t="s">
        <v>4986</v>
      </c>
      <c r="AM545" s="15" t="s">
        <v>3019</v>
      </c>
      <c r="AN545" s="15" t="s">
        <v>7309</v>
      </c>
      <c r="AO545" s="8">
        <v>2</v>
      </c>
      <c r="AP545" s="8">
        <v>1</v>
      </c>
      <c r="AQ545" s="8" t="s">
        <v>3019</v>
      </c>
      <c r="AR545" s="8" t="s">
        <v>3019</v>
      </c>
      <c r="AS545" s="132">
        <v>110</v>
      </c>
      <c r="AT545" s="131" t="s">
        <v>7310</v>
      </c>
      <c r="AU545" s="132" t="s">
        <v>182</v>
      </c>
      <c r="AV545" s="16" t="s">
        <v>112</v>
      </c>
      <c r="AW545" s="56" t="s">
        <v>113</v>
      </c>
      <c r="AX545" s="56" t="s">
        <v>7311</v>
      </c>
      <c r="AY545" s="7" t="s">
        <v>7312</v>
      </c>
      <c r="AZ545" s="10" t="s">
        <v>7313</v>
      </c>
      <c r="BA545" s="7" t="s">
        <v>6815</v>
      </c>
      <c r="BB545" s="17">
        <v>31312</v>
      </c>
      <c r="BC545" s="17" t="s">
        <v>7112</v>
      </c>
      <c r="BD545" s="18" t="s">
        <v>7314</v>
      </c>
      <c r="BE545" s="7" t="s">
        <v>153</v>
      </c>
      <c r="BF545" s="7" t="s">
        <v>7315</v>
      </c>
      <c r="BG545" s="7" t="s">
        <v>7316</v>
      </c>
      <c r="BH545" s="7" t="s">
        <v>7317</v>
      </c>
      <c r="BI545" s="19" t="s">
        <v>157</v>
      </c>
      <c r="BJ545" s="20">
        <v>3500000</v>
      </c>
      <c r="BK545" s="21" t="s">
        <v>7318</v>
      </c>
      <c r="BL545" s="7" t="s">
        <v>7319</v>
      </c>
      <c r="BM545" s="22" t="s">
        <v>7320</v>
      </c>
      <c r="BN545" s="8" t="s">
        <v>7321</v>
      </c>
      <c r="BO545" s="17">
        <v>31075</v>
      </c>
      <c r="BP545" s="17" t="s">
        <v>96</v>
      </c>
      <c r="BQ545" s="18" t="s">
        <v>7309</v>
      </c>
      <c r="BR545" s="7" t="s">
        <v>153</v>
      </c>
      <c r="BS545" s="7" t="s">
        <v>7322</v>
      </c>
      <c r="BT545" s="7" t="s">
        <v>7323</v>
      </c>
      <c r="BU545" s="8" t="s">
        <v>7324</v>
      </c>
      <c r="BV545" s="23" t="s">
        <v>7325</v>
      </c>
      <c r="BW545" s="24">
        <v>3500000</v>
      </c>
      <c r="BX545" s="21" t="s">
        <v>7326</v>
      </c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N545" s="25"/>
      <c r="CO545" s="25"/>
      <c r="CP545" s="25"/>
      <c r="CQ545" s="25"/>
      <c r="CR545" s="25"/>
      <c r="CS545" s="26"/>
    </row>
    <row r="546" spans="1:97" s="27" customFormat="1" ht="23.25" customHeight="1">
      <c r="A546" s="4">
        <v>357</v>
      </c>
      <c r="B546" s="61"/>
      <c r="C546" s="61"/>
      <c r="D546" s="61"/>
      <c r="E546" s="61"/>
      <c r="F546" s="61"/>
      <c r="G546" s="61"/>
      <c r="H546" s="62" t="s">
        <v>7350</v>
      </c>
      <c r="I546" s="61" t="s">
        <v>4774</v>
      </c>
      <c r="J546" s="63" t="s">
        <v>7351</v>
      </c>
      <c r="K546" s="63" t="s">
        <v>7352</v>
      </c>
      <c r="L546" s="64"/>
      <c r="M546" s="62">
        <v>2077</v>
      </c>
      <c r="N546" s="66" t="s">
        <v>7353</v>
      </c>
      <c r="O546" s="65" t="s">
        <v>7354</v>
      </c>
      <c r="P546" s="66" t="s">
        <v>7355</v>
      </c>
      <c r="Q546" s="391" t="s">
        <v>7356</v>
      </c>
      <c r="R546" s="8" t="s">
        <v>10796</v>
      </c>
      <c r="S546" s="212" t="s">
        <v>12153</v>
      </c>
      <c r="T546" s="64" t="s">
        <v>2545</v>
      </c>
      <c r="U546" s="67" t="s">
        <v>172</v>
      </c>
      <c r="V546" s="68" t="s">
        <v>94</v>
      </c>
      <c r="W546" s="69" t="s">
        <v>7357</v>
      </c>
      <c r="X546" s="62" t="e">
        <f t="shared" ca="1" si="21"/>
        <v>#VALUE!</v>
      </c>
      <c r="Y546" s="62"/>
      <c r="Z546" s="14"/>
      <c r="AA546" s="62" t="s">
        <v>96</v>
      </c>
      <c r="AB546" s="62" t="s">
        <v>97</v>
      </c>
      <c r="AC546" s="63" t="s">
        <v>7358</v>
      </c>
      <c r="AD546" s="133">
        <v>3</v>
      </c>
      <c r="AE546" s="133">
        <v>11</v>
      </c>
      <c r="AF546" s="63" t="s">
        <v>521</v>
      </c>
      <c r="AG546" s="63" t="s">
        <v>178</v>
      </c>
      <c r="AH546" s="63" t="s">
        <v>178</v>
      </c>
      <c r="AI546" s="63"/>
      <c r="AJ546" s="63" t="s">
        <v>103</v>
      </c>
      <c r="AK546" s="63"/>
      <c r="AL546" s="63"/>
      <c r="AM546" s="71"/>
      <c r="AN546" s="71"/>
      <c r="AO546" s="64"/>
      <c r="AP546" s="64">
        <v>1</v>
      </c>
      <c r="AQ546" s="64">
        <v>2</v>
      </c>
      <c r="AR546" s="64"/>
      <c r="AS546" s="134"/>
      <c r="AT546" s="133"/>
      <c r="AU546" s="134"/>
      <c r="AV546" s="73"/>
      <c r="AW546" s="135"/>
      <c r="AX546" s="135"/>
      <c r="AY546" s="63" t="s">
        <v>7359</v>
      </c>
      <c r="AZ546" s="66" t="s">
        <v>7360</v>
      </c>
      <c r="BA546" s="63" t="s">
        <v>94</v>
      </c>
      <c r="BB546" s="75" t="s">
        <v>7361</v>
      </c>
      <c r="BC546" s="75" t="s">
        <v>96</v>
      </c>
      <c r="BD546" s="76"/>
      <c r="BE546" s="63"/>
      <c r="BF546" s="63" t="s">
        <v>471</v>
      </c>
      <c r="BG546" s="63"/>
      <c r="BH546" s="63"/>
      <c r="BI546" s="78"/>
      <c r="BJ546" s="96"/>
      <c r="BK546" s="83"/>
      <c r="BL546" s="63" t="s">
        <v>7362</v>
      </c>
      <c r="BM546" s="97" t="s">
        <v>7363</v>
      </c>
      <c r="BN546" s="64" t="s">
        <v>7364</v>
      </c>
      <c r="BO546" s="75" t="s">
        <v>7365</v>
      </c>
      <c r="BP546" s="75" t="s">
        <v>96</v>
      </c>
      <c r="BQ546" s="76"/>
      <c r="BR546" s="63"/>
      <c r="BS546" s="63"/>
      <c r="BT546" s="63"/>
      <c r="BU546" s="64"/>
      <c r="BV546" s="98"/>
      <c r="BW546" s="79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N546" s="25"/>
      <c r="CO546" s="25"/>
      <c r="CP546" s="25"/>
      <c r="CQ546" s="25"/>
      <c r="CR546" s="25"/>
      <c r="CS546" s="26"/>
    </row>
    <row r="547" spans="1:97" s="27" customFormat="1" ht="23.25" customHeight="1">
      <c r="A547" s="4">
        <v>437</v>
      </c>
      <c r="B547" s="6"/>
      <c r="C547" s="6"/>
      <c r="D547" s="6"/>
      <c r="E547" s="6"/>
      <c r="F547" s="6"/>
      <c r="G547" s="6"/>
      <c r="H547" s="5" t="s">
        <v>7095</v>
      </c>
      <c r="I547" s="6" t="s">
        <v>86</v>
      </c>
      <c r="J547" s="7" t="s">
        <v>2282</v>
      </c>
      <c r="K547" s="7" t="s">
        <v>7605</v>
      </c>
      <c r="L547" s="8"/>
      <c r="M547" s="5">
        <v>1763</v>
      </c>
      <c r="N547" s="5" t="s">
        <v>9144</v>
      </c>
      <c r="O547" s="9" t="s">
        <v>7607</v>
      </c>
      <c r="P547" s="10" t="s">
        <v>9145</v>
      </c>
      <c r="Q547" s="389" t="s">
        <v>9146</v>
      </c>
      <c r="R547" s="8" t="s">
        <v>10796</v>
      </c>
      <c r="S547" s="212" t="s">
        <v>12153</v>
      </c>
      <c r="T547" s="8" t="s">
        <v>4263</v>
      </c>
      <c r="U547" s="11" t="s">
        <v>172</v>
      </c>
      <c r="V547" s="12" t="s">
        <v>544</v>
      </c>
      <c r="W547" s="13">
        <v>42196</v>
      </c>
      <c r="X547" s="5" t="str">
        <f t="shared" ca="1" si="21"/>
        <v>11 Th, 2 Bln</v>
      </c>
      <c r="Y547" s="5"/>
      <c r="Z547" s="14"/>
      <c r="AA547" s="5" t="s">
        <v>96</v>
      </c>
      <c r="AB547" s="5" t="s">
        <v>97</v>
      </c>
      <c r="AC547" s="7" t="s">
        <v>9147</v>
      </c>
      <c r="AD547" s="131" t="s">
        <v>137</v>
      </c>
      <c r="AE547" s="131" t="s">
        <v>100</v>
      </c>
      <c r="AF547" s="7" t="s">
        <v>7212</v>
      </c>
      <c r="AG547" s="7" t="s">
        <v>6123</v>
      </c>
      <c r="AH547" s="7" t="s">
        <v>178</v>
      </c>
      <c r="AI547" s="7">
        <v>65143</v>
      </c>
      <c r="AJ547" s="7" t="s">
        <v>6343</v>
      </c>
      <c r="AK547" s="7" t="s">
        <v>104</v>
      </c>
      <c r="AL547" s="7" t="s">
        <v>4915</v>
      </c>
      <c r="AM547" s="15" t="s">
        <v>7614</v>
      </c>
      <c r="AN547" s="15" t="s">
        <v>7614</v>
      </c>
      <c r="AO547" s="8">
        <v>3</v>
      </c>
      <c r="AP547" s="8">
        <v>2</v>
      </c>
      <c r="AQ547" s="8">
        <v>1</v>
      </c>
      <c r="AR547" s="8">
        <v>0</v>
      </c>
      <c r="AS547" s="132" t="s">
        <v>5405</v>
      </c>
      <c r="AT547" s="131" t="s">
        <v>9148</v>
      </c>
      <c r="AU547" s="132" t="s">
        <v>149</v>
      </c>
      <c r="AV547" s="16" t="s">
        <v>112</v>
      </c>
      <c r="AW547" s="56" t="s">
        <v>392</v>
      </c>
      <c r="AX547" s="56" t="s">
        <v>9149</v>
      </c>
      <c r="AY547" s="7" t="s">
        <v>7617</v>
      </c>
      <c r="AZ547" s="10" t="s">
        <v>9150</v>
      </c>
      <c r="BA547" s="7" t="s">
        <v>7619</v>
      </c>
      <c r="BB547" s="17">
        <v>26724</v>
      </c>
      <c r="BC547" s="17" t="s">
        <v>7620</v>
      </c>
      <c r="BD547" s="18" t="s">
        <v>7621</v>
      </c>
      <c r="BE547" s="7" t="s">
        <v>118</v>
      </c>
      <c r="BF547" s="7" t="s">
        <v>7622</v>
      </c>
      <c r="BG547" s="7" t="s">
        <v>9151</v>
      </c>
      <c r="BH547" s="7" t="s">
        <v>9152</v>
      </c>
      <c r="BI547" s="19" t="s">
        <v>9153</v>
      </c>
      <c r="BJ547" s="20" t="s">
        <v>7626</v>
      </c>
      <c r="BK547" s="21" t="s">
        <v>7627</v>
      </c>
      <c r="BL547" s="7" t="s">
        <v>7628</v>
      </c>
      <c r="BM547" s="22" t="s">
        <v>7629</v>
      </c>
      <c r="BN547" s="8" t="s">
        <v>7630</v>
      </c>
      <c r="BO547" s="17">
        <v>30232</v>
      </c>
      <c r="BP547" s="17" t="s">
        <v>96</v>
      </c>
      <c r="BQ547" s="18" t="s">
        <v>7614</v>
      </c>
      <c r="BR547" s="7" t="s">
        <v>118</v>
      </c>
      <c r="BS547" s="7" t="s">
        <v>254</v>
      </c>
      <c r="BT547" s="7" t="s">
        <v>7631</v>
      </c>
      <c r="BU547" s="8" t="s">
        <v>9154</v>
      </c>
      <c r="BV547" s="23" t="s">
        <v>7614</v>
      </c>
      <c r="BW547" s="24" t="s">
        <v>9155</v>
      </c>
      <c r="BX547" s="21" t="s">
        <v>7634</v>
      </c>
      <c r="BY547" s="21" t="s">
        <v>9156</v>
      </c>
      <c r="BZ547" s="21" t="s">
        <v>7619</v>
      </c>
      <c r="CA547" s="21">
        <v>17299</v>
      </c>
      <c r="CB547" s="21"/>
      <c r="CC547" s="21"/>
      <c r="CD547" s="21" t="s">
        <v>2818</v>
      </c>
      <c r="CE547" s="21" t="s">
        <v>7622</v>
      </c>
      <c r="CF547" s="21" t="s">
        <v>96</v>
      </c>
      <c r="CG547" s="21" t="s">
        <v>9157</v>
      </c>
      <c r="CH547" s="21" t="s">
        <v>827</v>
      </c>
      <c r="CI547" s="21" t="s">
        <v>175</v>
      </c>
      <c r="CJ547" s="21" t="s">
        <v>9158</v>
      </c>
      <c r="CK547" s="21" t="s">
        <v>7638</v>
      </c>
      <c r="CL547" s="21" t="s">
        <v>7619</v>
      </c>
      <c r="CN547" s="25"/>
      <c r="CO547" s="25"/>
      <c r="CP547" s="25"/>
      <c r="CQ547" s="25"/>
      <c r="CR547" s="25"/>
      <c r="CS547" s="26"/>
    </row>
    <row r="548" spans="1:97" s="27" customFormat="1" ht="23.25" customHeight="1">
      <c r="A548" s="4">
        <v>382</v>
      </c>
      <c r="B548" s="6"/>
      <c r="C548" s="6"/>
      <c r="D548" s="6"/>
      <c r="E548" s="6"/>
      <c r="F548" s="6"/>
      <c r="G548" s="6"/>
      <c r="H548" s="5" t="s">
        <v>7095</v>
      </c>
      <c r="I548" s="6" t="s">
        <v>86</v>
      </c>
      <c r="J548" s="7" t="s">
        <v>7902</v>
      </c>
      <c r="K548" s="7" t="s">
        <v>7903</v>
      </c>
      <c r="L548" s="8"/>
      <c r="M548" s="5">
        <v>1764</v>
      </c>
      <c r="N548" s="5" t="s">
        <v>7904</v>
      </c>
      <c r="O548" s="9" t="s">
        <v>7905</v>
      </c>
      <c r="P548" s="10" t="s">
        <v>7906</v>
      </c>
      <c r="Q548" s="389" t="s">
        <v>7907</v>
      </c>
      <c r="R548" s="8" t="s">
        <v>10796</v>
      </c>
      <c r="S548" s="212" t="s">
        <v>12153</v>
      </c>
      <c r="T548" s="8" t="s">
        <v>7908</v>
      </c>
      <c r="U548" s="11" t="s">
        <v>93</v>
      </c>
      <c r="V548" s="12" t="s">
        <v>94</v>
      </c>
      <c r="W548" s="13">
        <v>42384</v>
      </c>
      <c r="X548" s="5" t="str">
        <f t="shared" ca="1" si="21"/>
        <v>10 Th, 8 Bln</v>
      </c>
      <c r="Y548" s="5"/>
      <c r="Z548" s="14"/>
      <c r="AA548" s="5" t="s">
        <v>96</v>
      </c>
      <c r="AB548" s="5" t="s">
        <v>97</v>
      </c>
      <c r="AC548" s="7" t="s">
        <v>7909</v>
      </c>
      <c r="AD548" s="131">
        <v>1</v>
      </c>
      <c r="AE548" s="131">
        <v>6</v>
      </c>
      <c r="AF548" s="7" t="s">
        <v>4903</v>
      </c>
      <c r="AG548" s="7" t="s">
        <v>4904</v>
      </c>
      <c r="AH548" s="7" t="s">
        <v>141</v>
      </c>
      <c r="AI548" s="7">
        <v>65323</v>
      </c>
      <c r="AJ548" s="7" t="s">
        <v>4905</v>
      </c>
      <c r="AK548" s="7" t="s">
        <v>179</v>
      </c>
      <c r="AL548" s="7" t="s">
        <v>7910</v>
      </c>
      <c r="AM548" s="15" t="s">
        <v>7911</v>
      </c>
      <c r="AN548" s="15" t="s">
        <v>7912</v>
      </c>
      <c r="AO548" s="8">
        <v>3</v>
      </c>
      <c r="AP548" s="8">
        <v>2</v>
      </c>
      <c r="AQ548" s="8"/>
      <c r="AR548" s="8"/>
      <c r="AS548" s="132" t="s">
        <v>618</v>
      </c>
      <c r="AT548" s="131" t="s">
        <v>322</v>
      </c>
      <c r="AU548" s="132" t="s">
        <v>498</v>
      </c>
      <c r="AV548" s="16" t="s">
        <v>112</v>
      </c>
      <c r="AW548" s="56" t="s">
        <v>7913</v>
      </c>
      <c r="AX548" s="56" t="s">
        <v>7108</v>
      </c>
      <c r="AY548" s="7" t="s">
        <v>7914</v>
      </c>
      <c r="AZ548" s="10" t="s">
        <v>7915</v>
      </c>
      <c r="BA548" s="7" t="s">
        <v>5047</v>
      </c>
      <c r="BB548" s="17">
        <v>28975</v>
      </c>
      <c r="BC548" s="17" t="s">
        <v>7112</v>
      </c>
      <c r="BD548" s="18" t="s">
        <v>7911</v>
      </c>
      <c r="BE548" s="7" t="s">
        <v>118</v>
      </c>
      <c r="BF548" s="7" t="s">
        <v>7916</v>
      </c>
      <c r="BG548" s="7" t="s">
        <v>7917</v>
      </c>
      <c r="BH548" s="7" t="s">
        <v>7918</v>
      </c>
      <c r="BI548" s="19" t="s">
        <v>7911</v>
      </c>
      <c r="BJ548" s="20" t="s">
        <v>7341</v>
      </c>
      <c r="BK548" s="21" t="s">
        <v>7919</v>
      </c>
      <c r="BL548" s="7" t="s">
        <v>7920</v>
      </c>
      <c r="BM548" s="22" t="s">
        <v>7921</v>
      </c>
      <c r="BN548" s="8" t="s">
        <v>7922</v>
      </c>
      <c r="BO548" s="17">
        <v>30685</v>
      </c>
      <c r="BP548" s="17" t="s">
        <v>96</v>
      </c>
      <c r="BQ548" s="18" t="s">
        <v>7912</v>
      </c>
      <c r="BR548" s="7" t="s">
        <v>118</v>
      </c>
      <c r="BS548" s="7" t="s">
        <v>5043</v>
      </c>
      <c r="BT548" s="7" t="s">
        <v>7917</v>
      </c>
      <c r="BU548" s="8" t="s">
        <v>7923</v>
      </c>
      <c r="BV548" s="23" t="s">
        <v>7912</v>
      </c>
      <c r="BW548" s="24" t="s">
        <v>7924</v>
      </c>
      <c r="BX548" s="21" t="s">
        <v>7925</v>
      </c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N548" s="25"/>
      <c r="CO548" s="25"/>
      <c r="CP548" s="25"/>
      <c r="CQ548" s="25"/>
      <c r="CR548" s="25"/>
      <c r="CS548" s="26"/>
    </row>
    <row r="549" spans="1:97" s="27" customFormat="1" ht="23.25" customHeight="1">
      <c r="A549" s="4">
        <v>388</v>
      </c>
      <c r="B549" s="6"/>
      <c r="C549" s="6"/>
      <c r="D549" s="6"/>
      <c r="E549" s="6"/>
      <c r="F549" s="6"/>
      <c r="G549" s="6"/>
      <c r="H549" s="5" t="s">
        <v>7095</v>
      </c>
      <c r="I549" s="6" t="s">
        <v>86</v>
      </c>
      <c r="J549" s="7" t="s">
        <v>166</v>
      </c>
      <c r="K549" s="7" t="s">
        <v>8045</v>
      </c>
      <c r="L549" s="8"/>
      <c r="M549" s="5">
        <v>1778</v>
      </c>
      <c r="N549" s="5" t="s">
        <v>8046</v>
      </c>
      <c r="O549" s="9" t="s">
        <v>8047</v>
      </c>
      <c r="P549" s="10" t="s">
        <v>8048</v>
      </c>
      <c r="Q549" s="389" t="s">
        <v>8049</v>
      </c>
      <c r="R549" s="8" t="s">
        <v>10796</v>
      </c>
      <c r="S549" s="212" t="s">
        <v>12153</v>
      </c>
      <c r="T549" s="8" t="s">
        <v>8050</v>
      </c>
      <c r="U549" s="11" t="s">
        <v>172</v>
      </c>
      <c r="V549" s="12" t="s">
        <v>94</v>
      </c>
      <c r="W549" s="13">
        <v>42180</v>
      </c>
      <c r="X549" s="5" t="str">
        <f t="shared" ca="1" si="21"/>
        <v>11 Th, 2 Bln</v>
      </c>
      <c r="Y549" s="5"/>
      <c r="Z549" s="14"/>
      <c r="AA549" s="5" t="s">
        <v>96</v>
      </c>
      <c r="AB549" s="5" t="s">
        <v>97</v>
      </c>
      <c r="AC549" s="7" t="s">
        <v>8051</v>
      </c>
      <c r="AD549" s="131" t="s">
        <v>294</v>
      </c>
      <c r="AE549" s="131" t="s">
        <v>294</v>
      </c>
      <c r="AF549" s="7" t="s">
        <v>8052</v>
      </c>
      <c r="AG549" s="7" t="s">
        <v>8053</v>
      </c>
      <c r="AH549" s="7" t="s">
        <v>141</v>
      </c>
      <c r="AI549" s="7">
        <v>65154</v>
      </c>
      <c r="AJ549" s="7" t="s">
        <v>5047</v>
      </c>
      <c r="AK549" s="7" t="s">
        <v>104</v>
      </c>
      <c r="AL549" s="7" t="s">
        <v>8054</v>
      </c>
      <c r="AM549" s="15" t="s">
        <v>127</v>
      </c>
      <c r="AN549" s="15" t="s">
        <v>8055</v>
      </c>
      <c r="AO549" s="8">
        <v>1</v>
      </c>
      <c r="AP549" s="8">
        <v>2</v>
      </c>
      <c r="AQ549" s="8">
        <v>0</v>
      </c>
      <c r="AR549" s="8">
        <v>0</v>
      </c>
      <c r="AS549" s="132" t="s">
        <v>110</v>
      </c>
      <c r="AT549" s="131" t="s">
        <v>1681</v>
      </c>
      <c r="AU549" s="132" t="s">
        <v>182</v>
      </c>
      <c r="AV549" s="16" t="s">
        <v>112</v>
      </c>
      <c r="AW549" s="56" t="s">
        <v>392</v>
      </c>
      <c r="AX549" s="56" t="s">
        <v>8056</v>
      </c>
      <c r="AY549" s="7" t="s">
        <v>8057</v>
      </c>
      <c r="AZ549" s="10" t="s">
        <v>5471</v>
      </c>
      <c r="BA549" s="7" t="s">
        <v>7960</v>
      </c>
      <c r="BB549" s="17">
        <v>30606</v>
      </c>
      <c r="BC549" s="17" t="s">
        <v>7112</v>
      </c>
      <c r="BD549" s="18" t="s">
        <v>5472</v>
      </c>
      <c r="BE549" s="7" t="s">
        <v>118</v>
      </c>
      <c r="BF549" s="7" t="s">
        <v>8058</v>
      </c>
      <c r="BG549" s="7" t="s">
        <v>8059</v>
      </c>
      <c r="BH549" s="7" t="s">
        <v>8060</v>
      </c>
      <c r="BI549" s="19"/>
      <c r="BJ549" s="20" t="s">
        <v>8061</v>
      </c>
      <c r="BK549" s="21" t="s">
        <v>5476</v>
      </c>
      <c r="BL549" s="7" t="s">
        <v>8062</v>
      </c>
      <c r="BM549" s="22" t="s">
        <v>5478</v>
      </c>
      <c r="BN549" s="8" t="s">
        <v>7700</v>
      </c>
      <c r="BO549" s="17">
        <v>33150</v>
      </c>
      <c r="BP549" s="17" t="s">
        <v>96</v>
      </c>
      <c r="BQ549" s="18" t="s">
        <v>5469</v>
      </c>
      <c r="BR549" s="7" t="s">
        <v>118</v>
      </c>
      <c r="BS549" s="7" t="s">
        <v>254</v>
      </c>
      <c r="BT549" s="7" t="s">
        <v>7594</v>
      </c>
      <c r="BU549" s="8" t="s">
        <v>127</v>
      </c>
      <c r="BV549" s="23" t="s">
        <v>6077</v>
      </c>
      <c r="BW549" s="24" t="s">
        <v>127</v>
      </c>
      <c r="BX549" s="21" t="s">
        <v>5479</v>
      </c>
      <c r="BY549" s="21" t="s">
        <v>8063</v>
      </c>
      <c r="BZ549" s="21" t="s">
        <v>7960</v>
      </c>
      <c r="CA549" s="21">
        <v>30606</v>
      </c>
      <c r="CB549" s="21"/>
      <c r="CC549" s="21" t="s">
        <v>5472</v>
      </c>
      <c r="CD549" s="21" t="s">
        <v>118</v>
      </c>
      <c r="CE549" s="21" t="s">
        <v>8058</v>
      </c>
      <c r="CF549" s="21" t="s">
        <v>96</v>
      </c>
      <c r="CG549" s="21" t="s">
        <v>8064</v>
      </c>
      <c r="CH549" s="21" t="s">
        <v>294</v>
      </c>
      <c r="CI549" s="21" t="s">
        <v>294</v>
      </c>
      <c r="CJ549" s="21" t="s">
        <v>8052</v>
      </c>
      <c r="CK549" s="21" t="s">
        <v>8053</v>
      </c>
      <c r="CL549" s="21" t="s">
        <v>5047</v>
      </c>
      <c r="CN549" s="25"/>
      <c r="CO549" s="25"/>
      <c r="CP549" s="25"/>
      <c r="CQ549" s="25"/>
      <c r="CR549" s="25"/>
      <c r="CS549" s="26"/>
    </row>
    <row r="550" spans="1:97" s="27" customFormat="1" ht="23.25" customHeight="1">
      <c r="A550" s="4">
        <v>364</v>
      </c>
      <c r="B550" s="6"/>
      <c r="C550" s="6"/>
      <c r="D550" s="6"/>
      <c r="E550" s="6"/>
      <c r="F550" s="6"/>
      <c r="G550" s="6"/>
      <c r="H550" s="5" t="s">
        <v>7095</v>
      </c>
      <c r="I550" s="6" t="s">
        <v>86</v>
      </c>
      <c r="J550" s="7" t="s">
        <v>7514</v>
      </c>
      <c r="K550" s="7" t="s">
        <v>1161</v>
      </c>
      <c r="L550" s="8"/>
      <c r="M550" s="5">
        <v>1779</v>
      </c>
      <c r="N550" s="5" t="s">
        <v>7515</v>
      </c>
      <c r="O550" s="9" t="s">
        <v>7516</v>
      </c>
      <c r="P550" s="10" t="s">
        <v>7517</v>
      </c>
      <c r="Q550" s="389" t="s">
        <v>7518</v>
      </c>
      <c r="R550" s="8" t="s">
        <v>10796</v>
      </c>
      <c r="S550" s="212" t="s">
        <v>12153</v>
      </c>
      <c r="T550" s="8" t="s">
        <v>7519</v>
      </c>
      <c r="U550" s="11" t="s">
        <v>172</v>
      </c>
      <c r="V550" s="12" t="s">
        <v>3180</v>
      </c>
      <c r="W550" s="13">
        <v>42275</v>
      </c>
      <c r="X550" s="5" t="str">
        <f t="shared" ca="1" si="21"/>
        <v>10 Th, 11 Bln</v>
      </c>
      <c r="Y550" s="5"/>
      <c r="Z550" s="14"/>
      <c r="AA550" s="5" t="s">
        <v>96</v>
      </c>
      <c r="AB550" s="5" t="s">
        <v>97</v>
      </c>
      <c r="AC550" s="7" t="s">
        <v>7520</v>
      </c>
      <c r="AD550" s="131">
        <v>22</v>
      </c>
      <c r="AE550" s="131" t="s">
        <v>546</v>
      </c>
      <c r="AF550" s="7" t="s">
        <v>4569</v>
      </c>
      <c r="AG550" s="7" t="s">
        <v>140</v>
      </c>
      <c r="AH550" s="7" t="s">
        <v>141</v>
      </c>
      <c r="AI550" s="7">
        <v>65152</v>
      </c>
      <c r="AJ550" s="7" t="s">
        <v>1374</v>
      </c>
      <c r="AK550" s="7" t="s">
        <v>104</v>
      </c>
      <c r="AL550" s="7" t="s">
        <v>461</v>
      </c>
      <c r="AM550" s="15" t="s">
        <v>7521</v>
      </c>
      <c r="AN550" s="15" t="s">
        <v>7522</v>
      </c>
      <c r="AO550" s="8">
        <v>1</v>
      </c>
      <c r="AP550" s="8">
        <v>0</v>
      </c>
      <c r="AQ550" s="8">
        <v>0</v>
      </c>
      <c r="AR550" s="8">
        <v>0</v>
      </c>
      <c r="AS550" s="132" t="s">
        <v>1178</v>
      </c>
      <c r="AT550" s="131" t="s">
        <v>7523</v>
      </c>
      <c r="AU550" s="132" t="s">
        <v>149</v>
      </c>
      <c r="AV550" s="16" t="s">
        <v>112</v>
      </c>
      <c r="AW550" s="56" t="s">
        <v>7524</v>
      </c>
      <c r="AX550" s="56" t="s">
        <v>114</v>
      </c>
      <c r="AY550" s="7" t="s">
        <v>7525</v>
      </c>
      <c r="AZ550" s="10" t="s">
        <v>7526</v>
      </c>
      <c r="BA550" s="7" t="s">
        <v>444</v>
      </c>
      <c r="BB550" s="17">
        <v>31245</v>
      </c>
      <c r="BC550" s="17" t="s">
        <v>96</v>
      </c>
      <c r="BD550" s="18" t="s">
        <v>7522</v>
      </c>
      <c r="BE550" s="7" t="s">
        <v>118</v>
      </c>
      <c r="BF550" s="7" t="s">
        <v>1526</v>
      </c>
      <c r="BG550" s="7" t="s">
        <v>120</v>
      </c>
      <c r="BH550" s="7" t="s">
        <v>7527</v>
      </c>
      <c r="BI550" s="19" t="s">
        <v>6001</v>
      </c>
      <c r="BJ550" s="20">
        <v>10000000</v>
      </c>
      <c r="BK550" s="21" t="s">
        <v>7528</v>
      </c>
      <c r="BL550" s="7" t="s">
        <v>7529</v>
      </c>
      <c r="BM550" s="22" t="s">
        <v>7530</v>
      </c>
      <c r="BN550" s="8" t="s">
        <v>395</v>
      </c>
      <c r="BO550" s="17">
        <v>31705</v>
      </c>
      <c r="BP550" s="17" t="s">
        <v>96</v>
      </c>
      <c r="BQ550" s="18" t="s">
        <v>7521</v>
      </c>
      <c r="BR550" s="7" t="s">
        <v>118</v>
      </c>
      <c r="BS550" s="7" t="s">
        <v>126</v>
      </c>
      <c r="BT550" s="7" t="s">
        <v>127</v>
      </c>
      <c r="BU550" s="8" t="s">
        <v>127</v>
      </c>
      <c r="BV550" s="23" t="s">
        <v>127</v>
      </c>
      <c r="BW550" s="24" t="s">
        <v>127</v>
      </c>
      <c r="BX550" s="21" t="s">
        <v>127</v>
      </c>
      <c r="BY550" s="21" t="s">
        <v>7531</v>
      </c>
      <c r="BZ550" s="21" t="s">
        <v>395</v>
      </c>
      <c r="CA550" s="21">
        <v>22632</v>
      </c>
      <c r="CB550" s="21"/>
      <c r="CC550" s="21" t="s">
        <v>7532</v>
      </c>
      <c r="CD550" s="21" t="s">
        <v>118</v>
      </c>
      <c r="CE550" s="21" t="s">
        <v>127</v>
      </c>
      <c r="CF550" s="21" t="s">
        <v>96</v>
      </c>
      <c r="CG550" s="21" t="s">
        <v>7533</v>
      </c>
      <c r="CH550" s="21" t="s">
        <v>294</v>
      </c>
      <c r="CI550" s="21" t="s">
        <v>318</v>
      </c>
      <c r="CJ550" s="21" t="s">
        <v>7534</v>
      </c>
      <c r="CK550" s="21" t="s">
        <v>7535</v>
      </c>
      <c r="CL550" s="21" t="s">
        <v>7536</v>
      </c>
      <c r="CN550" s="25"/>
      <c r="CO550" s="25"/>
      <c r="CP550" s="25"/>
      <c r="CQ550" s="25"/>
      <c r="CR550" s="25"/>
      <c r="CS550" s="26"/>
    </row>
    <row r="551" spans="1:97" s="27" customFormat="1" ht="23.25" customHeight="1">
      <c r="A551" s="4">
        <v>415</v>
      </c>
      <c r="B551" s="6"/>
      <c r="C551" s="6"/>
      <c r="D551" s="6"/>
      <c r="E551" s="6"/>
      <c r="F551" s="6"/>
      <c r="G551" s="6"/>
      <c r="H551" s="5" t="s">
        <v>7095</v>
      </c>
      <c r="I551" s="6" t="s">
        <v>86</v>
      </c>
      <c r="J551" s="7" t="s">
        <v>166</v>
      </c>
      <c r="K551" s="7" t="s">
        <v>374</v>
      </c>
      <c r="L551" s="8"/>
      <c r="M551" s="5">
        <v>1780</v>
      </c>
      <c r="N551" s="5" t="s">
        <v>8660</v>
      </c>
      <c r="O551" s="9" t="s">
        <v>8661</v>
      </c>
      <c r="P551" s="10" t="s">
        <v>8662</v>
      </c>
      <c r="Q551" s="389" t="s">
        <v>8663</v>
      </c>
      <c r="R551" s="8" t="s">
        <v>10796</v>
      </c>
      <c r="S551" s="212" t="s">
        <v>12153</v>
      </c>
      <c r="T551" s="8" t="s">
        <v>8664</v>
      </c>
      <c r="U551" s="11" t="s">
        <v>172</v>
      </c>
      <c r="V551" s="12" t="s">
        <v>94</v>
      </c>
      <c r="W551" s="13">
        <v>42267</v>
      </c>
      <c r="X551" s="5" t="str">
        <f t="shared" ca="1" si="21"/>
        <v>10 Th, 11 Bln</v>
      </c>
      <c r="Y551" s="5"/>
      <c r="Z551" s="14"/>
      <c r="AA551" s="5" t="s">
        <v>96</v>
      </c>
      <c r="AB551" s="5" t="s">
        <v>97</v>
      </c>
      <c r="AC551" s="7" t="s">
        <v>8665</v>
      </c>
      <c r="AD551" s="131">
        <v>24</v>
      </c>
      <c r="AE551" s="131" t="s">
        <v>546</v>
      </c>
      <c r="AF551" s="7" t="s">
        <v>7495</v>
      </c>
      <c r="AG551" s="7" t="s">
        <v>7496</v>
      </c>
      <c r="AH551" s="7" t="s">
        <v>141</v>
      </c>
      <c r="AI551" s="7">
        <v>65152</v>
      </c>
      <c r="AJ551" s="7" t="s">
        <v>5047</v>
      </c>
      <c r="AK551" s="7" t="s">
        <v>386</v>
      </c>
      <c r="AL551" s="7" t="s">
        <v>8666</v>
      </c>
      <c r="AM551" s="15" t="s">
        <v>8667</v>
      </c>
      <c r="AN551" s="15" t="s">
        <v>8668</v>
      </c>
      <c r="AO551" s="8">
        <v>1</v>
      </c>
      <c r="AP551" s="8">
        <v>0</v>
      </c>
      <c r="AQ551" s="8">
        <v>0</v>
      </c>
      <c r="AR551" s="8">
        <v>0</v>
      </c>
      <c r="AS551" s="132" t="s">
        <v>6365</v>
      </c>
      <c r="AT551" s="131" t="s">
        <v>1843</v>
      </c>
      <c r="AU551" s="132" t="s">
        <v>182</v>
      </c>
      <c r="AV551" s="16" t="s">
        <v>112</v>
      </c>
      <c r="AW551" s="56" t="s">
        <v>8669</v>
      </c>
      <c r="AX551" s="56" t="s">
        <v>8077</v>
      </c>
      <c r="AY551" s="7" t="s">
        <v>8670</v>
      </c>
      <c r="AZ551" s="10" t="s">
        <v>8671</v>
      </c>
      <c r="BA551" s="7" t="s">
        <v>5047</v>
      </c>
      <c r="BB551" s="17">
        <v>30726</v>
      </c>
      <c r="BC551" s="17" t="s">
        <v>7112</v>
      </c>
      <c r="BD551" s="18" t="s">
        <v>8672</v>
      </c>
      <c r="BE551" s="7" t="s">
        <v>118</v>
      </c>
      <c r="BF551" s="7" t="s">
        <v>8673</v>
      </c>
      <c r="BG551" s="7" t="s">
        <v>8674</v>
      </c>
      <c r="BH551" s="7" t="s">
        <v>8675</v>
      </c>
      <c r="BI551" s="19" t="s">
        <v>8676</v>
      </c>
      <c r="BJ551" s="20" t="s">
        <v>8677</v>
      </c>
      <c r="BK551" s="21" t="s">
        <v>8678</v>
      </c>
      <c r="BL551" s="7" t="s">
        <v>8679</v>
      </c>
      <c r="BM551" s="22" t="s">
        <v>8680</v>
      </c>
      <c r="BN551" s="8" t="s">
        <v>5047</v>
      </c>
      <c r="BO551" s="17">
        <v>33249</v>
      </c>
      <c r="BP551" s="17" t="s">
        <v>96</v>
      </c>
      <c r="BQ551" s="18" t="s">
        <v>8668</v>
      </c>
      <c r="BR551" s="7" t="s">
        <v>216</v>
      </c>
      <c r="BS551" s="7" t="s">
        <v>8681</v>
      </c>
      <c r="BT551" s="7" t="s">
        <v>8682</v>
      </c>
      <c r="BU551" s="8" t="s">
        <v>8683</v>
      </c>
      <c r="BV551" s="23" t="s">
        <v>8668</v>
      </c>
      <c r="BW551" s="24" t="s">
        <v>8684</v>
      </c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N551" s="25"/>
      <c r="CO551" s="25"/>
      <c r="CP551" s="25"/>
      <c r="CQ551" s="25"/>
      <c r="CR551" s="25"/>
      <c r="CS551" s="26"/>
    </row>
    <row r="552" spans="1:97" s="27" customFormat="1" ht="23.25" customHeight="1">
      <c r="A552" s="4">
        <v>365</v>
      </c>
      <c r="B552" s="6"/>
      <c r="C552" s="6"/>
      <c r="D552" s="6"/>
      <c r="E552" s="6"/>
      <c r="F552" s="6"/>
      <c r="G552" s="6"/>
      <c r="H552" s="5" t="s">
        <v>7095</v>
      </c>
      <c r="I552" s="6" t="s">
        <v>86</v>
      </c>
      <c r="J552" s="7" t="s">
        <v>7537</v>
      </c>
      <c r="K552" s="7" t="s">
        <v>7538</v>
      </c>
      <c r="L552" s="8"/>
      <c r="M552" s="5">
        <v>1782</v>
      </c>
      <c r="N552" s="5" t="s">
        <v>7539</v>
      </c>
      <c r="O552" s="9" t="s">
        <v>7540</v>
      </c>
      <c r="P552" s="10" t="s">
        <v>7541</v>
      </c>
      <c r="Q552" s="389" t="s">
        <v>7542</v>
      </c>
      <c r="R552" s="8" t="s">
        <v>10796</v>
      </c>
      <c r="S552" s="212" t="s">
        <v>12153</v>
      </c>
      <c r="T552" s="8" t="s">
        <v>2545</v>
      </c>
      <c r="U552" s="11" t="s">
        <v>172</v>
      </c>
      <c r="V552" s="12" t="s">
        <v>94</v>
      </c>
      <c r="W552" s="13">
        <v>42260</v>
      </c>
      <c r="X552" s="5" t="str">
        <f t="shared" ca="1" si="21"/>
        <v>11 Th, 0 Bln</v>
      </c>
      <c r="Y552" s="5"/>
      <c r="Z552" s="14"/>
      <c r="AA552" s="5" t="s">
        <v>96</v>
      </c>
      <c r="AB552" s="5" t="s">
        <v>97</v>
      </c>
      <c r="AC552" s="7" t="s">
        <v>7543</v>
      </c>
      <c r="AD552" s="131" t="s">
        <v>293</v>
      </c>
      <c r="AE552" s="131" t="s">
        <v>384</v>
      </c>
      <c r="AF552" s="7" t="s">
        <v>7334</v>
      </c>
      <c r="AG552" s="7" t="s">
        <v>5534</v>
      </c>
      <c r="AH552" s="7" t="s">
        <v>141</v>
      </c>
      <c r="AI552" s="7">
        <v>65151</v>
      </c>
      <c r="AJ552" s="7" t="s">
        <v>5047</v>
      </c>
      <c r="AK552" s="7" t="s">
        <v>179</v>
      </c>
      <c r="AL552" s="7" t="s">
        <v>7544</v>
      </c>
      <c r="AM552" s="15" t="s">
        <v>127</v>
      </c>
      <c r="AN552" s="15" t="s">
        <v>7545</v>
      </c>
      <c r="AO552" s="8">
        <v>1</v>
      </c>
      <c r="AP552" s="8">
        <v>0</v>
      </c>
      <c r="AQ552" s="8">
        <v>0</v>
      </c>
      <c r="AR552" s="8">
        <v>0</v>
      </c>
      <c r="AS552" s="132" t="s">
        <v>7546</v>
      </c>
      <c r="AT552" s="131" t="s">
        <v>7547</v>
      </c>
      <c r="AU552" s="132" t="s">
        <v>149</v>
      </c>
      <c r="AV552" s="16" t="s">
        <v>112</v>
      </c>
      <c r="AW552" s="56" t="s">
        <v>150</v>
      </c>
      <c r="AX552" s="56" t="s">
        <v>7108</v>
      </c>
      <c r="AY552" s="7" t="s">
        <v>7548</v>
      </c>
      <c r="AZ552" s="10" t="s">
        <v>7549</v>
      </c>
      <c r="BA552" s="7" t="s">
        <v>7550</v>
      </c>
      <c r="BB552" s="17">
        <v>31727</v>
      </c>
      <c r="BC552" s="17" t="s">
        <v>7112</v>
      </c>
      <c r="BD552" s="18" t="s">
        <v>7551</v>
      </c>
      <c r="BE552" s="7" t="s">
        <v>118</v>
      </c>
      <c r="BF552" s="7" t="s">
        <v>6562</v>
      </c>
      <c r="BG552" s="7" t="s">
        <v>7552</v>
      </c>
      <c r="BH552" s="7" t="s">
        <v>7553</v>
      </c>
      <c r="BI552" s="19" t="s">
        <v>127</v>
      </c>
      <c r="BJ552" s="20" t="s">
        <v>7554</v>
      </c>
      <c r="BK552" s="21" t="s">
        <v>7555</v>
      </c>
      <c r="BL552" s="7" t="s">
        <v>7556</v>
      </c>
      <c r="BM552" s="22" t="s">
        <v>7557</v>
      </c>
      <c r="BN552" s="8" t="s">
        <v>5047</v>
      </c>
      <c r="BO552" s="17">
        <v>33546</v>
      </c>
      <c r="BP552" s="17" t="s">
        <v>96</v>
      </c>
      <c r="BQ552" s="18" t="s">
        <v>7545</v>
      </c>
      <c r="BR552" s="7" t="s">
        <v>216</v>
      </c>
      <c r="BS552" s="7" t="s">
        <v>254</v>
      </c>
      <c r="BT552" s="7" t="s">
        <v>127</v>
      </c>
      <c r="BU552" s="8" t="s">
        <v>127</v>
      </c>
      <c r="BV552" s="23" t="s">
        <v>127</v>
      </c>
      <c r="BW552" s="24" t="s">
        <v>127</v>
      </c>
      <c r="BX552" s="21" t="s">
        <v>7558</v>
      </c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N552" s="25"/>
      <c r="CO552" s="25"/>
      <c r="CP552" s="25"/>
      <c r="CQ552" s="25"/>
      <c r="CR552" s="25"/>
      <c r="CS552" s="26"/>
    </row>
    <row r="553" spans="1:97" s="27" customFormat="1" ht="23.25" customHeight="1">
      <c r="A553" s="4">
        <v>418</v>
      </c>
      <c r="B553" s="6"/>
      <c r="C553" s="6"/>
      <c r="D553" s="6"/>
      <c r="E553" s="6"/>
      <c r="F553" s="6"/>
      <c r="G553" s="6"/>
      <c r="H553" s="5" t="s">
        <v>7095</v>
      </c>
      <c r="I553" s="6" t="s">
        <v>86</v>
      </c>
      <c r="J553" s="7" t="s">
        <v>1752</v>
      </c>
      <c r="K553" s="7" t="s">
        <v>8735</v>
      </c>
      <c r="L553" s="8"/>
      <c r="M553" s="5">
        <v>1785</v>
      </c>
      <c r="N553" s="5" t="s">
        <v>8736</v>
      </c>
      <c r="O553" s="9" t="s">
        <v>8737</v>
      </c>
      <c r="P553" s="10" t="s">
        <v>8738</v>
      </c>
      <c r="Q553" s="389" t="s">
        <v>8739</v>
      </c>
      <c r="R553" s="8" t="s">
        <v>10796</v>
      </c>
      <c r="S553" s="212" t="s">
        <v>12153</v>
      </c>
      <c r="T553" s="8" t="s">
        <v>8740</v>
      </c>
      <c r="U553" s="11" t="s">
        <v>172</v>
      </c>
      <c r="V553" s="12" t="s">
        <v>94</v>
      </c>
      <c r="W553" s="13">
        <v>42208</v>
      </c>
      <c r="X553" s="5" t="str">
        <f t="shared" ref="X553:X558" ca="1" si="22">""&amp;DATEDIF(W553,TODAY(),"y")&amp;" Th, "&amp;DATEDIF(W553,TODAY(),"ym")&amp;" Bln"</f>
        <v>11 Th, 1 Bln</v>
      </c>
      <c r="Y553" s="5"/>
      <c r="Z553" s="14"/>
      <c r="AA553" s="5" t="s">
        <v>96</v>
      </c>
      <c r="AB553" s="5" t="s">
        <v>97</v>
      </c>
      <c r="AC553" s="7" t="s">
        <v>8741</v>
      </c>
      <c r="AD553" s="131">
        <v>33</v>
      </c>
      <c r="AE553" s="131" t="s">
        <v>127</v>
      </c>
      <c r="AF553" s="7" t="s">
        <v>4569</v>
      </c>
      <c r="AG553" s="7" t="s">
        <v>140</v>
      </c>
      <c r="AH553" s="7" t="s">
        <v>141</v>
      </c>
      <c r="AI553" s="7">
        <v>65152</v>
      </c>
      <c r="AJ553" s="7" t="s">
        <v>94</v>
      </c>
      <c r="AK553" s="7" t="s">
        <v>179</v>
      </c>
      <c r="AL553" s="7" t="s">
        <v>461</v>
      </c>
      <c r="AM553" s="15" t="s">
        <v>127</v>
      </c>
      <c r="AN553" s="15" t="s">
        <v>8742</v>
      </c>
      <c r="AO553" s="8" t="s">
        <v>8743</v>
      </c>
      <c r="AP553" s="8">
        <v>2</v>
      </c>
      <c r="AQ553" s="8" t="s">
        <v>127</v>
      </c>
      <c r="AR553" s="8" t="s">
        <v>127</v>
      </c>
      <c r="AS553" s="132">
        <v>115</v>
      </c>
      <c r="AT553" s="131">
        <v>21</v>
      </c>
      <c r="AU553" s="132" t="s">
        <v>111</v>
      </c>
      <c r="AV553" s="16" t="s">
        <v>112</v>
      </c>
      <c r="AW553" s="56" t="s">
        <v>113</v>
      </c>
      <c r="AX553" s="56" t="s">
        <v>114</v>
      </c>
      <c r="AY553" s="7" t="s">
        <v>8744</v>
      </c>
      <c r="AZ553" s="10" t="s">
        <v>8745</v>
      </c>
      <c r="BA553" s="7" t="s">
        <v>94</v>
      </c>
      <c r="BB553" s="17">
        <v>27565</v>
      </c>
      <c r="BC553" s="17" t="s">
        <v>96</v>
      </c>
      <c r="BD553" s="18" t="s">
        <v>8746</v>
      </c>
      <c r="BE553" s="7" t="s">
        <v>118</v>
      </c>
      <c r="BF553" s="7" t="s">
        <v>247</v>
      </c>
      <c r="BG553" s="7" t="s">
        <v>8747</v>
      </c>
      <c r="BH553" s="7" t="s">
        <v>127</v>
      </c>
      <c r="BI553" s="19" t="s">
        <v>127</v>
      </c>
      <c r="BJ553" s="20" t="s">
        <v>2060</v>
      </c>
      <c r="BK553" s="21"/>
      <c r="BL553" s="7" t="s">
        <v>8748</v>
      </c>
      <c r="BM553" s="22" t="s">
        <v>8749</v>
      </c>
      <c r="BN553" s="8" t="s">
        <v>2524</v>
      </c>
      <c r="BO553" s="17">
        <v>31417</v>
      </c>
      <c r="BP553" s="17" t="s">
        <v>96</v>
      </c>
      <c r="BQ553" s="18" t="s">
        <v>8742</v>
      </c>
      <c r="BR553" s="7" t="s">
        <v>153</v>
      </c>
      <c r="BS553" s="7" t="s">
        <v>154</v>
      </c>
      <c r="BT553" s="7" t="s">
        <v>1515</v>
      </c>
      <c r="BU553" s="8" t="s">
        <v>8750</v>
      </c>
      <c r="BV553" s="23" t="s">
        <v>127</v>
      </c>
      <c r="BW553" s="24" t="s">
        <v>8751</v>
      </c>
      <c r="BX553" s="21" t="s">
        <v>8752</v>
      </c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N553" s="25"/>
      <c r="CO553" s="25"/>
      <c r="CP553" s="25"/>
      <c r="CQ553" s="25"/>
      <c r="CR553" s="25"/>
      <c r="CS553" s="26"/>
    </row>
    <row r="554" spans="1:97" s="27" customFormat="1" ht="23.25" customHeight="1">
      <c r="A554" s="4">
        <v>389</v>
      </c>
      <c r="B554" s="6"/>
      <c r="C554" s="6"/>
      <c r="D554" s="6"/>
      <c r="E554" s="6"/>
      <c r="F554" s="6"/>
      <c r="G554" s="6"/>
      <c r="H554" s="5" t="s">
        <v>7095</v>
      </c>
      <c r="I554" s="6" t="s">
        <v>86</v>
      </c>
      <c r="J554" s="7" t="s">
        <v>8065</v>
      </c>
      <c r="K554" s="7" t="s">
        <v>8066</v>
      </c>
      <c r="L554" s="8"/>
      <c r="M554" s="5">
        <v>1786</v>
      </c>
      <c r="N554" s="5" t="s">
        <v>8067</v>
      </c>
      <c r="O554" s="9" t="s">
        <v>8068</v>
      </c>
      <c r="P554" s="10" t="s">
        <v>8069</v>
      </c>
      <c r="Q554" s="389" t="s">
        <v>8070</v>
      </c>
      <c r="R554" s="8" t="s">
        <v>10796</v>
      </c>
      <c r="S554" s="212" t="s">
        <v>12153</v>
      </c>
      <c r="T554" s="8" t="s">
        <v>8071</v>
      </c>
      <c r="U554" s="11" t="s">
        <v>172</v>
      </c>
      <c r="V554" s="12" t="s">
        <v>94</v>
      </c>
      <c r="W554" s="13">
        <v>42470</v>
      </c>
      <c r="X554" s="5" t="str">
        <f t="shared" ca="1" si="22"/>
        <v>10 Th, 5 Bln</v>
      </c>
      <c r="Y554" s="5"/>
      <c r="Z554" s="14"/>
      <c r="AA554" s="5" t="s">
        <v>96</v>
      </c>
      <c r="AB554" s="5" t="s">
        <v>97</v>
      </c>
      <c r="AC554" s="7" t="s">
        <v>8072</v>
      </c>
      <c r="AD554" s="131" t="s">
        <v>127</v>
      </c>
      <c r="AE554" s="131" t="s">
        <v>127</v>
      </c>
      <c r="AF554" s="7" t="s">
        <v>8073</v>
      </c>
      <c r="AG554" s="7" t="s">
        <v>7133</v>
      </c>
      <c r="AH554" s="7" t="s">
        <v>102</v>
      </c>
      <c r="AI554" s="7" t="s">
        <v>127</v>
      </c>
      <c r="AJ554" s="7" t="s">
        <v>7106</v>
      </c>
      <c r="AK554" s="7" t="s">
        <v>104</v>
      </c>
      <c r="AL554" s="7" t="s">
        <v>8074</v>
      </c>
      <c r="AM554" s="15" t="s">
        <v>8075</v>
      </c>
      <c r="AN554" s="15" t="s">
        <v>8076</v>
      </c>
      <c r="AO554" s="8">
        <v>2</v>
      </c>
      <c r="AP554" s="8">
        <v>1</v>
      </c>
      <c r="AQ554" s="8" t="s">
        <v>127</v>
      </c>
      <c r="AR554" s="8" t="s">
        <v>127</v>
      </c>
      <c r="AS554" s="132" t="s">
        <v>1266</v>
      </c>
      <c r="AT554" s="131" t="s">
        <v>2383</v>
      </c>
      <c r="AU554" s="132" t="s">
        <v>182</v>
      </c>
      <c r="AV554" s="16" t="s">
        <v>112</v>
      </c>
      <c r="AW554" s="56" t="s">
        <v>549</v>
      </c>
      <c r="AX554" s="56" t="s">
        <v>8077</v>
      </c>
      <c r="AY554" s="7" t="s">
        <v>8078</v>
      </c>
      <c r="AZ554" s="10" t="s">
        <v>8079</v>
      </c>
      <c r="BA554" s="7" t="s">
        <v>6306</v>
      </c>
      <c r="BB554" s="17">
        <v>30019</v>
      </c>
      <c r="BC554" s="17" t="s">
        <v>7112</v>
      </c>
      <c r="BD554" s="18" t="s">
        <v>8080</v>
      </c>
      <c r="BE554" s="7" t="s">
        <v>153</v>
      </c>
      <c r="BF554" s="7" t="s">
        <v>8081</v>
      </c>
      <c r="BG554" s="7" t="s">
        <v>7114</v>
      </c>
      <c r="BH554" s="7" t="s">
        <v>8082</v>
      </c>
      <c r="BI554" s="19" t="s">
        <v>8083</v>
      </c>
      <c r="BJ554" s="20" t="s">
        <v>8084</v>
      </c>
      <c r="BK554" s="21" t="s">
        <v>8085</v>
      </c>
      <c r="BL554" s="7" t="s">
        <v>8086</v>
      </c>
      <c r="BM554" s="22" t="s">
        <v>8087</v>
      </c>
      <c r="BN554" s="8" t="s">
        <v>8088</v>
      </c>
      <c r="BO554" s="17">
        <v>30263</v>
      </c>
      <c r="BP554" s="17" t="s">
        <v>96</v>
      </c>
      <c r="BQ554" s="18" t="s">
        <v>8076</v>
      </c>
      <c r="BR554" s="7" t="s">
        <v>153</v>
      </c>
      <c r="BS554" s="7" t="s">
        <v>1363</v>
      </c>
      <c r="BT554" s="7" t="s">
        <v>8089</v>
      </c>
      <c r="BU554" s="8" t="s">
        <v>8090</v>
      </c>
      <c r="BV554" s="23" t="s">
        <v>8091</v>
      </c>
      <c r="BW554" s="24" t="s">
        <v>929</v>
      </c>
      <c r="BX554" s="21" t="s">
        <v>8092</v>
      </c>
      <c r="BY554" s="21" t="s">
        <v>8093</v>
      </c>
      <c r="BZ554" s="21" t="s">
        <v>8038</v>
      </c>
      <c r="CA554" s="21">
        <v>20935</v>
      </c>
      <c r="CB554" s="21"/>
      <c r="CC554" s="21" t="s">
        <v>8094</v>
      </c>
      <c r="CD554" s="21" t="s">
        <v>153</v>
      </c>
      <c r="CE554" s="21" t="s">
        <v>5504</v>
      </c>
      <c r="CF554" s="21" t="s">
        <v>96</v>
      </c>
      <c r="CG554" s="21" t="s">
        <v>8095</v>
      </c>
      <c r="CH554" s="21" t="s">
        <v>827</v>
      </c>
      <c r="CI554" s="21" t="s">
        <v>967</v>
      </c>
      <c r="CJ554" s="21" t="s">
        <v>7334</v>
      </c>
      <c r="CK554" s="21" t="s">
        <v>7280</v>
      </c>
      <c r="CL554" s="21" t="s">
        <v>7782</v>
      </c>
      <c r="CN554" s="25"/>
      <c r="CO554" s="25"/>
      <c r="CP554" s="25"/>
      <c r="CQ554" s="25"/>
      <c r="CR554" s="25"/>
      <c r="CS554" s="26"/>
    </row>
    <row r="555" spans="1:97" s="27" customFormat="1" ht="23.25" customHeight="1">
      <c r="A555" s="4">
        <v>419</v>
      </c>
      <c r="B555" s="6"/>
      <c r="C555" s="6"/>
      <c r="D555" s="6"/>
      <c r="E555" s="6"/>
      <c r="F555" s="6"/>
      <c r="G555" s="6"/>
      <c r="H555" s="5" t="s">
        <v>7095</v>
      </c>
      <c r="I555" s="6" t="s">
        <v>86</v>
      </c>
      <c r="J555" s="7" t="s">
        <v>8753</v>
      </c>
      <c r="K555" s="7" t="s">
        <v>8754</v>
      </c>
      <c r="L555" s="8"/>
      <c r="M555" s="5">
        <v>1791</v>
      </c>
      <c r="N555" s="5" t="s">
        <v>8755</v>
      </c>
      <c r="O555" s="9" t="s">
        <v>8756</v>
      </c>
      <c r="P555" s="10" t="s">
        <v>8757</v>
      </c>
      <c r="Q555" s="389" t="s">
        <v>8758</v>
      </c>
      <c r="R555" s="8" t="s">
        <v>10796</v>
      </c>
      <c r="S555" s="212" t="s">
        <v>12153</v>
      </c>
      <c r="T555" s="8" t="s">
        <v>8759</v>
      </c>
      <c r="U555" s="11" t="s">
        <v>172</v>
      </c>
      <c r="V555" s="12" t="s">
        <v>94</v>
      </c>
      <c r="W555" s="13">
        <v>42208</v>
      </c>
      <c r="X555" s="5" t="str">
        <f t="shared" ca="1" si="22"/>
        <v>11 Th, 1 Bln</v>
      </c>
      <c r="Y555" s="5"/>
      <c r="Z555" s="14"/>
      <c r="AA555" s="5" t="s">
        <v>96</v>
      </c>
      <c r="AB555" s="5" t="s">
        <v>97</v>
      </c>
      <c r="AC555" s="7" t="s">
        <v>8760</v>
      </c>
      <c r="AD555" s="131">
        <v>24</v>
      </c>
      <c r="AE555" s="131">
        <v>6</v>
      </c>
      <c r="AF555" s="7" t="s">
        <v>1155</v>
      </c>
      <c r="AG555" s="7" t="s">
        <v>140</v>
      </c>
      <c r="AH555" s="7" t="s">
        <v>141</v>
      </c>
      <c r="AI555" s="7">
        <v>65152</v>
      </c>
      <c r="AJ555" s="7" t="s">
        <v>94</v>
      </c>
      <c r="AK555" s="7" t="s">
        <v>179</v>
      </c>
      <c r="AL555" s="7" t="s">
        <v>2335</v>
      </c>
      <c r="AM555" s="15" t="s">
        <v>8761</v>
      </c>
      <c r="AN555" s="15" t="s">
        <v>8762</v>
      </c>
      <c r="AO555" s="8">
        <v>1</v>
      </c>
      <c r="AP555" s="8">
        <v>0</v>
      </c>
      <c r="AQ555" s="8">
        <v>0</v>
      </c>
      <c r="AR555" s="8">
        <v>0</v>
      </c>
      <c r="AS555" s="132" t="s">
        <v>1178</v>
      </c>
      <c r="AT555" s="131" t="s">
        <v>2958</v>
      </c>
      <c r="AU555" s="132" t="s">
        <v>111</v>
      </c>
      <c r="AV555" s="16" t="s">
        <v>112</v>
      </c>
      <c r="AW555" s="56" t="s">
        <v>643</v>
      </c>
      <c r="AX555" s="56" t="s">
        <v>8763</v>
      </c>
      <c r="AY555" s="7" t="s">
        <v>8764</v>
      </c>
      <c r="AZ555" s="10" t="s">
        <v>8765</v>
      </c>
      <c r="BA555" s="7" t="s">
        <v>94</v>
      </c>
      <c r="BB555" s="17">
        <v>33435</v>
      </c>
      <c r="BC555" s="17" t="s">
        <v>96</v>
      </c>
      <c r="BD555" s="18" t="s">
        <v>8766</v>
      </c>
      <c r="BE555" s="7" t="s">
        <v>118</v>
      </c>
      <c r="BF555" s="7" t="s">
        <v>1571</v>
      </c>
      <c r="BG555" s="7" t="s">
        <v>8767</v>
      </c>
      <c r="BH555" s="7" t="s">
        <v>8768</v>
      </c>
      <c r="BI555" s="19" t="s">
        <v>8769</v>
      </c>
      <c r="BJ555" s="20" t="s">
        <v>8770</v>
      </c>
      <c r="BK555" s="21" t="s">
        <v>8771</v>
      </c>
      <c r="BL555" s="7" t="s">
        <v>8772</v>
      </c>
      <c r="BM555" s="22">
        <v>350723510191001</v>
      </c>
      <c r="BN555" s="8" t="s">
        <v>94</v>
      </c>
      <c r="BO555" s="17">
        <v>33249</v>
      </c>
      <c r="BP555" s="17" t="s">
        <v>96</v>
      </c>
      <c r="BQ555" s="18" t="s">
        <v>8762</v>
      </c>
      <c r="BR555" s="7" t="s">
        <v>118</v>
      </c>
      <c r="BS555" s="7" t="s">
        <v>8773</v>
      </c>
      <c r="BT555" s="7" t="s">
        <v>8774</v>
      </c>
      <c r="BU555" s="8" t="s">
        <v>8775</v>
      </c>
      <c r="BV555" s="23" t="s">
        <v>8776</v>
      </c>
      <c r="BW555" s="24" t="s">
        <v>8777</v>
      </c>
      <c r="BX555" s="21" t="s">
        <v>8778</v>
      </c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N555" s="25"/>
      <c r="CO555" s="25"/>
      <c r="CP555" s="25"/>
      <c r="CQ555" s="25"/>
      <c r="CR555" s="25"/>
      <c r="CS555" s="26"/>
    </row>
    <row r="556" spans="1:97" s="27" customFormat="1" ht="23.25" customHeight="1">
      <c r="A556" s="4">
        <v>391</v>
      </c>
      <c r="B556" s="6"/>
      <c r="C556" s="6"/>
      <c r="D556" s="6"/>
      <c r="E556" s="6"/>
      <c r="F556" s="6"/>
      <c r="G556" s="6"/>
      <c r="H556" s="5" t="s">
        <v>7095</v>
      </c>
      <c r="I556" s="6" t="s">
        <v>86</v>
      </c>
      <c r="J556" s="7" t="s">
        <v>8106</v>
      </c>
      <c r="K556" s="7" t="s">
        <v>8107</v>
      </c>
      <c r="L556" s="8"/>
      <c r="M556" s="5">
        <v>1794</v>
      </c>
      <c r="N556" s="5" t="s">
        <v>8108</v>
      </c>
      <c r="O556" s="9" t="s">
        <v>8109</v>
      </c>
      <c r="P556" s="10" t="s">
        <v>8110</v>
      </c>
      <c r="Q556" s="389" t="s">
        <v>8111</v>
      </c>
      <c r="R556" s="8" t="s">
        <v>10796</v>
      </c>
      <c r="S556" s="212" t="s">
        <v>12153</v>
      </c>
      <c r="T556" s="8" t="s">
        <v>8112</v>
      </c>
      <c r="U556" s="11" t="s">
        <v>93</v>
      </c>
      <c r="V556" s="12" t="s">
        <v>94</v>
      </c>
      <c r="W556" s="13">
        <v>42568</v>
      </c>
      <c r="X556" s="5" t="str">
        <f t="shared" ca="1" si="22"/>
        <v>10 Th, 1 Bln</v>
      </c>
      <c r="Y556" s="5"/>
      <c r="Z556" s="14"/>
      <c r="AA556" s="5" t="s">
        <v>96</v>
      </c>
      <c r="AB556" s="5" t="s">
        <v>97</v>
      </c>
      <c r="AC556" s="7" t="s">
        <v>8113</v>
      </c>
      <c r="AD556" s="131" t="s">
        <v>127</v>
      </c>
      <c r="AE556" s="131" t="s">
        <v>127</v>
      </c>
      <c r="AF556" s="7" t="s">
        <v>8114</v>
      </c>
      <c r="AG556" s="7" t="s">
        <v>8114</v>
      </c>
      <c r="AH556" s="7" t="s">
        <v>141</v>
      </c>
      <c r="AI556" s="7" t="s">
        <v>127</v>
      </c>
      <c r="AJ556" s="7" t="s">
        <v>7782</v>
      </c>
      <c r="AK556" s="7" t="s">
        <v>104</v>
      </c>
      <c r="AL556" s="7" t="s">
        <v>127</v>
      </c>
      <c r="AM556" s="15" t="s">
        <v>127</v>
      </c>
      <c r="AN556" s="15" t="s">
        <v>8115</v>
      </c>
      <c r="AO556" s="8">
        <v>3</v>
      </c>
      <c r="AP556" s="8">
        <v>2</v>
      </c>
      <c r="AQ556" s="8" t="s">
        <v>127</v>
      </c>
      <c r="AR556" s="8" t="s">
        <v>127</v>
      </c>
      <c r="AS556" s="132">
        <v>114</v>
      </c>
      <c r="AT556" s="131" t="s">
        <v>8116</v>
      </c>
      <c r="AU556" s="132" t="s">
        <v>182</v>
      </c>
      <c r="AV556" s="16" t="s">
        <v>112</v>
      </c>
      <c r="AW556" s="56" t="s">
        <v>8117</v>
      </c>
      <c r="AX556" s="56" t="s">
        <v>7108</v>
      </c>
      <c r="AY556" s="7" t="s">
        <v>8118</v>
      </c>
      <c r="AZ556" s="10" t="s">
        <v>8119</v>
      </c>
      <c r="BA556" s="7" t="s">
        <v>8120</v>
      </c>
      <c r="BB556" s="17">
        <v>30598</v>
      </c>
      <c r="BC556" s="17" t="s">
        <v>7112</v>
      </c>
      <c r="BD556" s="18" t="s">
        <v>8121</v>
      </c>
      <c r="BE556" s="7" t="s">
        <v>224</v>
      </c>
      <c r="BF556" s="7" t="s">
        <v>471</v>
      </c>
      <c r="BG556" s="7" t="s">
        <v>8122</v>
      </c>
      <c r="BH556" s="7" t="s">
        <v>8122</v>
      </c>
      <c r="BI556" s="19" t="s">
        <v>127</v>
      </c>
      <c r="BJ556" s="20" t="s">
        <v>8123</v>
      </c>
      <c r="BK556" s="21" t="s">
        <v>8124</v>
      </c>
      <c r="BL556" s="7" t="s">
        <v>8125</v>
      </c>
      <c r="BM556" s="22" t="s">
        <v>8126</v>
      </c>
      <c r="BN556" s="8" t="s">
        <v>8127</v>
      </c>
      <c r="BO556" s="17">
        <v>28699</v>
      </c>
      <c r="BP556" s="17" t="s">
        <v>96</v>
      </c>
      <c r="BQ556" s="18" t="s">
        <v>8115</v>
      </c>
      <c r="BR556" s="7" t="s">
        <v>153</v>
      </c>
      <c r="BS556" s="7" t="s">
        <v>471</v>
      </c>
      <c r="BT556" s="7" t="s">
        <v>8128</v>
      </c>
      <c r="BU556" s="8" t="s">
        <v>8129</v>
      </c>
      <c r="BV556" s="23" t="s">
        <v>127</v>
      </c>
      <c r="BW556" s="24" t="s">
        <v>8123</v>
      </c>
      <c r="BX556" s="21" t="s">
        <v>8130</v>
      </c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N556" s="25"/>
      <c r="CO556" s="25"/>
      <c r="CP556" s="25"/>
      <c r="CQ556" s="25"/>
      <c r="CR556" s="25"/>
      <c r="CS556" s="26"/>
    </row>
    <row r="557" spans="1:97" s="27" customFormat="1" ht="23.25" customHeight="1">
      <c r="A557" s="4">
        <v>443</v>
      </c>
      <c r="B557" s="6"/>
      <c r="C557" s="6"/>
      <c r="D557" s="6"/>
      <c r="E557" s="6"/>
      <c r="F557" s="6"/>
      <c r="G557" s="6"/>
      <c r="H557" s="5" t="s">
        <v>7095</v>
      </c>
      <c r="I557" s="6" t="s">
        <v>86</v>
      </c>
      <c r="J557" s="7" t="s">
        <v>166</v>
      </c>
      <c r="K557" s="7" t="s">
        <v>2061</v>
      </c>
      <c r="L557" s="8"/>
      <c r="M557" s="5">
        <v>1795</v>
      </c>
      <c r="N557" s="5" t="s">
        <v>9252</v>
      </c>
      <c r="O557" s="9" t="s">
        <v>9253</v>
      </c>
      <c r="P557" s="10" t="s">
        <v>9254</v>
      </c>
      <c r="Q557" s="389" t="s">
        <v>9255</v>
      </c>
      <c r="R557" s="8" t="s">
        <v>10796</v>
      </c>
      <c r="S557" s="212" t="s">
        <v>12153</v>
      </c>
      <c r="T557" s="8" t="s">
        <v>9256</v>
      </c>
      <c r="U557" s="11" t="s">
        <v>93</v>
      </c>
      <c r="V557" s="12" t="s">
        <v>94</v>
      </c>
      <c r="W557" s="13">
        <v>42513</v>
      </c>
      <c r="X557" s="5" t="str">
        <f t="shared" ca="1" si="22"/>
        <v>10 Th, 3 Bln</v>
      </c>
      <c r="Y557" s="5"/>
      <c r="Z557" s="14"/>
      <c r="AA557" s="5" t="s">
        <v>96</v>
      </c>
      <c r="AB557" s="5" t="s">
        <v>97</v>
      </c>
      <c r="AC557" s="7" t="s">
        <v>9257</v>
      </c>
      <c r="AD557" s="131">
        <v>9</v>
      </c>
      <c r="AE557" s="131">
        <v>6</v>
      </c>
      <c r="AF557" s="7" t="s">
        <v>7132</v>
      </c>
      <c r="AG557" s="7" t="s">
        <v>7133</v>
      </c>
      <c r="AH557" s="7" t="s">
        <v>102</v>
      </c>
      <c r="AI557" s="7">
        <v>65146</v>
      </c>
      <c r="AJ557" s="7" t="s">
        <v>5047</v>
      </c>
      <c r="AK557" s="7" t="s">
        <v>179</v>
      </c>
      <c r="AL557" s="7" t="s">
        <v>4986</v>
      </c>
      <c r="AM557" s="15" t="s">
        <v>163</v>
      </c>
      <c r="AN557" s="15" t="s">
        <v>9258</v>
      </c>
      <c r="AO557" s="8">
        <v>2</v>
      </c>
      <c r="AP557" s="8">
        <v>1</v>
      </c>
      <c r="AQ557" s="8"/>
      <c r="AR557" s="8"/>
      <c r="AS557" s="132">
        <v>112</v>
      </c>
      <c r="AT557" s="131">
        <v>18</v>
      </c>
      <c r="AU557" s="132" t="s">
        <v>149</v>
      </c>
      <c r="AV557" s="16" t="s">
        <v>112</v>
      </c>
      <c r="AW557" s="56" t="s">
        <v>549</v>
      </c>
      <c r="AX557" s="56" t="s">
        <v>7650</v>
      </c>
      <c r="AY557" s="7" t="s">
        <v>9259</v>
      </c>
      <c r="AZ557" s="10" t="s">
        <v>9260</v>
      </c>
      <c r="BA557" s="7" t="s">
        <v>4905</v>
      </c>
      <c r="BB557" s="17">
        <v>29277</v>
      </c>
      <c r="BC557" s="17" t="s">
        <v>7112</v>
      </c>
      <c r="BD557" s="18" t="s">
        <v>9261</v>
      </c>
      <c r="BE557" s="7" t="s">
        <v>216</v>
      </c>
      <c r="BF557" s="7" t="s">
        <v>5934</v>
      </c>
      <c r="BG557" s="7" t="s">
        <v>9262</v>
      </c>
      <c r="BH557" s="7" t="s">
        <v>9263</v>
      </c>
      <c r="BI557" s="19" t="s">
        <v>127</v>
      </c>
      <c r="BJ557" s="20">
        <v>2000000</v>
      </c>
      <c r="BK557" s="21"/>
      <c r="BL557" s="7" t="s">
        <v>9264</v>
      </c>
      <c r="BM557" s="22" t="s">
        <v>9265</v>
      </c>
      <c r="BN557" s="8" t="s">
        <v>5047</v>
      </c>
      <c r="BO557" s="17">
        <v>30813</v>
      </c>
      <c r="BP557" s="17" t="s">
        <v>96</v>
      </c>
      <c r="BQ557" s="18" t="s">
        <v>9258</v>
      </c>
      <c r="BR557" s="7" t="s">
        <v>118</v>
      </c>
      <c r="BS557" s="7" t="s">
        <v>7599</v>
      </c>
      <c r="BT557" s="7" t="s">
        <v>9266</v>
      </c>
      <c r="BU557" s="8" t="s">
        <v>9267</v>
      </c>
      <c r="BV557" s="23" t="s">
        <v>127</v>
      </c>
      <c r="BW557" s="24">
        <v>3000000</v>
      </c>
      <c r="BX557" s="21" t="s">
        <v>9268</v>
      </c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N557" s="25"/>
      <c r="CO557" s="25"/>
      <c r="CP557" s="25"/>
      <c r="CQ557" s="25"/>
      <c r="CR557" s="25"/>
      <c r="CS557" s="26"/>
    </row>
    <row r="558" spans="1:97" s="27" customFormat="1" ht="23.25" customHeight="1">
      <c r="A558" s="4">
        <v>392</v>
      </c>
      <c r="B558" s="6"/>
      <c r="C558" s="6"/>
      <c r="D558" s="6"/>
      <c r="E558" s="6"/>
      <c r="F558" s="6"/>
      <c r="G558" s="6"/>
      <c r="H558" s="5" t="s">
        <v>7095</v>
      </c>
      <c r="I558" s="6" t="s">
        <v>86</v>
      </c>
      <c r="J558" s="7" t="s">
        <v>8131</v>
      </c>
      <c r="K558" s="7" t="s">
        <v>502</v>
      </c>
      <c r="L558" s="8"/>
      <c r="M558" s="5">
        <v>1797</v>
      </c>
      <c r="N558" s="5" t="s">
        <v>8132</v>
      </c>
      <c r="O558" s="9" t="s">
        <v>8133</v>
      </c>
      <c r="P558" s="10" t="s">
        <v>11475</v>
      </c>
      <c r="Q558" s="389" t="s">
        <v>8134</v>
      </c>
      <c r="R558" s="8" t="s">
        <v>10796</v>
      </c>
      <c r="S558" s="212" t="s">
        <v>12153</v>
      </c>
      <c r="T558" s="8" t="s">
        <v>8135</v>
      </c>
      <c r="U558" s="11" t="s">
        <v>172</v>
      </c>
      <c r="V558" s="12" t="s">
        <v>502</v>
      </c>
      <c r="W558" s="13">
        <v>42270</v>
      </c>
      <c r="X558" s="5" t="str">
        <f t="shared" ca="1" si="22"/>
        <v>10 Th, 11 Bln</v>
      </c>
      <c r="Y558" s="5"/>
      <c r="Z558" s="14"/>
      <c r="AA558" s="5" t="s">
        <v>96</v>
      </c>
      <c r="AB558" s="5" t="s">
        <v>97</v>
      </c>
      <c r="AC558" s="7" t="s">
        <v>8136</v>
      </c>
      <c r="AD558" s="131">
        <v>14</v>
      </c>
      <c r="AE558" s="131">
        <v>14</v>
      </c>
      <c r="AF558" s="7" t="s">
        <v>8137</v>
      </c>
      <c r="AG558" s="7" t="s">
        <v>7496</v>
      </c>
      <c r="AH558" s="7" t="s">
        <v>141</v>
      </c>
      <c r="AI558" s="7">
        <v>65151</v>
      </c>
      <c r="AJ558" s="7" t="s">
        <v>5047</v>
      </c>
      <c r="AK558" s="7" t="s">
        <v>386</v>
      </c>
      <c r="AL558" s="7" t="s">
        <v>8138</v>
      </c>
      <c r="AM558" s="15" t="s">
        <v>8139</v>
      </c>
      <c r="AN558" s="15" t="s">
        <v>8139</v>
      </c>
      <c r="AO558" s="8">
        <v>1</v>
      </c>
      <c r="AP558" s="8">
        <v>4</v>
      </c>
      <c r="AQ558" s="8"/>
      <c r="AR558" s="8"/>
      <c r="AS558" s="132" t="s">
        <v>8140</v>
      </c>
      <c r="AT558" s="131" t="s">
        <v>2430</v>
      </c>
      <c r="AU558" s="132" t="s">
        <v>182</v>
      </c>
      <c r="AV558" s="16" t="s">
        <v>112</v>
      </c>
      <c r="AW558" s="56" t="s">
        <v>113</v>
      </c>
      <c r="AX558" s="56" t="s">
        <v>7108</v>
      </c>
      <c r="AY558" s="7" t="s">
        <v>8141</v>
      </c>
      <c r="AZ558" s="10" t="s">
        <v>8142</v>
      </c>
      <c r="BA558" s="7" t="s">
        <v>8143</v>
      </c>
      <c r="BB558" s="17">
        <v>30967</v>
      </c>
      <c r="BC558" s="17" t="s">
        <v>7112</v>
      </c>
      <c r="BD558" s="18" t="s">
        <v>8144</v>
      </c>
      <c r="BE558" s="7" t="s">
        <v>216</v>
      </c>
      <c r="BF558" s="7" t="s">
        <v>5043</v>
      </c>
      <c r="BG558" s="7" t="s">
        <v>163</v>
      </c>
      <c r="BH558" s="7" t="s">
        <v>163</v>
      </c>
      <c r="BI558" s="19" t="s">
        <v>163</v>
      </c>
      <c r="BJ558" s="20">
        <v>2000000</v>
      </c>
      <c r="BK558" s="21" t="s">
        <v>8145</v>
      </c>
      <c r="BL558" s="7" t="s">
        <v>8146</v>
      </c>
      <c r="BM558" s="22" t="s">
        <v>8147</v>
      </c>
      <c r="BN558" s="8" t="s">
        <v>8038</v>
      </c>
      <c r="BO558" s="17">
        <v>32557</v>
      </c>
      <c r="BP558" s="17" t="s">
        <v>96</v>
      </c>
      <c r="BQ558" s="18" t="s">
        <v>8139</v>
      </c>
      <c r="BR558" s="7" t="s">
        <v>118</v>
      </c>
      <c r="BS558" s="7" t="s">
        <v>5043</v>
      </c>
      <c r="BT558" s="7" t="s">
        <v>3854</v>
      </c>
      <c r="BU558" s="8" t="s">
        <v>3854</v>
      </c>
      <c r="BV558" s="23" t="s">
        <v>3854</v>
      </c>
      <c r="BW558" s="24">
        <v>2000000</v>
      </c>
      <c r="BX558" s="21" t="s">
        <v>8148</v>
      </c>
      <c r="BY558" s="21" t="s">
        <v>8141</v>
      </c>
      <c r="BZ558" s="21" t="s">
        <v>8143</v>
      </c>
      <c r="CA558" s="21">
        <v>30967</v>
      </c>
      <c r="CB558" s="21"/>
      <c r="CC558" s="21" t="s">
        <v>8144</v>
      </c>
      <c r="CD558" s="21" t="s">
        <v>216</v>
      </c>
      <c r="CE558" s="21" t="s">
        <v>5043</v>
      </c>
      <c r="CF558" s="21" t="s">
        <v>96</v>
      </c>
      <c r="CG558" s="21" t="s">
        <v>8149</v>
      </c>
      <c r="CH558" s="21">
        <v>14</v>
      </c>
      <c r="CI558" s="21">
        <v>14</v>
      </c>
      <c r="CJ558" s="21" t="s">
        <v>8137</v>
      </c>
      <c r="CK558" s="21" t="s">
        <v>7496</v>
      </c>
      <c r="CL558" s="21" t="s">
        <v>5047</v>
      </c>
      <c r="CN558" s="25"/>
      <c r="CO558" s="25"/>
      <c r="CP558" s="25"/>
      <c r="CQ558" s="25"/>
      <c r="CR558" s="25"/>
      <c r="CS558" s="26"/>
    </row>
    <row r="559" spans="1:97" s="27" customFormat="1" ht="23.25" customHeight="1">
      <c r="A559" s="4">
        <v>420</v>
      </c>
      <c r="B559" s="6"/>
      <c r="C559" s="6"/>
      <c r="D559" s="6"/>
      <c r="E559" s="6"/>
      <c r="F559" s="6"/>
      <c r="G559" s="6"/>
      <c r="H559" s="5" t="s">
        <v>7095</v>
      </c>
      <c r="I559" s="6" t="s">
        <v>86</v>
      </c>
      <c r="J559" s="7" t="s">
        <v>8779</v>
      </c>
      <c r="K559" s="7" t="s">
        <v>562</v>
      </c>
      <c r="L559" s="8"/>
      <c r="M559" s="5">
        <v>1798</v>
      </c>
      <c r="N559" s="5" t="s">
        <v>8780</v>
      </c>
      <c r="O559" s="9" t="s">
        <v>8781</v>
      </c>
      <c r="P559" s="10" t="s">
        <v>8782</v>
      </c>
      <c r="Q559" s="389" t="s">
        <v>8783</v>
      </c>
      <c r="R559" s="8" t="s">
        <v>10796</v>
      </c>
      <c r="S559" s="212" t="s">
        <v>12153</v>
      </c>
      <c r="T559" s="8" t="s">
        <v>3860</v>
      </c>
      <c r="U559" s="11" t="s">
        <v>93</v>
      </c>
      <c r="V559" s="12" t="s">
        <v>395</v>
      </c>
      <c r="W559" s="13">
        <v>42068</v>
      </c>
      <c r="X559" s="5" t="str">
        <f ca="1">""&amp;DATEDIF(W559,TODAY(),"y")&amp;" Th, "&amp;DATEDIF(W559,TODAY(),"ym")&amp;" Bln"</f>
        <v>11 Th, 6 Bln</v>
      </c>
      <c r="Y559" s="5"/>
      <c r="Z559" s="14"/>
      <c r="AA559" s="5" t="s">
        <v>96</v>
      </c>
      <c r="AB559" s="5" t="s">
        <v>97</v>
      </c>
      <c r="AC559" s="7" t="s">
        <v>8784</v>
      </c>
      <c r="AD559" s="131" t="s">
        <v>100</v>
      </c>
      <c r="AE559" s="131">
        <v>11</v>
      </c>
      <c r="AF559" s="7" t="s">
        <v>5045</v>
      </c>
      <c r="AG559" s="7" t="s">
        <v>5046</v>
      </c>
      <c r="AH559" s="7" t="s">
        <v>178</v>
      </c>
      <c r="AI559" s="7">
        <v>65141</v>
      </c>
      <c r="AJ559" s="7" t="s">
        <v>7106</v>
      </c>
      <c r="AK559" s="7" t="s">
        <v>104</v>
      </c>
      <c r="AL559" s="7" t="s">
        <v>7714</v>
      </c>
      <c r="AM559" s="15" t="s">
        <v>8785</v>
      </c>
      <c r="AN559" s="15" t="s">
        <v>8785</v>
      </c>
      <c r="AO559" s="8">
        <v>2</v>
      </c>
      <c r="AP559" s="8">
        <v>3</v>
      </c>
      <c r="AQ559" s="8">
        <v>0</v>
      </c>
      <c r="AR559" s="8">
        <v>0</v>
      </c>
      <c r="AS559" s="132" t="s">
        <v>945</v>
      </c>
      <c r="AT559" s="131" t="s">
        <v>8786</v>
      </c>
      <c r="AU559" s="132" t="s">
        <v>182</v>
      </c>
      <c r="AV559" s="16" t="s">
        <v>112</v>
      </c>
      <c r="AW559" s="56" t="s">
        <v>150</v>
      </c>
      <c r="AX559" s="56" t="s">
        <v>8787</v>
      </c>
      <c r="AY559" s="7" t="s">
        <v>8788</v>
      </c>
      <c r="AZ559" s="10" t="s">
        <v>8789</v>
      </c>
      <c r="BA559" s="7" t="s">
        <v>8790</v>
      </c>
      <c r="BB559" s="17">
        <v>30183</v>
      </c>
      <c r="BC559" s="17" t="s">
        <v>7112</v>
      </c>
      <c r="BD559" s="18" t="s">
        <v>8785</v>
      </c>
      <c r="BE559" s="7" t="s">
        <v>118</v>
      </c>
      <c r="BF559" s="7" t="s">
        <v>8791</v>
      </c>
      <c r="BG559" s="7" t="s">
        <v>8792</v>
      </c>
      <c r="BH559" s="7" t="s">
        <v>8793</v>
      </c>
      <c r="BI559" s="19" t="s">
        <v>8794</v>
      </c>
      <c r="BJ559" s="20" t="s">
        <v>2635</v>
      </c>
      <c r="BK559" s="21" t="s">
        <v>8795</v>
      </c>
      <c r="BL559" s="7" t="s">
        <v>8796</v>
      </c>
      <c r="BM559" s="22" t="s">
        <v>8797</v>
      </c>
      <c r="BN559" s="8" t="s">
        <v>8798</v>
      </c>
      <c r="BO559" s="17">
        <v>31735</v>
      </c>
      <c r="BP559" s="17" t="s">
        <v>96</v>
      </c>
      <c r="BQ559" s="18" t="s">
        <v>8785</v>
      </c>
      <c r="BR559" s="7" t="s">
        <v>118</v>
      </c>
      <c r="BS559" s="7" t="s">
        <v>8799</v>
      </c>
      <c r="BT559" s="7" t="s">
        <v>127</v>
      </c>
      <c r="BU559" s="8" t="s">
        <v>127</v>
      </c>
      <c r="BV559" s="23" t="s">
        <v>127</v>
      </c>
      <c r="BW559" s="24" t="s">
        <v>127</v>
      </c>
      <c r="BX559" s="21" t="s">
        <v>8795</v>
      </c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N559" s="25"/>
      <c r="CO559" s="25"/>
      <c r="CP559" s="25"/>
      <c r="CQ559" s="25"/>
      <c r="CR559" s="25"/>
      <c r="CS559" s="26"/>
    </row>
    <row r="560" spans="1:97" s="27" customFormat="1" ht="23.25" customHeight="1">
      <c r="A560" s="4">
        <v>447</v>
      </c>
      <c r="B560" s="6"/>
      <c r="C560" s="6"/>
      <c r="D560" s="6"/>
      <c r="E560" s="6"/>
      <c r="F560" s="6"/>
      <c r="G560" s="6"/>
      <c r="H560" s="5" t="s">
        <v>7095</v>
      </c>
      <c r="I560" s="6" t="s">
        <v>86</v>
      </c>
      <c r="J560" s="7" t="s">
        <v>9337</v>
      </c>
      <c r="K560" s="7" t="s">
        <v>9338</v>
      </c>
      <c r="L560" s="8"/>
      <c r="M560" s="5">
        <v>1806</v>
      </c>
      <c r="N560" s="5" t="s">
        <v>9339</v>
      </c>
      <c r="O560" s="9" t="s">
        <v>9340</v>
      </c>
      <c r="P560" s="10" t="s">
        <v>9341</v>
      </c>
      <c r="Q560" s="389" t="s">
        <v>9342</v>
      </c>
      <c r="R560" s="8" t="s">
        <v>10796</v>
      </c>
      <c r="S560" s="212" t="s">
        <v>12153</v>
      </c>
      <c r="T560" s="8" t="s">
        <v>9343</v>
      </c>
      <c r="U560" s="11" t="s">
        <v>93</v>
      </c>
      <c r="V560" s="12" t="s">
        <v>395</v>
      </c>
      <c r="W560" s="13">
        <v>42462</v>
      </c>
      <c r="X560" s="5" t="str">
        <f ca="1">""&amp;DATEDIF(W560,TODAY(),"y")&amp;" Th, "&amp;DATEDIF(W560,TODAY(),"ym")&amp;" Bln"</f>
        <v>10 Th, 5 Bln</v>
      </c>
      <c r="Y560" s="5"/>
      <c r="Z560" s="14"/>
      <c r="AA560" s="5" t="s">
        <v>96</v>
      </c>
      <c r="AB560" s="5" t="s">
        <v>97</v>
      </c>
      <c r="AC560" s="7" t="s">
        <v>9344</v>
      </c>
      <c r="AD560" s="131" t="s">
        <v>99</v>
      </c>
      <c r="AE560" s="131" t="s">
        <v>318</v>
      </c>
      <c r="AF560" s="7" t="s">
        <v>9345</v>
      </c>
      <c r="AG560" s="7" t="s">
        <v>9346</v>
      </c>
      <c r="AH560" s="7" t="s">
        <v>141</v>
      </c>
      <c r="AI560" s="7">
        <v>60286</v>
      </c>
      <c r="AJ560" s="7" t="s">
        <v>8798</v>
      </c>
      <c r="AK560" s="7" t="s">
        <v>179</v>
      </c>
      <c r="AL560" s="7" t="s">
        <v>8355</v>
      </c>
      <c r="AM560" s="15" t="s">
        <v>9347</v>
      </c>
      <c r="AN560" s="15" t="s">
        <v>9347</v>
      </c>
      <c r="AO560" s="8">
        <v>1</v>
      </c>
      <c r="AP560" s="8">
        <v>1</v>
      </c>
      <c r="AQ560" s="8"/>
      <c r="AR560" s="8"/>
      <c r="AS560" s="132" t="s">
        <v>9348</v>
      </c>
      <c r="AT560" s="131" t="s">
        <v>9349</v>
      </c>
      <c r="AU560" s="132" t="s">
        <v>111</v>
      </c>
      <c r="AV560" s="16" t="s">
        <v>112</v>
      </c>
      <c r="AW560" s="56" t="s">
        <v>113</v>
      </c>
      <c r="AX560" s="56" t="s">
        <v>8964</v>
      </c>
      <c r="AY560" s="7" t="s">
        <v>9350</v>
      </c>
      <c r="AZ560" s="10" t="s">
        <v>9351</v>
      </c>
      <c r="BA560" s="7" t="s">
        <v>6118</v>
      </c>
      <c r="BB560" s="17">
        <v>32606</v>
      </c>
      <c r="BC560" s="17" t="s">
        <v>7112</v>
      </c>
      <c r="BD560" s="18" t="s">
        <v>9352</v>
      </c>
      <c r="BE560" s="7" t="s">
        <v>118</v>
      </c>
      <c r="BF560" s="7" t="s">
        <v>5043</v>
      </c>
      <c r="BG560" s="7" t="s">
        <v>9353</v>
      </c>
      <c r="BH560" s="7" t="s">
        <v>9354</v>
      </c>
      <c r="BI560" s="19"/>
      <c r="BJ560" s="20">
        <v>6000000</v>
      </c>
      <c r="BK560" s="21"/>
      <c r="BL560" s="7" t="s">
        <v>9355</v>
      </c>
      <c r="BM560" s="22" t="s">
        <v>9356</v>
      </c>
      <c r="BN560" s="8" t="s">
        <v>7960</v>
      </c>
      <c r="BO560" s="17">
        <v>32436</v>
      </c>
      <c r="BP560" s="17" t="s">
        <v>96</v>
      </c>
      <c r="BQ560" s="18" t="s">
        <v>9347</v>
      </c>
      <c r="BR560" s="7" t="s">
        <v>118</v>
      </c>
      <c r="BS560" s="7" t="s">
        <v>5043</v>
      </c>
      <c r="BT560" s="7" t="s">
        <v>9357</v>
      </c>
      <c r="BU560" s="8" t="s">
        <v>9358</v>
      </c>
      <c r="BV560" s="23"/>
      <c r="BW560" s="24">
        <v>3000000</v>
      </c>
      <c r="BX560" s="21"/>
      <c r="BY560" s="21" t="s">
        <v>9359</v>
      </c>
      <c r="BZ560" s="21" t="s">
        <v>6705</v>
      </c>
      <c r="CA560" s="21">
        <v>21852</v>
      </c>
      <c r="CB560" s="21"/>
      <c r="CC560" s="21" t="s">
        <v>9360</v>
      </c>
      <c r="CD560" s="21" t="s">
        <v>118</v>
      </c>
      <c r="CE560" s="21" t="s">
        <v>7622</v>
      </c>
      <c r="CF560" s="21" t="s">
        <v>96</v>
      </c>
      <c r="CG560" s="21" t="s">
        <v>9361</v>
      </c>
      <c r="CH560" s="21" t="s">
        <v>100</v>
      </c>
      <c r="CI560" s="21" t="s">
        <v>384</v>
      </c>
      <c r="CJ560" s="21" t="s">
        <v>9362</v>
      </c>
      <c r="CK560" s="21" t="s">
        <v>9363</v>
      </c>
      <c r="CL560" s="21" t="s">
        <v>6118</v>
      </c>
      <c r="CN560" s="25"/>
      <c r="CO560" s="25"/>
      <c r="CP560" s="25"/>
      <c r="CQ560" s="25"/>
      <c r="CR560" s="25"/>
      <c r="CS560" s="26"/>
    </row>
    <row r="561" spans="1:97" s="27" customFormat="1" ht="23.25" customHeight="1">
      <c r="A561" s="4">
        <v>450</v>
      </c>
      <c r="B561" s="6"/>
      <c r="C561" s="6"/>
      <c r="D561" s="6"/>
      <c r="E561" s="6"/>
      <c r="F561" s="6"/>
      <c r="G561" s="6"/>
      <c r="H561" s="5" t="s">
        <v>7095</v>
      </c>
      <c r="I561" s="6" t="s">
        <v>86</v>
      </c>
      <c r="J561" s="7" t="s">
        <v>402</v>
      </c>
      <c r="K561" s="7" t="s">
        <v>562</v>
      </c>
      <c r="L561" s="8"/>
      <c r="M561" s="5">
        <v>1811</v>
      </c>
      <c r="N561" s="5" t="s">
        <v>9387</v>
      </c>
      <c r="O561" s="9" t="s">
        <v>9388</v>
      </c>
      <c r="P561" s="10" t="s">
        <v>9389</v>
      </c>
      <c r="Q561" s="389" t="s">
        <v>9390</v>
      </c>
      <c r="R561" s="8" t="s">
        <v>10796</v>
      </c>
      <c r="S561" s="212" t="s">
        <v>12153</v>
      </c>
      <c r="T561" s="8" t="s">
        <v>9391</v>
      </c>
      <c r="U561" s="11" t="s">
        <v>93</v>
      </c>
      <c r="V561" s="12" t="s">
        <v>94</v>
      </c>
      <c r="W561" s="13">
        <v>42349</v>
      </c>
      <c r="X561" s="5" t="str">
        <f t="shared" ref="X561:X569" ca="1" si="23">""&amp;DATEDIF(W561,TODAY(),"y")&amp;" Th, "&amp;DATEDIF(W561,TODAY(),"ym")&amp;" Bln"</f>
        <v>10 Th, 9 Bln</v>
      </c>
      <c r="Y561" s="5"/>
      <c r="Z561" s="14"/>
      <c r="AA561" s="5" t="s">
        <v>96</v>
      </c>
      <c r="AB561" s="5" t="s">
        <v>97</v>
      </c>
      <c r="AC561" s="7" t="s">
        <v>9392</v>
      </c>
      <c r="AD561" s="131" t="s">
        <v>966</v>
      </c>
      <c r="AE561" s="131" t="s">
        <v>1281</v>
      </c>
      <c r="AF561" s="7" t="s">
        <v>7730</v>
      </c>
      <c r="AG561" s="7" t="s">
        <v>7258</v>
      </c>
      <c r="AH561" s="7" t="s">
        <v>241</v>
      </c>
      <c r="AI561" s="7">
        <v>65124</v>
      </c>
      <c r="AJ561" s="7" t="s">
        <v>7106</v>
      </c>
      <c r="AK561" s="7" t="s">
        <v>179</v>
      </c>
      <c r="AL561" s="7" t="s">
        <v>4986</v>
      </c>
      <c r="AM561" s="15">
        <v>0</v>
      </c>
      <c r="AN561" s="15" t="s">
        <v>9393</v>
      </c>
      <c r="AO561" s="8">
        <v>1</v>
      </c>
      <c r="AP561" s="8">
        <v>0</v>
      </c>
      <c r="AQ561" s="8">
        <v>0</v>
      </c>
      <c r="AR561" s="8">
        <v>0</v>
      </c>
      <c r="AS561" s="132" t="s">
        <v>272</v>
      </c>
      <c r="AT561" s="131" t="s">
        <v>4957</v>
      </c>
      <c r="AU561" s="132" t="s">
        <v>149</v>
      </c>
      <c r="AV561" s="16" t="s">
        <v>112</v>
      </c>
      <c r="AW561" s="56" t="s">
        <v>163</v>
      </c>
      <c r="AX561" s="56" t="s">
        <v>7136</v>
      </c>
      <c r="AY561" s="7" t="s">
        <v>9394</v>
      </c>
      <c r="AZ561" s="10" t="s">
        <v>9395</v>
      </c>
      <c r="BA561" s="7" t="s">
        <v>9396</v>
      </c>
      <c r="BB561" s="17">
        <v>31887</v>
      </c>
      <c r="BC561" s="17" t="s">
        <v>7112</v>
      </c>
      <c r="BD561" s="18" t="s">
        <v>9397</v>
      </c>
      <c r="BE561" s="7" t="s">
        <v>118</v>
      </c>
      <c r="BF561" s="7" t="s">
        <v>9398</v>
      </c>
      <c r="BG561" s="7" t="s">
        <v>4158</v>
      </c>
      <c r="BH561" s="7" t="s">
        <v>9399</v>
      </c>
      <c r="BI561" s="19" t="s">
        <v>9400</v>
      </c>
      <c r="BJ561" s="20" t="s">
        <v>9401</v>
      </c>
      <c r="BK561" s="21" t="s">
        <v>9402</v>
      </c>
      <c r="BL561" s="7" t="s">
        <v>9403</v>
      </c>
      <c r="BM561" s="22" t="s">
        <v>9404</v>
      </c>
      <c r="BN561" s="8" t="s">
        <v>7576</v>
      </c>
      <c r="BO561" s="17">
        <v>32018</v>
      </c>
      <c r="BP561" s="17" t="s">
        <v>96</v>
      </c>
      <c r="BQ561" s="18" t="s">
        <v>9393</v>
      </c>
      <c r="BR561" s="7" t="s">
        <v>118</v>
      </c>
      <c r="BS561" s="7" t="s">
        <v>7967</v>
      </c>
      <c r="BT561" s="7">
        <v>0</v>
      </c>
      <c r="BU561" s="8">
        <v>0</v>
      </c>
      <c r="BV561" s="23">
        <v>0</v>
      </c>
      <c r="BW561" s="24">
        <v>0</v>
      </c>
      <c r="BX561" s="21" t="s">
        <v>9405</v>
      </c>
      <c r="BY561" s="21" t="s">
        <v>9406</v>
      </c>
      <c r="BZ561" s="21" t="s">
        <v>5047</v>
      </c>
      <c r="CA561" s="21">
        <v>24025</v>
      </c>
      <c r="CB561" s="21"/>
      <c r="CC561" s="21" t="s">
        <v>9407</v>
      </c>
      <c r="CD561" s="21" t="s">
        <v>118</v>
      </c>
      <c r="CE561" s="21" t="s">
        <v>471</v>
      </c>
      <c r="CF561" s="21" t="s">
        <v>96</v>
      </c>
      <c r="CG561" s="21" t="s">
        <v>9392</v>
      </c>
      <c r="CH561" s="21" t="s">
        <v>966</v>
      </c>
      <c r="CI561" s="21" t="s">
        <v>1281</v>
      </c>
      <c r="CJ561" s="21" t="s">
        <v>7730</v>
      </c>
      <c r="CK561" s="21" t="s">
        <v>7258</v>
      </c>
      <c r="CL561" s="21" t="s">
        <v>7106</v>
      </c>
      <c r="CN561" s="25"/>
      <c r="CO561" s="25"/>
      <c r="CP561" s="25"/>
      <c r="CQ561" s="25"/>
      <c r="CR561" s="25"/>
      <c r="CS561" s="26"/>
    </row>
    <row r="562" spans="1:97" s="27" customFormat="1" ht="23.25" customHeight="1">
      <c r="A562" s="4">
        <v>483</v>
      </c>
      <c r="B562" s="28"/>
      <c r="C562" s="28"/>
      <c r="D562" s="28"/>
      <c r="E562" s="28"/>
      <c r="F562" s="28"/>
      <c r="G562" s="28"/>
      <c r="H562" s="29"/>
      <c r="I562" s="28"/>
      <c r="J562" s="30" t="s">
        <v>166</v>
      </c>
      <c r="K562" s="30" t="s">
        <v>9944</v>
      </c>
      <c r="L562" s="31"/>
      <c r="M562" s="29">
        <v>1611</v>
      </c>
      <c r="N562" s="29" t="s">
        <v>9945</v>
      </c>
      <c r="O562" s="92" t="s">
        <v>9946</v>
      </c>
      <c r="P562" s="32" t="s">
        <v>9947</v>
      </c>
      <c r="Q562" s="390" t="s">
        <v>9948</v>
      </c>
      <c r="R562" s="8" t="s">
        <v>11290</v>
      </c>
      <c r="S562" s="212" t="s">
        <v>13584</v>
      </c>
      <c r="T562" s="31" t="s">
        <v>1392</v>
      </c>
      <c r="U562" s="33" t="s">
        <v>172</v>
      </c>
      <c r="V562" s="34" t="s">
        <v>9949</v>
      </c>
      <c r="W562" s="35">
        <v>41328</v>
      </c>
      <c r="X562" s="31" t="str">
        <f t="shared" ca="1" si="23"/>
        <v>13 Th, 6 Bln</v>
      </c>
      <c r="Y562" s="31"/>
      <c r="Z562" s="36"/>
      <c r="AA562" s="31" t="s">
        <v>96</v>
      </c>
      <c r="AB562" s="31"/>
      <c r="AC562" s="30" t="s">
        <v>9950</v>
      </c>
      <c r="AD562" s="129"/>
      <c r="AE562" s="129"/>
      <c r="AF562" s="30" t="s">
        <v>9951</v>
      </c>
      <c r="AG562" s="30" t="s">
        <v>2159</v>
      </c>
      <c r="AH562" s="30" t="s">
        <v>2159</v>
      </c>
      <c r="AI562" s="30"/>
      <c r="AJ562" s="30" t="s">
        <v>103</v>
      </c>
      <c r="AK562" s="30"/>
      <c r="AL562" s="30"/>
      <c r="AM562" s="37"/>
      <c r="AN562" s="37"/>
      <c r="AO562" s="31">
        <v>1</v>
      </c>
      <c r="AP562" s="31"/>
      <c r="AQ562" s="31"/>
      <c r="AR562" s="31"/>
      <c r="AS562" s="130" t="s">
        <v>833</v>
      </c>
      <c r="AT562" s="129" t="s">
        <v>9952</v>
      </c>
      <c r="AU562" s="130"/>
      <c r="AV562" s="38"/>
      <c r="AW562" s="123"/>
      <c r="AX562" s="123"/>
      <c r="AY562" s="30" t="s">
        <v>9953</v>
      </c>
      <c r="AZ562" s="32" t="s">
        <v>9954</v>
      </c>
      <c r="BA562" s="30" t="s">
        <v>9955</v>
      </c>
      <c r="BB562" s="39">
        <v>30107</v>
      </c>
      <c r="BC562" s="39"/>
      <c r="BD562" s="40" t="s">
        <v>9956</v>
      </c>
      <c r="BE562" s="30" t="s">
        <v>9957</v>
      </c>
      <c r="BF562" s="30" t="s">
        <v>471</v>
      </c>
      <c r="BG562" s="30" t="s">
        <v>9958</v>
      </c>
      <c r="BH562" s="30" t="s">
        <v>9959</v>
      </c>
      <c r="BI562" s="41" t="s">
        <v>9960</v>
      </c>
      <c r="BJ562" s="42">
        <v>5000000</v>
      </c>
      <c r="BK562" s="43" t="s">
        <v>9961</v>
      </c>
      <c r="BL562" s="30" t="s">
        <v>9962</v>
      </c>
      <c r="BM562" s="44" t="s">
        <v>9963</v>
      </c>
      <c r="BN562" s="125" t="s">
        <v>9949</v>
      </c>
      <c r="BO562" s="39">
        <v>31504</v>
      </c>
      <c r="BP562" s="39"/>
      <c r="BQ562" s="40" t="s">
        <v>9956</v>
      </c>
      <c r="BR562" s="30" t="s">
        <v>9964</v>
      </c>
      <c r="BS562" s="30" t="s">
        <v>471</v>
      </c>
      <c r="BT562" s="30" t="s">
        <v>9965</v>
      </c>
      <c r="BU562" s="30" t="s">
        <v>9966</v>
      </c>
      <c r="BV562" s="45" t="s">
        <v>9956</v>
      </c>
      <c r="BW562" s="46">
        <v>3000000</v>
      </c>
      <c r="BX562" s="47" t="s">
        <v>9967</v>
      </c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N562" s="25"/>
      <c r="CO562" s="25"/>
      <c r="CP562" s="25"/>
      <c r="CQ562" s="25"/>
      <c r="CR562" s="25"/>
      <c r="CS562" s="26"/>
    </row>
    <row r="563" spans="1:97" s="27" customFormat="1" ht="23.25" customHeight="1">
      <c r="A563" s="4">
        <v>456</v>
      </c>
      <c r="B563" s="6"/>
      <c r="C563" s="6"/>
      <c r="D563" s="6"/>
      <c r="E563" s="6"/>
      <c r="F563" s="6"/>
      <c r="G563" s="6"/>
      <c r="H563" s="5"/>
      <c r="I563" s="6"/>
      <c r="J563" s="7" t="s">
        <v>1579</v>
      </c>
      <c r="K563" s="7" t="s">
        <v>9486</v>
      </c>
      <c r="L563" s="8"/>
      <c r="M563" s="5">
        <v>1614</v>
      </c>
      <c r="N563" s="5" t="s">
        <v>9487</v>
      </c>
      <c r="O563" s="9" t="s">
        <v>9488</v>
      </c>
      <c r="P563" s="10" t="s">
        <v>9489</v>
      </c>
      <c r="Q563" s="389" t="s">
        <v>9490</v>
      </c>
      <c r="R563" s="8" t="s">
        <v>11290</v>
      </c>
      <c r="S563" s="212" t="s">
        <v>13584</v>
      </c>
      <c r="T563" s="8" t="s">
        <v>2734</v>
      </c>
      <c r="U563" s="11" t="s">
        <v>93</v>
      </c>
      <c r="V563" s="12" t="s">
        <v>94</v>
      </c>
      <c r="W563" s="13">
        <v>42047</v>
      </c>
      <c r="X563" s="5" t="str">
        <f t="shared" ca="1" si="23"/>
        <v>11 Th, 7 Bln</v>
      </c>
      <c r="Y563" s="5"/>
      <c r="Z563" s="14"/>
      <c r="AA563" s="5" t="s">
        <v>96</v>
      </c>
      <c r="AB563" s="5"/>
      <c r="AC563" s="7" t="s">
        <v>9491</v>
      </c>
      <c r="AD563" s="131">
        <v>1</v>
      </c>
      <c r="AE563" s="131">
        <v>5</v>
      </c>
      <c r="AF563" s="7" t="s">
        <v>921</v>
      </c>
      <c r="AG563" s="7" t="s">
        <v>687</v>
      </c>
      <c r="AH563" s="7" t="s">
        <v>141</v>
      </c>
      <c r="AI563" s="7"/>
      <c r="AJ563" s="7" t="s">
        <v>142</v>
      </c>
      <c r="AK563" s="7"/>
      <c r="AL563" s="7"/>
      <c r="AM563" s="15"/>
      <c r="AN563" s="15"/>
      <c r="AO563" s="8">
        <v>2</v>
      </c>
      <c r="AP563" s="8"/>
      <c r="AQ563" s="8"/>
      <c r="AR563" s="8"/>
      <c r="AS563" s="132" t="s">
        <v>2206</v>
      </c>
      <c r="AT563" s="131" t="s">
        <v>801</v>
      </c>
      <c r="AU563" s="132"/>
      <c r="AV563" s="16"/>
      <c r="AW563" s="56"/>
      <c r="AX563" s="56"/>
      <c r="AY563" s="7" t="s">
        <v>9492</v>
      </c>
      <c r="AZ563" s="10" t="s">
        <v>9493</v>
      </c>
      <c r="BA563" s="7" t="s">
        <v>94</v>
      </c>
      <c r="BB563" s="17">
        <v>31496</v>
      </c>
      <c r="BC563" s="17"/>
      <c r="BD563" s="18" t="s">
        <v>9494</v>
      </c>
      <c r="BE563" s="7" t="s">
        <v>9495</v>
      </c>
      <c r="BF563" s="7" t="s">
        <v>471</v>
      </c>
      <c r="BG563" s="7" t="s">
        <v>226</v>
      </c>
      <c r="BH563" s="7" t="s">
        <v>9496</v>
      </c>
      <c r="BI563" s="19" t="s">
        <v>9497</v>
      </c>
      <c r="BJ563" s="20">
        <v>3000000</v>
      </c>
      <c r="BK563" s="21" t="s">
        <v>9498</v>
      </c>
      <c r="BL563" s="7" t="s">
        <v>9499</v>
      </c>
      <c r="BM563" s="22" t="s">
        <v>9500</v>
      </c>
      <c r="BN563" s="8" t="s">
        <v>94</v>
      </c>
      <c r="BO563" s="17">
        <v>31553</v>
      </c>
      <c r="BP563" s="17"/>
      <c r="BQ563" s="18" t="s">
        <v>9494</v>
      </c>
      <c r="BR563" s="7" t="s">
        <v>9501</v>
      </c>
      <c r="BS563" s="7" t="s">
        <v>503</v>
      </c>
      <c r="BT563" s="7" t="s">
        <v>9502</v>
      </c>
      <c r="BU563" s="8" t="s">
        <v>9503</v>
      </c>
      <c r="BV563" s="23" t="s">
        <v>9504</v>
      </c>
      <c r="BW563" s="24">
        <v>4000000</v>
      </c>
      <c r="BX563" s="21" t="s">
        <v>9505</v>
      </c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N563" s="25"/>
      <c r="CO563" s="25"/>
      <c r="CP563" s="25"/>
      <c r="CQ563" s="25"/>
      <c r="CR563" s="25"/>
      <c r="CS563" s="26"/>
    </row>
    <row r="564" spans="1:97" s="27" customFormat="1" ht="23.25" customHeight="1">
      <c r="A564" s="4">
        <v>484</v>
      </c>
      <c r="B564" s="6"/>
      <c r="C564" s="6"/>
      <c r="D564" s="6"/>
      <c r="E564" s="6"/>
      <c r="F564" s="6"/>
      <c r="G564" s="6"/>
      <c r="H564" s="5"/>
      <c r="I564" s="6"/>
      <c r="J564" s="7" t="s">
        <v>1669</v>
      </c>
      <c r="K564" s="7" t="s">
        <v>9968</v>
      </c>
      <c r="L564" s="8"/>
      <c r="M564" s="5">
        <v>1616</v>
      </c>
      <c r="N564" s="5" t="s">
        <v>9969</v>
      </c>
      <c r="O564" s="9" t="s">
        <v>9970</v>
      </c>
      <c r="P564" s="10" t="s">
        <v>9971</v>
      </c>
      <c r="Q564" s="389" t="s">
        <v>9972</v>
      </c>
      <c r="R564" s="8" t="s">
        <v>11290</v>
      </c>
      <c r="S564" s="212" t="s">
        <v>13584</v>
      </c>
      <c r="T564" s="8" t="s">
        <v>9511</v>
      </c>
      <c r="U564" s="11" t="s">
        <v>172</v>
      </c>
      <c r="V564" s="12" t="s">
        <v>94</v>
      </c>
      <c r="W564" s="13">
        <v>42107</v>
      </c>
      <c r="X564" s="5" t="str">
        <f t="shared" ca="1" si="23"/>
        <v>11 Th, 5 Bln</v>
      </c>
      <c r="Y564" s="5"/>
      <c r="Z564" s="14"/>
      <c r="AA564" s="5" t="s">
        <v>96</v>
      </c>
      <c r="AB564" s="5"/>
      <c r="AC564" s="7" t="s">
        <v>9973</v>
      </c>
      <c r="AD564" s="131"/>
      <c r="AE564" s="131"/>
      <c r="AF564" s="7" t="s">
        <v>942</v>
      </c>
      <c r="AG564" s="7" t="s">
        <v>178</v>
      </c>
      <c r="AH564" s="7" t="s">
        <v>178</v>
      </c>
      <c r="AI564" s="7"/>
      <c r="AJ564" s="7" t="s">
        <v>103</v>
      </c>
      <c r="AK564" s="7"/>
      <c r="AL564" s="7"/>
      <c r="AM564" s="15" t="s">
        <v>127</v>
      </c>
      <c r="AN564" s="15"/>
      <c r="AO564" s="8">
        <v>1</v>
      </c>
      <c r="AP564" s="8"/>
      <c r="AQ564" s="8"/>
      <c r="AR564" s="8"/>
      <c r="AS564" s="132" t="s">
        <v>2829</v>
      </c>
      <c r="AT564" s="131" t="s">
        <v>9974</v>
      </c>
      <c r="AU564" s="132"/>
      <c r="AV564" s="16"/>
      <c r="AW564" s="56"/>
      <c r="AX564" s="56"/>
      <c r="AY564" s="7" t="s">
        <v>9975</v>
      </c>
      <c r="AZ564" s="10" t="s">
        <v>9976</v>
      </c>
      <c r="BA564" s="7" t="s">
        <v>6469</v>
      </c>
      <c r="BB564" s="17">
        <v>32401</v>
      </c>
      <c r="BC564" s="17"/>
      <c r="BD564" s="18" t="s">
        <v>9977</v>
      </c>
      <c r="BE564" s="7" t="s">
        <v>118</v>
      </c>
      <c r="BF564" s="7" t="s">
        <v>9978</v>
      </c>
      <c r="BG564" s="7" t="s">
        <v>9979</v>
      </c>
      <c r="BH564" s="7" t="s">
        <v>9980</v>
      </c>
      <c r="BI564" s="19" t="s">
        <v>9981</v>
      </c>
      <c r="BJ564" s="20">
        <v>5000000</v>
      </c>
      <c r="BK564" s="21" t="s">
        <v>9982</v>
      </c>
      <c r="BL564" s="7" t="s">
        <v>9983</v>
      </c>
      <c r="BM564" s="22" t="s">
        <v>9984</v>
      </c>
      <c r="BN564" s="8" t="s">
        <v>94</v>
      </c>
      <c r="BO564" s="17">
        <v>32661</v>
      </c>
      <c r="BP564" s="17"/>
      <c r="BQ564" s="18" t="s">
        <v>9977</v>
      </c>
      <c r="BR564" s="7" t="s">
        <v>118</v>
      </c>
      <c r="BS564" s="7" t="s">
        <v>1004</v>
      </c>
      <c r="BT564" s="7" t="s">
        <v>9985</v>
      </c>
      <c r="BU564" s="8" t="s">
        <v>9986</v>
      </c>
      <c r="BV564" s="23" t="s">
        <v>9977</v>
      </c>
      <c r="BW564" s="24" t="s">
        <v>7141</v>
      </c>
      <c r="BX564" s="21" t="s">
        <v>9987</v>
      </c>
      <c r="BY564" s="21"/>
      <c r="BZ564" s="21"/>
      <c r="CA564" s="21"/>
      <c r="CB564" s="21"/>
      <c r="CC564" s="21"/>
      <c r="CD564" s="21"/>
      <c r="CE564" s="21" t="s">
        <v>9988</v>
      </c>
      <c r="CF564" s="21"/>
      <c r="CG564" s="21"/>
      <c r="CH564" s="21"/>
      <c r="CI564" s="21"/>
      <c r="CJ564" s="21"/>
      <c r="CK564" s="21"/>
      <c r="CL564" s="21"/>
      <c r="CN564" s="25"/>
      <c r="CO564" s="25"/>
      <c r="CP564" s="25"/>
      <c r="CQ564" s="25"/>
      <c r="CR564" s="25"/>
      <c r="CS564" s="26"/>
    </row>
    <row r="565" spans="1:97" s="27" customFormat="1" ht="23.25" customHeight="1">
      <c r="A565" s="4">
        <v>538</v>
      </c>
      <c r="B565" s="6"/>
      <c r="C565" s="6"/>
      <c r="D565" s="6"/>
      <c r="E565" s="6"/>
      <c r="F565" s="6"/>
      <c r="G565" s="6"/>
      <c r="H565" s="5"/>
      <c r="I565" s="6"/>
      <c r="J565" s="7" t="s">
        <v>166</v>
      </c>
      <c r="K565" s="7" t="s">
        <v>10137</v>
      </c>
      <c r="L565" s="8"/>
      <c r="M565" s="5">
        <v>1621</v>
      </c>
      <c r="N565" s="5" t="s">
        <v>10811</v>
      </c>
      <c r="O565" s="9" t="s">
        <v>10812</v>
      </c>
      <c r="P565" s="10" t="s">
        <v>10813</v>
      </c>
      <c r="Q565" s="389" t="s">
        <v>10814</v>
      </c>
      <c r="R565" s="8" t="s">
        <v>11290</v>
      </c>
      <c r="S565" s="212" t="s">
        <v>13584</v>
      </c>
      <c r="T565" s="8" t="s">
        <v>7237</v>
      </c>
      <c r="U565" s="11" t="s">
        <v>93</v>
      </c>
      <c r="V565" s="12" t="s">
        <v>653</v>
      </c>
      <c r="W565" s="13">
        <v>42179</v>
      </c>
      <c r="X565" s="5" t="str">
        <f t="shared" ca="1" si="23"/>
        <v>11 Th, 2 Bln</v>
      </c>
      <c r="Y565" s="5"/>
      <c r="Z565" s="14"/>
      <c r="AA565" s="5" t="s">
        <v>96</v>
      </c>
      <c r="AB565" s="5"/>
      <c r="AC565" s="7" t="s">
        <v>10815</v>
      </c>
      <c r="AD565" s="131"/>
      <c r="AE565" s="131"/>
      <c r="AF565" s="7" t="s">
        <v>177</v>
      </c>
      <c r="AG565" s="7" t="s">
        <v>178</v>
      </c>
      <c r="AH565" s="7" t="s">
        <v>178</v>
      </c>
      <c r="AI565" s="7"/>
      <c r="AJ565" s="7" t="s">
        <v>103</v>
      </c>
      <c r="AK565" s="7"/>
      <c r="AL565" s="7"/>
      <c r="AM565" s="15"/>
      <c r="AN565" s="15"/>
      <c r="AO565" s="8">
        <v>2</v>
      </c>
      <c r="AP565" s="8"/>
      <c r="AQ565" s="8"/>
      <c r="AR565" s="8"/>
      <c r="AS565" s="132" t="s">
        <v>4723</v>
      </c>
      <c r="AT565" s="131" t="s">
        <v>10816</v>
      </c>
      <c r="AU565" s="132"/>
      <c r="AV565" s="16"/>
      <c r="AW565" s="56"/>
      <c r="AX565" s="56"/>
      <c r="AY565" s="7" t="s">
        <v>10817</v>
      </c>
      <c r="AZ565" s="10" t="s">
        <v>10818</v>
      </c>
      <c r="BA565" s="7" t="s">
        <v>4043</v>
      </c>
      <c r="BB565" s="17">
        <v>31474</v>
      </c>
      <c r="BC565" s="17"/>
      <c r="BD565" s="18" t="s">
        <v>10819</v>
      </c>
      <c r="BE565" s="7" t="s">
        <v>10820</v>
      </c>
      <c r="BF565" s="7" t="s">
        <v>10821</v>
      </c>
      <c r="BG565" s="7" t="s">
        <v>10822</v>
      </c>
      <c r="BH565" s="7" t="s">
        <v>10823</v>
      </c>
      <c r="BI565" s="19" t="s">
        <v>10824</v>
      </c>
      <c r="BJ565" s="20">
        <v>7000000</v>
      </c>
      <c r="BK565" s="21" t="s">
        <v>10825</v>
      </c>
      <c r="BL565" s="7" t="s">
        <v>10826</v>
      </c>
      <c r="BM565" s="22" t="s">
        <v>10827</v>
      </c>
      <c r="BN565" s="8" t="s">
        <v>653</v>
      </c>
      <c r="BO565" s="17">
        <v>32032</v>
      </c>
      <c r="BP565" s="17"/>
      <c r="BQ565" s="18" t="s">
        <v>10828</v>
      </c>
      <c r="BR565" s="7" t="s">
        <v>10829</v>
      </c>
      <c r="BS565" s="7" t="s">
        <v>2493</v>
      </c>
      <c r="BT565" s="7" t="s">
        <v>10830</v>
      </c>
      <c r="BU565" s="8" t="s">
        <v>10831</v>
      </c>
      <c r="BV565" s="23" t="s">
        <v>10832</v>
      </c>
      <c r="BW565" s="24">
        <v>6000000</v>
      </c>
      <c r="BX565" s="21" t="s">
        <v>10833</v>
      </c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N565" s="25"/>
      <c r="CO565" s="25"/>
      <c r="CP565" s="25"/>
      <c r="CQ565" s="25"/>
      <c r="CR565" s="25"/>
      <c r="CS565" s="26"/>
    </row>
    <row r="566" spans="1:97" s="27" customFormat="1" ht="23.25" customHeight="1">
      <c r="A566" s="4">
        <v>514</v>
      </c>
      <c r="B566" s="6"/>
      <c r="C566" s="6"/>
      <c r="D566" s="6"/>
      <c r="E566" s="6"/>
      <c r="F566" s="6"/>
      <c r="G566" s="6"/>
      <c r="H566" s="5"/>
      <c r="I566" s="6"/>
      <c r="J566" s="7" t="s">
        <v>10433</v>
      </c>
      <c r="K566" s="7" t="s">
        <v>10434</v>
      </c>
      <c r="L566" s="8"/>
      <c r="M566" s="5">
        <v>1628</v>
      </c>
      <c r="N566" s="5" t="s">
        <v>10435</v>
      </c>
      <c r="O566" s="9" t="s">
        <v>10436</v>
      </c>
      <c r="P566" s="10" t="s">
        <v>10437</v>
      </c>
      <c r="Q566" s="389" t="s">
        <v>10438</v>
      </c>
      <c r="R566" s="8" t="s">
        <v>11290</v>
      </c>
      <c r="S566" s="212" t="s">
        <v>13584</v>
      </c>
      <c r="T566" s="8" t="s">
        <v>9587</v>
      </c>
      <c r="U566" s="11" t="s">
        <v>172</v>
      </c>
      <c r="V566" s="12" t="s">
        <v>94</v>
      </c>
      <c r="W566" s="13">
        <v>41985</v>
      </c>
      <c r="X566" s="5" t="str">
        <f t="shared" ca="1" si="23"/>
        <v>11 Th, 9 Bln</v>
      </c>
      <c r="Y566" s="5"/>
      <c r="Z566" s="14"/>
      <c r="AA566" s="5" t="s">
        <v>96</v>
      </c>
      <c r="AB566" s="5"/>
      <c r="AC566" s="7" t="s">
        <v>10439</v>
      </c>
      <c r="AD566" s="131"/>
      <c r="AE566" s="131"/>
      <c r="AF566" s="7" t="s">
        <v>686</v>
      </c>
      <c r="AG566" s="7" t="s">
        <v>687</v>
      </c>
      <c r="AH566" s="7" t="s">
        <v>141</v>
      </c>
      <c r="AI566" s="7"/>
      <c r="AJ566" s="7" t="s">
        <v>142</v>
      </c>
      <c r="AK566" s="7"/>
      <c r="AL566" s="7"/>
      <c r="AM566" s="15" t="s">
        <v>127</v>
      </c>
      <c r="AN566" s="15"/>
      <c r="AO566" s="8">
        <v>1</v>
      </c>
      <c r="AP566" s="8"/>
      <c r="AQ566" s="8"/>
      <c r="AR566" s="8"/>
      <c r="AS566" s="132" t="s">
        <v>10326</v>
      </c>
      <c r="AT566" s="131" t="s">
        <v>1178</v>
      </c>
      <c r="AU566" s="132"/>
      <c r="AV566" s="16"/>
      <c r="AW566" s="56"/>
      <c r="AX566" s="56"/>
      <c r="AY566" s="7" t="s">
        <v>10440</v>
      </c>
      <c r="AZ566" s="10" t="s">
        <v>10441</v>
      </c>
      <c r="BA566" s="7" t="s">
        <v>94</v>
      </c>
      <c r="BB566" s="17">
        <v>28355</v>
      </c>
      <c r="BC566" s="17"/>
      <c r="BD566" s="18" t="s">
        <v>127</v>
      </c>
      <c r="BE566" s="7" t="s">
        <v>9826</v>
      </c>
      <c r="BF566" s="7" t="s">
        <v>154</v>
      </c>
      <c r="BG566" s="7" t="s">
        <v>1515</v>
      </c>
      <c r="BH566" s="7" t="s">
        <v>10442</v>
      </c>
      <c r="BI566" s="19" t="s">
        <v>10443</v>
      </c>
      <c r="BJ566" s="20">
        <v>3500000</v>
      </c>
      <c r="BK566" s="21" t="s">
        <v>10444</v>
      </c>
      <c r="BL566" s="7" t="s">
        <v>10445</v>
      </c>
      <c r="BM566" s="22" t="s">
        <v>10446</v>
      </c>
      <c r="BN566" s="8" t="s">
        <v>1372</v>
      </c>
      <c r="BO566" s="17">
        <v>30943</v>
      </c>
      <c r="BP566" s="17"/>
      <c r="BQ566" s="18" t="s">
        <v>10447</v>
      </c>
      <c r="BR566" s="7" t="s">
        <v>10293</v>
      </c>
      <c r="BS566" s="7" t="s">
        <v>790</v>
      </c>
      <c r="BT566" s="7" t="s">
        <v>127</v>
      </c>
      <c r="BU566" s="8" t="s">
        <v>127</v>
      </c>
      <c r="BV566" s="23" t="s">
        <v>127</v>
      </c>
      <c r="BW566" s="24" t="s">
        <v>127</v>
      </c>
      <c r="BX566" s="21" t="s">
        <v>10448</v>
      </c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N566" s="25"/>
      <c r="CO566" s="25"/>
      <c r="CP566" s="25"/>
      <c r="CQ566" s="25"/>
      <c r="CR566" s="25"/>
      <c r="CS566" s="26"/>
    </row>
    <row r="567" spans="1:97" s="27" customFormat="1" ht="23.25" customHeight="1">
      <c r="A567" s="4">
        <v>490</v>
      </c>
      <c r="B567" s="6"/>
      <c r="C567" s="6"/>
      <c r="D567" s="6"/>
      <c r="E567" s="6"/>
      <c r="F567" s="6"/>
      <c r="G567" s="6"/>
      <c r="H567" s="147"/>
      <c r="I567" s="6"/>
      <c r="J567" s="7" t="s">
        <v>9581</v>
      </c>
      <c r="K567" s="7" t="s">
        <v>9582</v>
      </c>
      <c r="L567" s="8"/>
      <c r="M567" s="5">
        <v>1632</v>
      </c>
      <c r="N567" s="5" t="s">
        <v>10078</v>
      </c>
      <c r="O567" s="9" t="s">
        <v>9584</v>
      </c>
      <c r="P567" s="10" t="s">
        <v>10079</v>
      </c>
      <c r="Q567" s="389" t="s">
        <v>10080</v>
      </c>
      <c r="R567" s="8" t="s">
        <v>11290</v>
      </c>
      <c r="S567" s="212" t="s">
        <v>13584</v>
      </c>
      <c r="T567" s="8" t="s">
        <v>10081</v>
      </c>
      <c r="U567" s="11" t="s">
        <v>172</v>
      </c>
      <c r="V567" s="12" t="s">
        <v>94</v>
      </c>
      <c r="W567" s="13">
        <v>42005</v>
      </c>
      <c r="X567" s="5" t="str">
        <f t="shared" ca="1" si="23"/>
        <v>11 Th, 8 Bln</v>
      </c>
      <c r="Y567" s="5"/>
      <c r="Z567" s="14"/>
      <c r="AA567" s="5" t="s">
        <v>96</v>
      </c>
      <c r="AB567" s="5"/>
      <c r="AC567" s="7" t="s">
        <v>9588</v>
      </c>
      <c r="AD567" s="131"/>
      <c r="AE567" s="131"/>
      <c r="AF567" s="7" t="s">
        <v>139</v>
      </c>
      <c r="AG567" s="7" t="s">
        <v>140</v>
      </c>
      <c r="AH567" s="7" t="s">
        <v>141</v>
      </c>
      <c r="AI567" s="7"/>
      <c r="AJ567" s="7" t="s">
        <v>142</v>
      </c>
      <c r="AK567" s="7"/>
      <c r="AL567" s="7"/>
      <c r="AM567" s="15">
        <v>0</v>
      </c>
      <c r="AN567" s="15"/>
      <c r="AO567" s="8">
        <v>2</v>
      </c>
      <c r="AP567" s="8"/>
      <c r="AQ567" s="8"/>
      <c r="AR567" s="8"/>
      <c r="AS567" s="132" t="s">
        <v>10082</v>
      </c>
      <c r="AT567" s="131" t="s">
        <v>2574</v>
      </c>
      <c r="AU567" s="132"/>
      <c r="AV567" s="16"/>
      <c r="AW567" s="56"/>
      <c r="AX567" s="56"/>
      <c r="AY567" s="7" t="s">
        <v>9590</v>
      </c>
      <c r="AZ567" s="10" t="s">
        <v>9591</v>
      </c>
      <c r="BA567" s="7" t="s">
        <v>94</v>
      </c>
      <c r="BB567" s="17">
        <v>30654</v>
      </c>
      <c r="BC567" s="17"/>
      <c r="BD567" s="18" t="s">
        <v>9592</v>
      </c>
      <c r="BE567" s="7" t="s">
        <v>118</v>
      </c>
      <c r="BF567" s="7" t="s">
        <v>503</v>
      </c>
      <c r="BG567" s="7" t="s">
        <v>9593</v>
      </c>
      <c r="BH567" s="7" t="s">
        <v>9594</v>
      </c>
      <c r="BI567" s="19" t="s">
        <v>9595</v>
      </c>
      <c r="BJ567" s="20">
        <v>3900000</v>
      </c>
      <c r="BK567" s="21" t="s">
        <v>9596</v>
      </c>
      <c r="BL567" s="7" t="s">
        <v>9597</v>
      </c>
      <c r="BM567" s="22" t="s">
        <v>10083</v>
      </c>
      <c r="BN567" s="8" t="s">
        <v>94</v>
      </c>
      <c r="BO567" s="17">
        <v>31770</v>
      </c>
      <c r="BP567" s="17"/>
      <c r="BQ567" s="18" t="s">
        <v>9592</v>
      </c>
      <c r="BR567" s="7" t="s">
        <v>118</v>
      </c>
      <c r="BS567" s="7" t="s">
        <v>503</v>
      </c>
      <c r="BT567" s="7" t="s">
        <v>328</v>
      </c>
      <c r="BU567" s="8" t="s">
        <v>9599</v>
      </c>
      <c r="BV567" s="23" t="s">
        <v>2341</v>
      </c>
      <c r="BW567" s="24">
        <v>3000000</v>
      </c>
      <c r="BX567" s="21" t="s">
        <v>9600</v>
      </c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N567" s="25"/>
      <c r="CO567" s="25"/>
      <c r="CP567" s="25"/>
      <c r="CQ567" s="25"/>
      <c r="CR567" s="25"/>
      <c r="CS567" s="26"/>
    </row>
    <row r="568" spans="1:97" s="27" customFormat="1" ht="23.25" customHeight="1">
      <c r="A568" s="4">
        <v>463</v>
      </c>
      <c r="B568" s="6"/>
      <c r="C568" s="6"/>
      <c r="D568" s="6"/>
      <c r="E568" s="6"/>
      <c r="F568" s="6"/>
      <c r="G568" s="6"/>
      <c r="H568" s="5" t="s">
        <v>9621</v>
      </c>
      <c r="I568" s="6" t="s">
        <v>4774</v>
      </c>
      <c r="J568" s="7" t="s">
        <v>9622</v>
      </c>
      <c r="K568" s="7" t="s">
        <v>9623</v>
      </c>
      <c r="L568" s="8"/>
      <c r="M568" s="5">
        <v>1747</v>
      </c>
      <c r="N568" s="5" t="s">
        <v>9624</v>
      </c>
      <c r="O568" s="9" t="s">
        <v>9625</v>
      </c>
      <c r="P568" s="10" t="s">
        <v>9626</v>
      </c>
      <c r="Q568" s="389" t="s">
        <v>9627</v>
      </c>
      <c r="R568" s="8" t="s">
        <v>11290</v>
      </c>
      <c r="S568" s="212" t="s">
        <v>13584</v>
      </c>
      <c r="T568" s="8" t="s">
        <v>9628</v>
      </c>
      <c r="U568" s="11" t="s">
        <v>93</v>
      </c>
      <c r="V568" s="12" t="s">
        <v>94</v>
      </c>
      <c r="W568" s="13" t="s">
        <v>9629</v>
      </c>
      <c r="X568" s="5" t="e">
        <f t="shared" ca="1" si="23"/>
        <v>#VALUE!</v>
      </c>
      <c r="Y568" s="5"/>
      <c r="Z568" s="14"/>
      <c r="AA568" s="5" t="s">
        <v>96</v>
      </c>
      <c r="AB568" s="5" t="s">
        <v>97</v>
      </c>
      <c r="AC568" s="7" t="s">
        <v>9630</v>
      </c>
      <c r="AD568" s="131">
        <v>7</v>
      </c>
      <c r="AE568" s="131">
        <v>5</v>
      </c>
      <c r="AF568" s="7" t="s">
        <v>9631</v>
      </c>
      <c r="AG568" s="7" t="s">
        <v>410</v>
      </c>
      <c r="AH568" s="7" t="s">
        <v>141</v>
      </c>
      <c r="AI568" s="7"/>
      <c r="AJ568" s="7" t="s">
        <v>142</v>
      </c>
      <c r="AK568" s="7" t="s">
        <v>104</v>
      </c>
      <c r="AL568" s="7" t="s">
        <v>1610</v>
      </c>
      <c r="AM568" s="15"/>
      <c r="AN568" s="15" t="s">
        <v>9632</v>
      </c>
      <c r="AO568" s="8">
        <v>2</v>
      </c>
      <c r="AP568" s="8">
        <v>1</v>
      </c>
      <c r="AQ568" s="8"/>
      <c r="AR568" s="8"/>
      <c r="AS568" s="132">
        <v>30</v>
      </c>
      <c r="AT568" s="131">
        <v>112</v>
      </c>
      <c r="AU568" s="132" t="s">
        <v>149</v>
      </c>
      <c r="AV568" s="16"/>
      <c r="AW568" s="56" t="s">
        <v>113</v>
      </c>
      <c r="AX568" s="56"/>
      <c r="AY568" s="7" t="s">
        <v>9633</v>
      </c>
      <c r="AZ568" s="10" t="s">
        <v>9634</v>
      </c>
      <c r="BA568" s="7" t="s">
        <v>653</v>
      </c>
      <c r="BB568" s="17" t="s">
        <v>9635</v>
      </c>
      <c r="BC568" s="17" t="s">
        <v>96</v>
      </c>
      <c r="BD568" s="18" t="s">
        <v>9636</v>
      </c>
      <c r="BE568" s="7" t="s">
        <v>118</v>
      </c>
      <c r="BF568" s="7" t="s">
        <v>4815</v>
      </c>
      <c r="BG568" s="7" t="s">
        <v>9637</v>
      </c>
      <c r="BH568" s="7" t="s">
        <v>9638</v>
      </c>
      <c r="BI568" s="19"/>
      <c r="BJ568" s="20" t="s">
        <v>9639</v>
      </c>
      <c r="BK568" s="21"/>
      <c r="BL568" s="7" t="s">
        <v>9640</v>
      </c>
      <c r="BM568" s="22" t="s">
        <v>9641</v>
      </c>
      <c r="BN568" s="8" t="s">
        <v>502</v>
      </c>
      <c r="BO568" s="17" t="s">
        <v>9642</v>
      </c>
      <c r="BP568" s="17" t="s">
        <v>96</v>
      </c>
      <c r="BQ568" s="18" t="s">
        <v>9643</v>
      </c>
      <c r="BR568" s="7" t="s">
        <v>2193</v>
      </c>
      <c r="BS568" s="7" t="s">
        <v>126</v>
      </c>
      <c r="BT568" s="7"/>
      <c r="BU568" s="8"/>
      <c r="BV568" s="23"/>
      <c r="BW568" s="24"/>
      <c r="BX568" s="21"/>
      <c r="BY568" s="21" t="s">
        <v>9644</v>
      </c>
      <c r="BZ568" s="21" t="s">
        <v>653</v>
      </c>
      <c r="CA568" s="21" t="s">
        <v>9645</v>
      </c>
      <c r="CB568" s="21" t="s">
        <v>5354</v>
      </c>
      <c r="CC568" s="21" t="s">
        <v>9632</v>
      </c>
      <c r="CD568" s="21" t="s">
        <v>224</v>
      </c>
      <c r="CE568" s="21" t="s">
        <v>9646</v>
      </c>
      <c r="CF568" s="21" t="s">
        <v>96</v>
      </c>
      <c r="CG568" s="21" t="s">
        <v>9647</v>
      </c>
      <c r="CH568" s="21">
        <v>7</v>
      </c>
      <c r="CI568" s="21">
        <v>5</v>
      </c>
      <c r="CJ568" s="21" t="s">
        <v>9631</v>
      </c>
      <c r="CK568" s="21" t="s">
        <v>410</v>
      </c>
      <c r="CL568" s="21" t="s">
        <v>1374</v>
      </c>
      <c r="CN568" s="25"/>
      <c r="CO568" s="25"/>
      <c r="CP568" s="25"/>
      <c r="CQ568" s="25"/>
      <c r="CR568" s="25"/>
      <c r="CS568" s="26"/>
    </row>
    <row r="569" spans="1:97" s="27" customFormat="1" ht="21" customHeight="1">
      <c r="A569" s="4">
        <v>544</v>
      </c>
      <c r="B569" s="6"/>
      <c r="C569" s="6"/>
      <c r="D569" s="6"/>
      <c r="E569" s="6"/>
      <c r="F569" s="6"/>
      <c r="G569" s="6"/>
      <c r="H569" s="5"/>
      <c r="I569" s="6"/>
      <c r="J569" s="7" t="s">
        <v>287</v>
      </c>
      <c r="K569" s="7" t="s">
        <v>10914</v>
      </c>
      <c r="L569" s="8"/>
      <c r="M569" s="5">
        <v>1633</v>
      </c>
      <c r="N569" s="5" t="s">
        <v>10915</v>
      </c>
      <c r="O569" s="9" t="s">
        <v>7274</v>
      </c>
      <c r="P569" s="10" t="s">
        <v>10916</v>
      </c>
      <c r="Q569" s="389" t="s">
        <v>10917</v>
      </c>
      <c r="R569" s="8" t="s">
        <v>11290</v>
      </c>
      <c r="S569" s="212" t="s">
        <v>13584</v>
      </c>
      <c r="T569" s="8" t="s">
        <v>10918</v>
      </c>
      <c r="U569" s="11" t="s">
        <v>172</v>
      </c>
      <c r="V569" s="12" t="s">
        <v>94</v>
      </c>
      <c r="W569" s="13">
        <v>41853</v>
      </c>
      <c r="X569" s="5" t="str">
        <f t="shared" ca="1" si="23"/>
        <v>12 Th, 1 Bln</v>
      </c>
      <c r="Y569" s="5"/>
      <c r="Z569" s="14"/>
      <c r="AA569" s="5" t="s">
        <v>96</v>
      </c>
      <c r="AB569" s="5"/>
      <c r="AC569" s="7" t="s">
        <v>10919</v>
      </c>
      <c r="AD569" s="131">
        <v>4</v>
      </c>
      <c r="AE569" s="131">
        <v>1</v>
      </c>
      <c r="AF569" s="7" t="s">
        <v>921</v>
      </c>
      <c r="AG569" s="7" t="s">
        <v>687</v>
      </c>
      <c r="AH569" s="7" t="s">
        <v>141</v>
      </c>
      <c r="AI569" s="7"/>
      <c r="AJ569" s="7" t="s">
        <v>142</v>
      </c>
      <c r="AK569" s="7"/>
      <c r="AL569" s="7"/>
      <c r="AM569" s="15" t="s">
        <v>10920</v>
      </c>
      <c r="AN569" s="15"/>
      <c r="AO569" s="8">
        <v>2</v>
      </c>
      <c r="AP569" s="8"/>
      <c r="AQ569" s="8"/>
      <c r="AR569" s="8"/>
      <c r="AS569" s="132" t="s">
        <v>2958</v>
      </c>
      <c r="AT569" s="131" t="s">
        <v>7421</v>
      </c>
      <c r="AU569" s="132"/>
      <c r="AV569" s="16"/>
      <c r="AW569" s="56"/>
      <c r="AX569" s="56"/>
      <c r="AY569" s="7" t="s">
        <v>10921</v>
      </c>
      <c r="AZ569" s="10" t="s">
        <v>7287</v>
      </c>
      <c r="BA569" s="7" t="s">
        <v>94</v>
      </c>
      <c r="BB569" s="17">
        <v>29817</v>
      </c>
      <c r="BC569" s="17"/>
      <c r="BD569" s="18">
        <v>2147483647</v>
      </c>
      <c r="BE569" s="7" t="s">
        <v>9845</v>
      </c>
      <c r="BF569" s="7" t="s">
        <v>471</v>
      </c>
      <c r="BG569" s="7" t="s">
        <v>10922</v>
      </c>
      <c r="BH569" s="7" t="s">
        <v>10923</v>
      </c>
      <c r="BI569" s="19" t="s">
        <v>10924</v>
      </c>
      <c r="BJ569" s="20" t="s">
        <v>10925</v>
      </c>
      <c r="BK569" s="21" t="s">
        <v>7292</v>
      </c>
      <c r="BL569" s="7" t="s">
        <v>10926</v>
      </c>
      <c r="BM569" s="22" t="s">
        <v>7294</v>
      </c>
      <c r="BN569" s="8" t="s">
        <v>94</v>
      </c>
      <c r="BO569" s="17">
        <v>29466</v>
      </c>
      <c r="BP569" s="17"/>
      <c r="BQ569" s="18">
        <v>2147483647</v>
      </c>
      <c r="BR569" s="7" t="s">
        <v>4783</v>
      </c>
      <c r="BS569" s="7" t="s">
        <v>276</v>
      </c>
      <c r="BT569" s="7" t="s">
        <v>10927</v>
      </c>
      <c r="BU569" s="8" t="s">
        <v>10928</v>
      </c>
      <c r="BV569" s="23" t="s">
        <v>9517</v>
      </c>
      <c r="BW569" s="24" t="s">
        <v>10925</v>
      </c>
      <c r="BX569" s="21" t="s">
        <v>7298</v>
      </c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N569" s="25"/>
      <c r="CO569" s="25"/>
      <c r="CP569" s="25"/>
      <c r="CQ569" s="25"/>
      <c r="CR569" s="25"/>
      <c r="CS569" s="26"/>
    </row>
    <row r="570" spans="1:97" s="27" customFormat="1" ht="23.25" customHeight="1">
      <c r="A570" s="4">
        <v>491</v>
      </c>
      <c r="B570" s="6"/>
      <c r="C570" s="6"/>
      <c r="D570" s="6"/>
      <c r="E570" s="6"/>
      <c r="F570" s="6"/>
      <c r="G570" s="6"/>
      <c r="H570" s="5" t="s">
        <v>10084</v>
      </c>
      <c r="I570" s="6" t="s">
        <v>4774</v>
      </c>
      <c r="J570" s="7" t="s">
        <v>10085</v>
      </c>
      <c r="K570" s="7" t="s">
        <v>10086</v>
      </c>
      <c r="L570" s="8"/>
      <c r="M570" s="5">
        <v>1948</v>
      </c>
      <c r="N570" s="5" t="s">
        <v>10087</v>
      </c>
      <c r="O570" s="9" t="s">
        <v>7076</v>
      </c>
      <c r="P570" s="10" t="s">
        <v>10088</v>
      </c>
      <c r="Q570" s="389" t="s">
        <v>10089</v>
      </c>
      <c r="R570" s="8" t="s">
        <v>11290</v>
      </c>
      <c r="S570" s="212" t="s">
        <v>13584</v>
      </c>
      <c r="T570" s="8" t="s">
        <v>10090</v>
      </c>
      <c r="U570" s="11" t="s">
        <v>172</v>
      </c>
      <c r="V570" s="12" t="s">
        <v>544</v>
      </c>
      <c r="W570" s="13" t="s">
        <v>10091</v>
      </c>
      <c r="X570" s="5" t="s">
        <v>10092</v>
      </c>
      <c r="Y570" s="5"/>
      <c r="Z570" s="14">
        <v>41834</v>
      </c>
      <c r="AA570" s="5" t="s">
        <v>96</v>
      </c>
      <c r="AB570" s="5" t="s">
        <v>4759</v>
      </c>
      <c r="AC570" s="7" t="s">
        <v>10093</v>
      </c>
      <c r="AD570" s="131">
        <v>5</v>
      </c>
      <c r="AE570" s="131">
        <v>10</v>
      </c>
      <c r="AF570" s="7" t="s">
        <v>10094</v>
      </c>
      <c r="AG570" s="7" t="s">
        <v>1484</v>
      </c>
      <c r="AH570" s="7" t="s">
        <v>141</v>
      </c>
      <c r="AI570" s="7"/>
      <c r="AJ570" s="7" t="s">
        <v>4508</v>
      </c>
      <c r="AK570" s="7"/>
      <c r="AL570" s="7" t="s">
        <v>10095</v>
      </c>
      <c r="AM570" s="15"/>
      <c r="AN570" s="15"/>
      <c r="AO570" s="8">
        <v>1</v>
      </c>
      <c r="AP570" s="8"/>
      <c r="AQ570" s="8"/>
      <c r="AR570" s="8"/>
      <c r="AS570" s="132">
        <v>31</v>
      </c>
      <c r="AT570" s="131">
        <v>129</v>
      </c>
      <c r="AU570" s="132"/>
      <c r="AV570" s="16"/>
      <c r="AW570" s="56"/>
      <c r="AX570" s="56"/>
      <c r="AY570" s="7" t="s">
        <v>10096</v>
      </c>
      <c r="AZ570" s="10" t="s">
        <v>7086</v>
      </c>
      <c r="BA570" s="7" t="s">
        <v>10097</v>
      </c>
      <c r="BB570" s="17" t="s">
        <v>10098</v>
      </c>
      <c r="BC570" s="17"/>
      <c r="BD570" s="18" t="s">
        <v>7082</v>
      </c>
      <c r="BE570" s="7" t="s">
        <v>10099</v>
      </c>
      <c r="BF570" s="7" t="s">
        <v>10100</v>
      </c>
      <c r="BG570" s="7" t="s">
        <v>10101</v>
      </c>
      <c r="BH570" s="7" t="s">
        <v>10097</v>
      </c>
      <c r="BI570" s="19" t="s">
        <v>10102</v>
      </c>
      <c r="BJ570" s="20" t="s">
        <v>9070</v>
      </c>
      <c r="BK570" s="21" t="s">
        <v>10103</v>
      </c>
      <c r="BL570" s="7" t="s">
        <v>10104</v>
      </c>
      <c r="BM570" s="22" t="s">
        <v>7091</v>
      </c>
      <c r="BN570" s="8" t="s">
        <v>10097</v>
      </c>
      <c r="BO570" s="17">
        <v>31883</v>
      </c>
      <c r="BP570" s="17" t="s">
        <v>737</v>
      </c>
      <c r="BQ570" s="18" t="s">
        <v>7092</v>
      </c>
      <c r="BR570" s="7" t="s">
        <v>118</v>
      </c>
      <c r="BS570" s="7" t="s">
        <v>10105</v>
      </c>
      <c r="BT570" s="7" t="s">
        <v>2640</v>
      </c>
      <c r="BU570" s="8" t="s">
        <v>10106</v>
      </c>
      <c r="BV570" s="23"/>
      <c r="BW570" s="24" t="s">
        <v>6769</v>
      </c>
      <c r="BX570" s="21" t="s">
        <v>10107</v>
      </c>
      <c r="BY570" s="21" t="s">
        <v>10108</v>
      </c>
      <c r="BZ570" s="21" t="s">
        <v>10097</v>
      </c>
      <c r="CA570" s="21"/>
      <c r="CB570" s="21" t="s">
        <v>10109</v>
      </c>
      <c r="CC570" s="21" t="s">
        <v>10110</v>
      </c>
      <c r="CD570" s="21" t="s">
        <v>2193</v>
      </c>
      <c r="CE570" s="21"/>
      <c r="CF570" s="21" t="s">
        <v>737</v>
      </c>
      <c r="CG570" s="21"/>
      <c r="CH570" s="21"/>
      <c r="CI570" s="21"/>
      <c r="CJ570" s="21"/>
      <c r="CK570" s="21"/>
      <c r="CL570" s="21"/>
      <c r="CN570" s="25"/>
      <c r="CO570" s="25"/>
      <c r="CP570" s="25"/>
      <c r="CQ570" s="25"/>
      <c r="CR570" s="25"/>
      <c r="CS570" s="26"/>
    </row>
    <row r="571" spans="1:97" s="27" customFormat="1" ht="23.25" customHeight="1">
      <c r="A571" s="4">
        <v>464</v>
      </c>
      <c r="B571" s="6"/>
      <c r="C571" s="6"/>
      <c r="D571" s="6"/>
      <c r="E571" s="6"/>
      <c r="F571" s="6"/>
      <c r="G571" s="6"/>
      <c r="H571" s="5"/>
      <c r="I571" s="6"/>
      <c r="J571" s="7" t="s">
        <v>7124</v>
      </c>
      <c r="K571" s="7" t="s">
        <v>9648</v>
      </c>
      <c r="L571" s="8"/>
      <c r="M571" s="5">
        <v>1646</v>
      </c>
      <c r="N571" s="5" t="s">
        <v>9649</v>
      </c>
      <c r="O571" s="9" t="s">
        <v>9650</v>
      </c>
      <c r="P571" s="10" t="s">
        <v>9651</v>
      </c>
      <c r="Q571" s="389" t="s">
        <v>9652</v>
      </c>
      <c r="R571" s="8" t="s">
        <v>11290</v>
      </c>
      <c r="S571" s="212" t="s">
        <v>13584</v>
      </c>
      <c r="T571" s="8" t="s">
        <v>9653</v>
      </c>
      <c r="U571" s="11" t="s">
        <v>172</v>
      </c>
      <c r="V571" s="12" t="s">
        <v>94</v>
      </c>
      <c r="W571" s="13">
        <v>41780</v>
      </c>
      <c r="X571" s="5" t="str">
        <f ca="1">""&amp;DATEDIF(W571,TODAY(),"y")&amp;" Th, "&amp;DATEDIF(W571,TODAY(),"ym")&amp;" Bln"</f>
        <v>12 Th, 3 Bln</v>
      </c>
      <c r="Y571" s="5"/>
      <c r="Z571" s="14"/>
      <c r="AA571" s="5" t="s">
        <v>96</v>
      </c>
      <c r="AB571" s="5"/>
      <c r="AC571" s="7" t="s">
        <v>9654</v>
      </c>
      <c r="AD571" s="131"/>
      <c r="AE571" s="131"/>
      <c r="AF571" s="7" t="s">
        <v>295</v>
      </c>
      <c r="AG571" s="7" t="s">
        <v>178</v>
      </c>
      <c r="AH571" s="7" t="s">
        <v>178</v>
      </c>
      <c r="AI571" s="7"/>
      <c r="AJ571" s="7" t="s">
        <v>103</v>
      </c>
      <c r="AK571" s="7"/>
      <c r="AL571" s="7"/>
      <c r="AM571" s="15" t="s">
        <v>127</v>
      </c>
      <c r="AN571" s="15"/>
      <c r="AO571" s="8">
        <v>1</v>
      </c>
      <c r="AP571" s="8"/>
      <c r="AQ571" s="8"/>
      <c r="AR571" s="8"/>
      <c r="AS571" s="132" t="s">
        <v>3629</v>
      </c>
      <c r="AT571" s="131" t="s">
        <v>9655</v>
      </c>
      <c r="AU571" s="132"/>
      <c r="AV571" s="16"/>
      <c r="AW571" s="56"/>
      <c r="AX571" s="56"/>
      <c r="AY571" s="7" t="s">
        <v>9656</v>
      </c>
      <c r="AZ571" s="10" t="s">
        <v>9657</v>
      </c>
      <c r="BA571" s="7" t="s">
        <v>653</v>
      </c>
      <c r="BB571" s="17">
        <v>30780</v>
      </c>
      <c r="BC571" s="17"/>
      <c r="BD571" s="18" t="s">
        <v>9658</v>
      </c>
      <c r="BE571" s="7" t="s">
        <v>9659</v>
      </c>
      <c r="BF571" s="7" t="s">
        <v>247</v>
      </c>
      <c r="BG571" s="7" t="s">
        <v>127</v>
      </c>
      <c r="BH571" s="7" t="s">
        <v>9660</v>
      </c>
      <c r="BI571" s="19" t="s">
        <v>127</v>
      </c>
      <c r="BJ571" s="20">
        <v>20000000</v>
      </c>
      <c r="BK571" s="21" t="s">
        <v>9661</v>
      </c>
      <c r="BL571" s="7" t="s">
        <v>9662</v>
      </c>
      <c r="BM571" s="22" t="s">
        <v>9663</v>
      </c>
      <c r="BN571" s="8" t="s">
        <v>94</v>
      </c>
      <c r="BO571" s="17">
        <v>32385</v>
      </c>
      <c r="BP571" s="17"/>
      <c r="BQ571" s="18" t="s">
        <v>9658</v>
      </c>
      <c r="BR571" s="7" t="s">
        <v>9664</v>
      </c>
      <c r="BS571" s="7" t="s">
        <v>247</v>
      </c>
      <c r="BT571" s="7" t="s">
        <v>127</v>
      </c>
      <c r="BU571" s="8" t="s">
        <v>9660</v>
      </c>
      <c r="BV571" s="23" t="s">
        <v>127</v>
      </c>
      <c r="BW571" s="24" t="s">
        <v>9665</v>
      </c>
      <c r="BX571" s="21" t="s">
        <v>9666</v>
      </c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N571" s="25"/>
      <c r="CO571" s="25"/>
      <c r="CP571" s="25"/>
      <c r="CQ571" s="25"/>
      <c r="CR571" s="25"/>
      <c r="CS571" s="26"/>
    </row>
    <row r="572" spans="1:97" s="27" customFormat="1" ht="23.25" customHeight="1">
      <c r="A572" s="4">
        <v>465</v>
      </c>
      <c r="B572" s="6"/>
      <c r="C572" s="6"/>
      <c r="D572" s="6"/>
      <c r="E572" s="6"/>
      <c r="F572" s="6"/>
      <c r="G572" s="6"/>
      <c r="H572" s="5" t="s">
        <v>9667</v>
      </c>
      <c r="I572" s="6" t="s">
        <v>4774</v>
      </c>
      <c r="J572" s="7" t="s">
        <v>9668</v>
      </c>
      <c r="K572" s="7" t="s">
        <v>9669</v>
      </c>
      <c r="L572" s="8"/>
      <c r="M572" s="5">
        <v>1827</v>
      </c>
      <c r="N572" s="5" t="s">
        <v>9670</v>
      </c>
      <c r="O572" s="9" t="s">
        <v>9671</v>
      </c>
      <c r="P572" s="10" t="s">
        <v>9672</v>
      </c>
      <c r="Q572" s="389" t="s">
        <v>9673</v>
      </c>
      <c r="R572" s="8" t="s">
        <v>11290</v>
      </c>
      <c r="S572" s="212" t="s">
        <v>13584</v>
      </c>
      <c r="T572" s="8" t="s">
        <v>5795</v>
      </c>
      <c r="U572" s="11" t="s">
        <v>172</v>
      </c>
      <c r="V572" s="12" t="s">
        <v>94</v>
      </c>
      <c r="W572" s="13" t="s">
        <v>9674</v>
      </c>
      <c r="X572" s="5" t="e">
        <f ca="1">""&amp;DATEDIF(W572,TODAY(),"y")&amp;" Th, "&amp;DATEDIF(W572,TODAY(),"ym")&amp;" Bln"</f>
        <v>#VALUE!</v>
      </c>
      <c r="Y572" s="5"/>
      <c r="Z572" s="14"/>
      <c r="AA572" s="5" t="s">
        <v>96</v>
      </c>
      <c r="AB572" s="5" t="s">
        <v>97</v>
      </c>
      <c r="AC572" s="7" t="s">
        <v>9675</v>
      </c>
      <c r="AD572" s="131">
        <v>3</v>
      </c>
      <c r="AE572" s="131">
        <v>12</v>
      </c>
      <c r="AF572" s="7" t="s">
        <v>615</v>
      </c>
      <c r="AG572" s="7" t="s">
        <v>178</v>
      </c>
      <c r="AH572" s="7" t="s">
        <v>178</v>
      </c>
      <c r="AI572" s="7">
        <v>65142</v>
      </c>
      <c r="AJ572" s="7" t="s">
        <v>103</v>
      </c>
      <c r="AK572" s="7"/>
      <c r="AL572" s="7"/>
      <c r="AM572" s="15"/>
      <c r="AN572" s="15"/>
      <c r="AO572" s="8">
        <v>1</v>
      </c>
      <c r="AP572" s="8">
        <v>1</v>
      </c>
      <c r="AQ572" s="8"/>
      <c r="AR572" s="8"/>
      <c r="AS572" s="132"/>
      <c r="AT572" s="131"/>
      <c r="AU572" s="132" t="s">
        <v>111</v>
      </c>
      <c r="AV572" s="16"/>
      <c r="AW572" s="56"/>
      <c r="AX572" s="56" t="s">
        <v>114</v>
      </c>
      <c r="AY572" s="7" t="s">
        <v>9676</v>
      </c>
      <c r="AZ572" s="10" t="s">
        <v>9677</v>
      </c>
      <c r="BA572" s="7" t="s">
        <v>94</v>
      </c>
      <c r="BB572" s="17">
        <v>31818</v>
      </c>
      <c r="BC572" s="17" t="s">
        <v>96</v>
      </c>
      <c r="BD572" s="18" t="s">
        <v>9678</v>
      </c>
      <c r="BE572" s="7" t="s">
        <v>118</v>
      </c>
      <c r="BF572" s="7" t="s">
        <v>276</v>
      </c>
      <c r="BG572" s="7"/>
      <c r="BH572" s="7"/>
      <c r="BI572" s="19"/>
      <c r="BJ572" s="20"/>
      <c r="BK572" s="21" t="s">
        <v>9679</v>
      </c>
      <c r="BL572" s="7" t="s">
        <v>9680</v>
      </c>
      <c r="BM572" s="22" t="s">
        <v>9681</v>
      </c>
      <c r="BN572" s="8" t="s">
        <v>94</v>
      </c>
      <c r="BO572" s="17">
        <v>33076</v>
      </c>
      <c r="BP572" s="17" t="s">
        <v>96</v>
      </c>
      <c r="BQ572" s="18" t="s">
        <v>9682</v>
      </c>
      <c r="BR572" s="7" t="s">
        <v>8638</v>
      </c>
      <c r="BS572" s="7"/>
      <c r="BT572" s="7"/>
      <c r="BU572" s="8"/>
      <c r="BV572" s="23"/>
      <c r="BW572" s="24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N572" s="25"/>
      <c r="CO572" s="25"/>
      <c r="CP572" s="25"/>
      <c r="CQ572" s="25"/>
      <c r="CR572" s="25"/>
      <c r="CS572" s="26"/>
    </row>
    <row r="573" spans="1:97" s="27" customFormat="1" ht="23.25" customHeight="1">
      <c r="A573" s="4">
        <v>524</v>
      </c>
      <c r="B573" s="6"/>
      <c r="C573" s="6"/>
      <c r="D573" s="6"/>
      <c r="E573" s="6"/>
      <c r="F573" s="6"/>
      <c r="G573" s="6"/>
      <c r="H573" s="5"/>
      <c r="I573" s="6"/>
      <c r="J573" s="7" t="s">
        <v>10569</v>
      </c>
      <c r="K573" s="7" t="s">
        <v>10570</v>
      </c>
      <c r="L573" s="8"/>
      <c r="M573" s="5">
        <v>1653</v>
      </c>
      <c r="N573" s="5" t="s">
        <v>10571</v>
      </c>
      <c r="O573" s="9" t="s">
        <v>10572</v>
      </c>
      <c r="P573" s="10" t="s">
        <v>10573</v>
      </c>
      <c r="Q573" s="389" t="s">
        <v>10574</v>
      </c>
      <c r="R573" s="8" t="s">
        <v>11290</v>
      </c>
      <c r="S573" s="212" t="s">
        <v>13584</v>
      </c>
      <c r="T573" s="8" t="s">
        <v>3818</v>
      </c>
      <c r="U573" s="11" t="s">
        <v>93</v>
      </c>
      <c r="V573" s="12" t="s">
        <v>94</v>
      </c>
      <c r="W573" s="13">
        <v>41967</v>
      </c>
      <c r="X573" s="5" t="str">
        <f ca="1">""&amp;DATEDIF(W573,TODAY(),"y")&amp;" Th, "&amp;DATEDIF(W573,TODAY(),"ym")&amp;" Bln"</f>
        <v>11 Th, 9 Bln</v>
      </c>
      <c r="Y573" s="5"/>
      <c r="Z573" s="14"/>
      <c r="AA573" s="5" t="s">
        <v>96</v>
      </c>
      <c r="AB573" s="5"/>
      <c r="AC573" s="7" t="s">
        <v>10575</v>
      </c>
      <c r="AD573" s="131">
        <v>36</v>
      </c>
      <c r="AE573" s="131">
        <v>8</v>
      </c>
      <c r="AF573" s="7" t="s">
        <v>319</v>
      </c>
      <c r="AG573" s="7" t="s">
        <v>140</v>
      </c>
      <c r="AH573" s="7" t="s">
        <v>141</v>
      </c>
      <c r="AI573" s="7"/>
      <c r="AJ573" s="7" t="s">
        <v>142</v>
      </c>
      <c r="AK573" s="7"/>
      <c r="AL573" s="7"/>
      <c r="AM573" s="15" t="s">
        <v>10576</v>
      </c>
      <c r="AN573" s="15"/>
      <c r="AO573" s="8">
        <v>2</v>
      </c>
      <c r="AP573" s="8"/>
      <c r="AQ573" s="8"/>
      <c r="AR573" s="8"/>
      <c r="AS573" s="132" t="s">
        <v>10577</v>
      </c>
      <c r="AT573" s="131" t="s">
        <v>9514</v>
      </c>
      <c r="AU573" s="132"/>
      <c r="AV573" s="16"/>
      <c r="AW573" s="56"/>
      <c r="AX573" s="56"/>
      <c r="AY573" s="7" t="s">
        <v>10578</v>
      </c>
      <c r="AZ573" s="10" t="s">
        <v>10579</v>
      </c>
      <c r="BA573" s="7" t="s">
        <v>1208</v>
      </c>
      <c r="BB573" s="17">
        <v>29729</v>
      </c>
      <c r="BC573" s="17"/>
      <c r="BD573" s="18" t="s">
        <v>10576</v>
      </c>
      <c r="BE573" s="7" t="s">
        <v>4783</v>
      </c>
      <c r="BF573" s="7" t="s">
        <v>247</v>
      </c>
      <c r="BG573" s="7" t="s">
        <v>6077</v>
      </c>
      <c r="BH573" s="7" t="s">
        <v>10580</v>
      </c>
      <c r="BI573" s="19" t="s">
        <v>127</v>
      </c>
      <c r="BJ573" s="20">
        <v>3000000</v>
      </c>
      <c r="BK573" s="21" t="s">
        <v>10581</v>
      </c>
      <c r="BL573" s="7" t="s">
        <v>10582</v>
      </c>
      <c r="BM573" s="22" t="s">
        <v>10583</v>
      </c>
      <c r="BN573" s="8" t="s">
        <v>1208</v>
      </c>
      <c r="BO573" s="17">
        <v>30443</v>
      </c>
      <c r="BP573" s="17"/>
      <c r="BQ573" s="18" t="s">
        <v>10576</v>
      </c>
      <c r="BR573" s="7" t="s">
        <v>4783</v>
      </c>
      <c r="BS573" s="7" t="s">
        <v>471</v>
      </c>
      <c r="BT573" s="7" t="s">
        <v>10584</v>
      </c>
      <c r="BU573" s="8" t="s">
        <v>4763</v>
      </c>
      <c r="BV573" s="23" t="s">
        <v>10585</v>
      </c>
      <c r="BW573" s="24">
        <v>3500000</v>
      </c>
      <c r="BX573" s="21" t="s">
        <v>10586</v>
      </c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N573" s="25"/>
      <c r="CO573" s="25"/>
      <c r="CP573" s="25"/>
      <c r="CQ573" s="25"/>
      <c r="CR573" s="25"/>
      <c r="CS573" s="26"/>
    </row>
    <row r="574" spans="1:97" s="27" customFormat="1" ht="21" customHeight="1">
      <c r="A574" s="4">
        <v>550</v>
      </c>
      <c r="B574" s="6"/>
      <c r="C574" s="6"/>
      <c r="D574" s="6"/>
      <c r="E574" s="6"/>
      <c r="F574" s="6"/>
      <c r="G574" s="6"/>
      <c r="H574" s="5"/>
      <c r="I574" s="6"/>
      <c r="J574" s="7" t="s">
        <v>166</v>
      </c>
      <c r="K574" s="7" t="s">
        <v>11001</v>
      </c>
      <c r="L574" s="8"/>
      <c r="M574" s="5">
        <v>1655</v>
      </c>
      <c r="N574" s="5" t="s">
        <v>11002</v>
      </c>
      <c r="O574" s="9" t="s">
        <v>5482</v>
      </c>
      <c r="P574" s="10" t="s">
        <v>11003</v>
      </c>
      <c r="Q574" s="389" t="s">
        <v>11004</v>
      </c>
      <c r="R574" s="8" t="s">
        <v>11290</v>
      </c>
      <c r="S574" s="212" t="s">
        <v>13584</v>
      </c>
      <c r="T574" s="8" t="s">
        <v>4456</v>
      </c>
      <c r="U574" s="11" t="s">
        <v>93</v>
      </c>
      <c r="V574" s="12" t="s">
        <v>94</v>
      </c>
      <c r="W574" s="13">
        <v>41868</v>
      </c>
      <c r="X574" s="5" t="str">
        <f ca="1">""&amp;DATEDIF(W574,TODAY(),"y")&amp;" Th, "&amp;DATEDIF(W574,TODAY(),"ym")&amp;" Bln"</f>
        <v>12 Th, 0 Bln</v>
      </c>
      <c r="Y574" s="5"/>
      <c r="Z574" s="14"/>
      <c r="AA574" s="5" t="s">
        <v>96</v>
      </c>
      <c r="AB574" s="5"/>
      <c r="AC574" s="7" t="s">
        <v>11005</v>
      </c>
      <c r="AD574" s="131">
        <v>7</v>
      </c>
      <c r="AE574" s="131">
        <v>10</v>
      </c>
      <c r="AF574" s="7" t="s">
        <v>5487</v>
      </c>
      <c r="AG574" s="7" t="s">
        <v>3503</v>
      </c>
      <c r="AH574" s="7" t="s">
        <v>141</v>
      </c>
      <c r="AI574" s="7"/>
      <c r="AJ574" s="7" t="s">
        <v>142</v>
      </c>
      <c r="AK574" s="7"/>
      <c r="AL574" s="7"/>
      <c r="AM574" s="15"/>
      <c r="AN574" s="15"/>
      <c r="AO574" s="8">
        <v>1</v>
      </c>
      <c r="AP574" s="8"/>
      <c r="AQ574" s="8"/>
      <c r="AR574" s="8"/>
      <c r="AS574" s="132" t="s">
        <v>2958</v>
      </c>
      <c r="AT574" s="131" t="s">
        <v>11006</v>
      </c>
      <c r="AU574" s="132"/>
      <c r="AV574" s="16"/>
      <c r="AW574" s="56"/>
      <c r="AX574" s="56"/>
      <c r="AY574" s="7" t="s">
        <v>5489</v>
      </c>
      <c r="AZ574" s="10" t="s">
        <v>5490</v>
      </c>
      <c r="BA574" s="7" t="s">
        <v>94</v>
      </c>
      <c r="BB574" s="17">
        <v>29852</v>
      </c>
      <c r="BC574" s="17"/>
      <c r="BD574" s="18" t="s">
        <v>5497</v>
      </c>
      <c r="BE574" s="7" t="s">
        <v>153</v>
      </c>
      <c r="BF574" s="7" t="s">
        <v>247</v>
      </c>
      <c r="BG574" s="7" t="s">
        <v>4089</v>
      </c>
      <c r="BH574" s="7" t="s">
        <v>140</v>
      </c>
      <c r="BI574" s="19" t="s">
        <v>5493</v>
      </c>
      <c r="BJ574" s="20">
        <v>5000000</v>
      </c>
      <c r="BK574" s="21" t="s">
        <v>5494</v>
      </c>
      <c r="BL574" s="7" t="s">
        <v>5495</v>
      </c>
      <c r="BM574" s="22" t="s">
        <v>5496</v>
      </c>
      <c r="BN574" s="8" t="s">
        <v>603</v>
      </c>
      <c r="BO574" s="17">
        <v>32220</v>
      </c>
      <c r="BP574" s="17"/>
      <c r="BQ574" s="18" t="s">
        <v>5497</v>
      </c>
      <c r="BR574" s="7" t="s">
        <v>118</v>
      </c>
      <c r="BS574" s="7" t="s">
        <v>925</v>
      </c>
      <c r="BT574" s="7" t="s">
        <v>11007</v>
      </c>
      <c r="BU574" s="8" t="s">
        <v>11008</v>
      </c>
      <c r="BV574" s="23" t="s">
        <v>11009</v>
      </c>
      <c r="BW574" s="24">
        <v>5000000</v>
      </c>
      <c r="BX574" s="21" t="s">
        <v>11010</v>
      </c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N574" s="25"/>
      <c r="CO574" s="25"/>
      <c r="CP574" s="25"/>
      <c r="CQ574" s="25"/>
      <c r="CR574" s="25"/>
      <c r="CS574" s="26"/>
    </row>
    <row r="575" spans="1:97" s="87" customFormat="1" ht="23.25" customHeight="1">
      <c r="A575" s="175">
        <v>469</v>
      </c>
      <c r="B575" s="61"/>
      <c r="C575" s="61"/>
      <c r="D575" s="61"/>
      <c r="E575" s="61"/>
      <c r="F575" s="61"/>
      <c r="G575" s="61"/>
      <c r="H575" s="62"/>
      <c r="I575" s="61"/>
      <c r="J575" s="63" t="s">
        <v>9727</v>
      </c>
      <c r="K575" s="63" t="s">
        <v>9728</v>
      </c>
      <c r="L575" s="64"/>
      <c r="M575" s="62">
        <v>1659</v>
      </c>
      <c r="N575" s="62" t="s">
        <v>9729</v>
      </c>
      <c r="O575" s="65" t="s">
        <v>9730</v>
      </c>
      <c r="P575" s="66" t="s">
        <v>9731</v>
      </c>
      <c r="Q575" s="391" t="s">
        <v>9732</v>
      </c>
      <c r="R575" s="64" t="s">
        <v>11290</v>
      </c>
      <c r="S575" s="212" t="s">
        <v>13584</v>
      </c>
      <c r="T575" s="64" t="s">
        <v>9733</v>
      </c>
      <c r="U575" s="67" t="s">
        <v>172</v>
      </c>
      <c r="V575" s="68" t="s">
        <v>2554</v>
      </c>
      <c r="W575" s="69">
        <v>42005</v>
      </c>
      <c r="X575" s="62" t="str">
        <f ca="1">""&amp;DATEDIF(W575,TODAY(),"y")&amp;" Th, "&amp;DATEDIF(W575,TODAY(),"ym")&amp;" Bln"</f>
        <v>11 Th, 8 Bln</v>
      </c>
      <c r="Y575" s="62"/>
      <c r="Z575" s="14"/>
      <c r="AA575" s="62" t="s">
        <v>96</v>
      </c>
      <c r="AB575" s="62"/>
      <c r="AC575" s="63" t="s">
        <v>9734</v>
      </c>
      <c r="AD575" s="133"/>
      <c r="AE575" s="133"/>
      <c r="AF575" s="63" t="s">
        <v>615</v>
      </c>
      <c r="AG575" s="63" t="s">
        <v>178</v>
      </c>
      <c r="AH575" s="63" t="s">
        <v>178</v>
      </c>
      <c r="AI575" s="63"/>
      <c r="AJ575" s="63" t="s">
        <v>103</v>
      </c>
      <c r="AK575" s="63"/>
      <c r="AL575" s="63"/>
      <c r="AM575" s="71"/>
      <c r="AN575" s="71"/>
      <c r="AO575" s="64">
        <v>3</v>
      </c>
      <c r="AP575" s="64"/>
      <c r="AQ575" s="64"/>
      <c r="AR575" s="64"/>
      <c r="AS575" s="134" t="s">
        <v>9735</v>
      </c>
      <c r="AT575" s="133" t="s">
        <v>2780</v>
      </c>
      <c r="AU575" s="134"/>
      <c r="AV575" s="73"/>
      <c r="AW575" s="135"/>
      <c r="AX575" s="135"/>
      <c r="AY575" s="63" t="s">
        <v>9736</v>
      </c>
      <c r="AZ575" s="66" t="s">
        <v>9737</v>
      </c>
      <c r="BA575" s="63" t="s">
        <v>2554</v>
      </c>
      <c r="BB575" s="75">
        <v>29130</v>
      </c>
      <c r="BC575" s="75"/>
      <c r="BD575" s="76" t="s">
        <v>3588</v>
      </c>
      <c r="BE575" s="63" t="s">
        <v>153</v>
      </c>
      <c r="BF575" s="63" t="s">
        <v>154</v>
      </c>
      <c r="BG575" s="63" t="s">
        <v>9738</v>
      </c>
      <c r="BH575" s="63" t="s">
        <v>9739</v>
      </c>
      <c r="BI575" s="78" t="s">
        <v>3588</v>
      </c>
      <c r="BJ575" s="96">
        <v>600000</v>
      </c>
      <c r="BK575" s="83" t="s">
        <v>9740</v>
      </c>
      <c r="BL575" s="63" t="s">
        <v>9741</v>
      </c>
      <c r="BM575" s="97" t="s">
        <v>9742</v>
      </c>
      <c r="BN575" s="64" t="s">
        <v>2554</v>
      </c>
      <c r="BO575" s="75">
        <v>30228</v>
      </c>
      <c r="BP575" s="75"/>
      <c r="BQ575" s="76" t="s">
        <v>9743</v>
      </c>
      <c r="BR575" s="63" t="s">
        <v>118</v>
      </c>
      <c r="BS575" s="63" t="s">
        <v>247</v>
      </c>
      <c r="BT575" s="63" t="s">
        <v>9744</v>
      </c>
      <c r="BU575" s="64" t="s">
        <v>9745</v>
      </c>
      <c r="BV575" s="98" t="s">
        <v>9746</v>
      </c>
      <c r="BW575" s="79">
        <v>1000000</v>
      </c>
      <c r="BX575" s="83" t="s">
        <v>9747</v>
      </c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N575" s="85"/>
      <c r="CO575" s="85"/>
      <c r="CP575" s="85"/>
      <c r="CQ575" s="85"/>
      <c r="CR575" s="85"/>
      <c r="CS575" s="86"/>
    </row>
    <row r="576" spans="1:97" s="27" customFormat="1" ht="23.25" customHeight="1">
      <c r="A576" s="4">
        <v>555</v>
      </c>
      <c r="B576" s="6"/>
      <c r="C576" s="6"/>
      <c r="D576" s="6"/>
      <c r="E576" s="6"/>
      <c r="F576" s="6"/>
      <c r="G576" s="6"/>
      <c r="H576" s="5" t="s">
        <v>11080</v>
      </c>
      <c r="I576" s="6" t="s">
        <v>4774</v>
      </c>
      <c r="J576" s="7" t="s">
        <v>11081</v>
      </c>
      <c r="K576" s="7" t="s">
        <v>11082</v>
      </c>
      <c r="L576" s="8"/>
      <c r="M576" s="5">
        <v>1946</v>
      </c>
      <c r="N576" s="5" t="s">
        <v>11083</v>
      </c>
      <c r="O576" s="9" t="s">
        <v>11084</v>
      </c>
      <c r="P576" s="10" t="s">
        <v>11085</v>
      </c>
      <c r="Q576" s="389" t="s">
        <v>11086</v>
      </c>
      <c r="R576" s="8" t="s">
        <v>11290</v>
      </c>
      <c r="S576" s="212" t="s">
        <v>13584</v>
      </c>
      <c r="T576" s="8" t="s">
        <v>11087</v>
      </c>
      <c r="U576" s="11" t="s">
        <v>172</v>
      </c>
      <c r="V576" s="12" t="s">
        <v>135</v>
      </c>
      <c r="W576" s="13" t="s">
        <v>11088</v>
      </c>
      <c r="X576" s="5" t="s">
        <v>11089</v>
      </c>
      <c r="Y576" s="5"/>
      <c r="Z576" s="14">
        <v>41871</v>
      </c>
      <c r="AA576" s="5" t="s">
        <v>96</v>
      </c>
      <c r="AB576" s="5" t="s">
        <v>4759</v>
      </c>
      <c r="AC576" s="7" t="s">
        <v>11090</v>
      </c>
      <c r="AD576" s="131"/>
      <c r="AE576" s="131"/>
      <c r="AF576" s="7" t="s">
        <v>177</v>
      </c>
      <c r="AG576" s="7" t="s">
        <v>178</v>
      </c>
      <c r="AH576" s="7" t="s">
        <v>178</v>
      </c>
      <c r="AI576" s="7"/>
      <c r="AJ576" s="7" t="s">
        <v>568</v>
      </c>
      <c r="AK576" s="7"/>
      <c r="AL576" s="7"/>
      <c r="AM576" s="15"/>
      <c r="AN576" s="15"/>
      <c r="AO576" s="8">
        <v>2</v>
      </c>
      <c r="AP576" s="8"/>
      <c r="AQ576" s="8"/>
      <c r="AR576" s="8"/>
      <c r="AS576" s="132"/>
      <c r="AT576" s="131"/>
      <c r="AU576" s="132"/>
      <c r="AV576" s="16"/>
      <c r="AW576" s="56" t="s">
        <v>11091</v>
      </c>
      <c r="AX576" s="56" t="s">
        <v>427</v>
      </c>
      <c r="AY576" s="7" t="s">
        <v>11092</v>
      </c>
      <c r="AZ576" s="10" t="s">
        <v>2696</v>
      </c>
      <c r="BA576" s="7" t="s">
        <v>11093</v>
      </c>
      <c r="BB576" s="17" t="s">
        <v>11094</v>
      </c>
      <c r="BC576" s="17"/>
      <c r="BD576" s="18" t="s">
        <v>2697</v>
      </c>
      <c r="BE576" s="7" t="s">
        <v>11095</v>
      </c>
      <c r="BF576" s="7" t="s">
        <v>925</v>
      </c>
      <c r="BG576" s="7" t="s">
        <v>11096</v>
      </c>
      <c r="BH576" s="7" t="s">
        <v>11097</v>
      </c>
      <c r="BI576" s="19"/>
      <c r="BJ576" s="20" t="s">
        <v>11098</v>
      </c>
      <c r="BK576" s="21" t="s">
        <v>11099</v>
      </c>
      <c r="BL576" s="7" t="s">
        <v>11100</v>
      </c>
      <c r="BM576" s="22" t="s">
        <v>2703</v>
      </c>
      <c r="BN576" s="8" t="s">
        <v>544</v>
      </c>
      <c r="BO576" s="17" t="s">
        <v>11101</v>
      </c>
      <c r="BP576" s="17" t="s">
        <v>737</v>
      </c>
      <c r="BQ576" s="18" t="s">
        <v>2693</v>
      </c>
      <c r="BR576" s="7" t="s">
        <v>11102</v>
      </c>
      <c r="BS576" s="7" t="s">
        <v>11103</v>
      </c>
      <c r="BT576" s="7" t="s">
        <v>11104</v>
      </c>
      <c r="BU576" s="8" t="s">
        <v>11105</v>
      </c>
      <c r="BV576" s="23"/>
      <c r="BW576" s="24" t="s">
        <v>11106</v>
      </c>
      <c r="BX576" s="21" t="s">
        <v>11107</v>
      </c>
      <c r="BY576" s="21" t="s">
        <v>11108</v>
      </c>
      <c r="BZ576" s="21"/>
      <c r="CA576" s="21"/>
      <c r="CB576" s="21" t="s">
        <v>10109</v>
      </c>
      <c r="CC576" s="21"/>
      <c r="CD576" s="21" t="s">
        <v>11109</v>
      </c>
      <c r="CE576" s="21" t="s">
        <v>582</v>
      </c>
      <c r="CF576" s="21" t="s">
        <v>737</v>
      </c>
      <c r="CG576" s="21"/>
      <c r="CH576" s="21"/>
      <c r="CI576" s="21"/>
      <c r="CJ576" s="21"/>
      <c r="CK576" s="21"/>
      <c r="CL576" s="21"/>
      <c r="CN576" s="25"/>
      <c r="CO576" s="25"/>
      <c r="CP576" s="25"/>
      <c r="CQ576" s="25"/>
      <c r="CR576" s="25"/>
      <c r="CS576" s="26"/>
    </row>
    <row r="577" spans="1:97" s="27" customFormat="1">
      <c r="A577" s="4">
        <v>556</v>
      </c>
      <c r="B577" s="6"/>
      <c r="C577" s="6"/>
      <c r="D577" s="6"/>
      <c r="E577" s="6"/>
      <c r="F577" s="6"/>
      <c r="G577" s="6"/>
      <c r="H577" s="5"/>
      <c r="I577" s="6"/>
      <c r="J577" s="7" t="s">
        <v>11110</v>
      </c>
      <c r="K577" s="7" t="s">
        <v>11111</v>
      </c>
      <c r="L577" s="8"/>
      <c r="M577" s="5">
        <v>1665</v>
      </c>
      <c r="N577" s="5" t="s">
        <v>11112</v>
      </c>
      <c r="O577" s="9" t="s">
        <v>11113</v>
      </c>
      <c r="P577" s="10" t="s">
        <v>11114</v>
      </c>
      <c r="Q577" s="389" t="s">
        <v>11115</v>
      </c>
      <c r="R577" s="8" t="s">
        <v>11290</v>
      </c>
      <c r="S577" s="212" t="s">
        <v>13584</v>
      </c>
      <c r="T577" s="8" t="s">
        <v>1655</v>
      </c>
      <c r="U577" s="11" t="s">
        <v>172</v>
      </c>
      <c r="V577" s="12" t="s">
        <v>94</v>
      </c>
      <c r="W577" s="13">
        <v>41976</v>
      </c>
      <c r="X577" s="5" t="str">
        <f ca="1">""&amp;DATEDIF(W577,TODAY(),"y")&amp;" Th, "&amp;DATEDIF(W577,TODAY(),"ym")&amp;" Bln"</f>
        <v>11 Th, 9 Bln</v>
      </c>
      <c r="Y577" s="5"/>
      <c r="Z577" s="14"/>
      <c r="AA577" s="5" t="s">
        <v>96</v>
      </c>
      <c r="AB577" s="5"/>
      <c r="AC577" s="7" t="s">
        <v>11116</v>
      </c>
      <c r="AD577" s="131">
        <v>3</v>
      </c>
      <c r="AE577" s="131">
        <v>7</v>
      </c>
      <c r="AF577" s="7" t="s">
        <v>994</v>
      </c>
      <c r="AG577" s="7" t="s">
        <v>994</v>
      </c>
      <c r="AH577" s="7" t="s">
        <v>141</v>
      </c>
      <c r="AI577" s="7"/>
      <c r="AJ577" s="7" t="s">
        <v>2024</v>
      </c>
      <c r="AK577" s="7"/>
      <c r="AL577" s="7"/>
      <c r="AM577" s="15"/>
      <c r="AN577" s="15"/>
      <c r="AO577" s="8">
        <v>2</v>
      </c>
      <c r="AP577" s="8"/>
      <c r="AQ577" s="8"/>
      <c r="AR577" s="8"/>
      <c r="AS577" s="132" t="s">
        <v>2508</v>
      </c>
      <c r="AT577" s="131" t="s">
        <v>2574</v>
      </c>
      <c r="AU577" s="132"/>
      <c r="AV577" s="16"/>
      <c r="AW577" s="56"/>
      <c r="AX577" s="56"/>
      <c r="AY577" s="7" t="s">
        <v>11117</v>
      </c>
      <c r="AZ577" s="10" t="s">
        <v>11118</v>
      </c>
      <c r="BA577" s="7" t="s">
        <v>511</v>
      </c>
      <c r="BB577" s="17">
        <v>30321</v>
      </c>
      <c r="BC577" s="17"/>
      <c r="BD577" s="18" t="s">
        <v>11119</v>
      </c>
      <c r="BE577" s="7" t="s">
        <v>11120</v>
      </c>
      <c r="BF577" s="7" t="s">
        <v>11121</v>
      </c>
      <c r="BG577" s="7" t="s">
        <v>11122</v>
      </c>
      <c r="BH577" s="7" t="s">
        <v>11123</v>
      </c>
      <c r="BI577" s="19" t="s">
        <v>11124</v>
      </c>
      <c r="BJ577" s="20">
        <v>5000000</v>
      </c>
      <c r="BK577" s="21" t="s">
        <v>11125</v>
      </c>
      <c r="BL577" s="7" t="s">
        <v>11126</v>
      </c>
      <c r="BM577" s="22" t="s">
        <v>11127</v>
      </c>
      <c r="BN577" s="8" t="s">
        <v>511</v>
      </c>
      <c r="BO577" s="17">
        <v>31559</v>
      </c>
      <c r="BP577" s="17"/>
      <c r="BQ577" s="18" t="s">
        <v>11119</v>
      </c>
      <c r="BR577" s="7" t="s">
        <v>11120</v>
      </c>
      <c r="BS577" s="7" t="s">
        <v>471</v>
      </c>
      <c r="BT577" s="7" t="s">
        <v>11128</v>
      </c>
      <c r="BU577" s="8" t="s">
        <v>11129</v>
      </c>
      <c r="BV577" s="23" t="s">
        <v>11130</v>
      </c>
      <c r="BW577" s="24">
        <v>5000000</v>
      </c>
      <c r="BX577" s="21" t="s">
        <v>11125</v>
      </c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N577" s="25"/>
      <c r="CO577" s="25"/>
      <c r="CP577" s="25"/>
      <c r="CQ577" s="25"/>
      <c r="CR577" s="25"/>
      <c r="CS577" s="26"/>
    </row>
    <row r="578" spans="1:97" s="27" customFormat="1" ht="23.25" customHeight="1">
      <c r="A578" s="4">
        <v>526</v>
      </c>
      <c r="B578" s="6"/>
      <c r="C578" s="6"/>
      <c r="D578" s="6"/>
      <c r="E578" s="6"/>
      <c r="F578" s="6"/>
      <c r="G578" s="6"/>
      <c r="H578" s="5"/>
      <c r="I578" s="6"/>
      <c r="J578" s="7" t="s">
        <v>10596</v>
      </c>
      <c r="K578" s="7" t="s">
        <v>10597</v>
      </c>
      <c r="L578" s="8"/>
      <c r="M578" s="5">
        <v>1673</v>
      </c>
      <c r="N578" s="5" t="s">
        <v>10598</v>
      </c>
      <c r="O578" s="9" t="s">
        <v>10599</v>
      </c>
      <c r="P578" s="10" t="s">
        <v>10600</v>
      </c>
      <c r="Q578" s="389" t="s">
        <v>10601</v>
      </c>
      <c r="R578" s="8" t="s">
        <v>11290</v>
      </c>
      <c r="S578" s="212" t="s">
        <v>13584</v>
      </c>
      <c r="T578" s="8" t="s">
        <v>10602</v>
      </c>
      <c r="U578" s="11" t="s">
        <v>172</v>
      </c>
      <c r="V578" s="12" t="s">
        <v>670</v>
      </c>
      <c r="W578" s="13">
        <v>42006</v>
      </c>
      <c r="X578" s="5" t="str">
        <f ca="1">""&amp;DATEDIF(W578,TODAY(),"y")&amp;" Th, "&amp;DATEDIF(W578,TODAY(),"ym")&amp;" Bln"</f>
        <v>11 Th, 8 Bln</v>
      </c>
      <c r="Y578" s="5"/>
      <c r="Z578" s="14"/>
      <c r="AA578" s="5" t="s">
        <v>96</v>
      </c>
      <c r="AB578" s="5"/>
      <c r="AC578" s="7" t="s">
        <v>10603</v>
      </c>
      <c r="AD578" s="131">
        <v>8</v>
      </c>
      <c r="AE578" s="131">
        <v>4</v>
      </c>
      <c r="AF578" s="7" t="s">
        <v>177</v>
      </c>
      <c r="AG578" s="7" t="s">
        <v>178</v>
      </c>
      <c r="AH578" s="7" t="s">
        <v>178</v>
      </c>
      <c r="AI578" s="7"/>
      <c r="AJ578" s="7" t="s">
        <v>103</v>
      </c>
      <c r="AK578" s="7"/>
      <c r="AL578" s="7"/>
      <c r="AM578" s="15" t="s">
        <v>10604</v>
      </c>
      <c r="AN578" s="15"/>
      <c r="AO578" s="8">
        <v>1</v>
      </c>
      <c r="AP578" s="8"/>
      <c r="AQ578" s="8"/>
      <c r="AR578" s="8"/>
      <c r="AS578" s="132" t="s">
        <v>2720</v>
      </c>
      <c r="AT578" s="131" t="s">
        <v>2780</v>
      </c>
      <c r="AU578" s="132"/>
      <c r="AV578" s="16"/>
      <c r="AW578" s="56"/>
      <c r="AX578" s="56"/>
      <c r="AY578" s="7" t="s">
        <v>10605</v>
      </c>
      <c r="AZ578" s="10" t="s">
        <v>10606</v>
      </c>
      <c r="BA578" s="7" t="s">
        <v>3761</v>
      </c>
      <c r="BB578" s="17">
        <v>30541</v>
      </c>
      <c r="BC578" s="17"/>
      <c r="BD578" s="18" t="s">
        <v>10607</v>
      </c>
      <c r="BE578" s="7" t="s">
        <v>118</v>
      </c>
      <c r="BF578" s="7" t="s">
        <v>188</v>
      </c>
      <c r="BG578" s="7" t="s">
        <v>10608</v>
      </c>
      <c r="BH578" s="7" t="s">
        <v>10609</v>
      </c>
      <c r="BI578" s="19" t="s">
        <v>10604</v>
      </c>
      <c r="BJ578" s="20">
        <v>12000000</v>
      </c>
      <c r="BK578" s="21" t="s">
        <v>10610</v>
      </c>
      <c r="BL578" s="7" t="s">
        <v>10611</v>
      </c>
      <c r="BM578" s="22" t="s">
        <v>10612</v>
      </c>
      <c r="BN578" s="8" t="s">
        <v>670</v>
      </c>
      <c r="BO578" s="17">
        <v>32288</v>
      </c>
      <c r="BP578" s="17"/>
      <c r="BQ578" s="18" t="s">
        <v>10607</v>
      </c>
      <c r="BR578" s="7" t="s">
        <v>8638</v>
      </c>
      <c r="BS578" s="7" t="s">
        <v>126</v>
      </c>
      <c r="BT578" s="7" t="s">
        <v>127</v>
      </c>
      <c r="BU578" s="8" t="s">
        <v>127</v>
      </c>
      <c r="BV578" s="23" t="s">
        <v>127</v>
      </c>
      <c r="BW578" s="24" t="s">
        <v>127</v>
      </c>
      <c r="BX578" s="21" t="s">
        <v>10613</v>
      </c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N578" s="25"/>
      <c r="CO578" s="25"/>
      <c r="CP578" s="25"/>
      <c r="CQ578" s="25"/>
      <c r="CR578" s="25"/>
      <c r="CS578" s="26"/>
    </row>
    <row r="579" spans="1:97" s="60" customFormat="1" ht="24" customHeight="1">
      <c r="A579" s="4">
        <v>499</v>
      </c>
      <c r="B579" s="6"/>
      <c r="C579" s="6"/>
      <c r="D579" s="6"/>
      <c r="E579" s="6"/>
      <c r="F579" s="6"/>
      <c r="G579" s="6"/>
      <c r="H579" s="5"/>
      <c r="I579" s="6"/>
      <c r="J579" s="7" t="s">
        <v>10210</v>
      </c>
      <c r="K579" s="7" t="s">
        <v>10211</v>
      </c>
      <c r="L579" s="8"/>
      <c r="M579" s="5">
        <v>1676</v>
      </c>
      <c r="N579" s="5">
        <v>3149112710</v>
      </c>
      <c r="O579" s="9" t="s">
        <v>10212</v>
      </c>
      <c r="P579" s="10" t="s">
        <v>10213</v>
      </c>
      <c r="Q579" s="389" t="s">
        <v>10214</v>
      </c>
      <c r="R579" s="8" t="s">
        <v>11290</v>
      </c>
      <c r="S579" s="212" t="s">
        <v>13584</v>
      </c>
      <c r="T579" s="8" t="s">
        <v>10215</v>
      </c>
      <c r="U579" s="11" t="s">
        <v>172</v>
      </c>
      <c r="V579" s="12" t="s">
        <v>94</v>
      </c>
      <c r="W579" s="13">
        <v>41942</v>
      </c>
      <c r="X579" s="5" t="str">
        <f ca="1">""&amp;DATEDIF(W579,TODAY(),"y")&amp;" Th, "&amp;DATEDIF(W579,TODAY(),"ym")&amp;" Bln"</f>
        <v>11 Th, 10 Bln</v>
      </c>
      <c r="Y579" s="5"/>
      <c r="Z579" s="14"/>
      <c r="AA579" s="5" t="s">
        <v>96</v>
      </c>
      <c r="AB579" s="5"/>
      <c r="AC579" s="7" t="s">
        <v>10216</v>
      </c>
      <c r="AD579" s="131">
        <v>40</v>
      </c>
      <c r="AE579" s="131">
        <v>9</v>
      </c>
      <c r="AF579" s="7" t="s">
        <v>1155</v>
      </c>
      <c r="AG579" s="7" t="s">
        <v>140</v>
      </c>
      <c r="AH579" s="7" t="s">
        <v>141</v>
      </c>
      <c r="AI579" s="7"/>
      <c r="AJ579" s="7" t="s">
        <v>142</v>
      </c>
      <c r="AK579" s="7"/>
      <c r="AL579" s="7"/>
      <c r="AM579" s="15"/>
      <c r="AN579" s="15"/>
      <c r="AO579" s="8">
        <v>3</v>
      </c>
      <c r="AP579" s="8"/>
      <c r="AQ579" s="8"/>
      <c r="AR579" s="8"/>
      <c r="AS579" s="132" t="s">
        <v>800</v>
      </c>
      <c r="AT579" s="131" t="s">
        <v>3608</v>
      </c>
      <c r="AU579" s="132"/>
      <c r="AV579" s="16"/>
      <c r="AW579" s="56"/>
      <c r="AX579" s="56"/>
      <c r="AY579" s="7" t="s">
        <v>10217</v>
      </c>
      <c r="AZ579" s="10" t="s">
        <v>3882</v>
      </c>
      <c r="BA579" s="7" t="s">
        <v>653</v>
      </c>
      <c r="BB579" s="17">
        <v>26560</v>
      </c>
      <c r="BC579" s="17"/>
      <c r="BD579" s="18" t="s">
        <v>3879</v>
      </c>
      <c r="BE579" s="7" t="s">
        <v>153</v>
      </c>
      <c r="BF579" s="7" t="s">
        <v>471</v>
      </c>
      <c r="BG579" s="7" t="s">
        <v>226</v>
      </c>
      <c r="BH579" s="7" t="s">
        <v>10218</v>
      </c>
      <c r="BI579" s="19" t="s">
        <v>1251</v>
      </c>
      <c r="BJ579" s="20">
        <v>5000000</v>
      </c>
      <c r="BK579" s="21" t="s">
        <v>3887</v>
      </c>
      <c r="BL579" s="7" t="s">
        <v>10219</v>
      </c>
      <c r="BM579" s="22" t="s">
        <v>3889</v>
      </c>
      <c r="BN579" s="8" t="s">
        <v>603</v>
      </c>
      <c r="BO579" s="17">
        <v>28726</v>
      </c>
      <c r="BP579" s="17"/>
      <c r="BQ579" s="18" t="s">
        <v>3879</v>
      </c>
      <c r="BR579" s="7" t="s">
        <v>118</v>
      </c>
      <c r="BS579" s="7" t="s">
        <v>127</v>
      </c>
      <c r="BT579" s="7" t="s">
        <v>127</v>
      </c>
      <c r="BU579" s="8" t="s">
        <v>127</v>
      </c>
      <c r="BV579" s="23" t="s">
        <v>127</v>
      </c>
      <c r="BW579" s="24" t="s">
        <v>127</v>
      </c>
      <c r="BX579" s="21" t="s">
        <v>3890</v>
      </c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</row>
    <row r="580" spans="1:97" s="87" customFormat="1" ht="23.25" customHeight="1">
      <c r="A580" s="175">
        <v>500</v>
      </c>
      <c r="B580" s="178"/>
      <c r="C580" s="178"/>
      <c r="D580" s="178"/>
      <c r="E580" s="178"/>
      <c r="F580" s="178"/>
      <c r="G580" s="178"/>
      <c r="H580" s="224"/>
      <c r="I580" s="61" t="s">
        <v>4774</v>
      </c>
      <c r="J580" s="218" t="s">
        <v>6503</v>
      </c>
      <c r="K580" s="218" t="s">
        <v>6504</v>
      </c>
      <c r="L580" s="178"/>
      <c r="M580" s="62">
        <v>2210</v>
      </c>
      <c r="N580" s="178">
        <v>3146411263</v>
      </c>
      <c r="O580" s="219" t="s">
        <v>6506</v>
      </c>
      <c r="P580" s="219" t="s">
        <v>11406</v>
      </c>
      <c r="Q580" s="216" t="s">
        <v>11407</v>
      </c>
      <c r="R580" s="8" t="s">
        <v>11290</v>
      </c>
      <c r="S580" s="212" t="s">
        <v>13584</v>
      </c>
      <c r="T580" s="178" t="s">
        <v>2356</v>
      </c>
      <c r="U580" s="178" t="s">
        <v>172</v>
      </c>
      <c r="V580" s="178" t="s">
        <v>94</v>
      </c>
      <c r="W580" s="220">
        <v>41951</v>
      </c>
      <c r="X580" s="62" t="s">
        <v>11408</v>
      </c>
      <c r="Y580" s="62" t="s">
        <v>95</v>
      </c>
      <c r="Z580" s="178"/>
      <c r="AA580" s="178" t="s">
        <v>737</v>
      </c>
      <c r="AB580" s="178" t="s">
        <v>97</v>
      </c>
      <c r="AC580" s="216" t="s">
        <v>6508</v>
      </c>
      <c r="AD580" s="178">
        <v>1</v>
      </c>
      <c r="AE580" s="178">
        <v>1</v>
      </c>
      <c r="AF580" s="218" t="s">
        <v>6509</v>
      </c>
      <c r="AG580" s="218" t="s">
        <v>3039</v>
      </c>
      <c r="AH580" s="218" t="s">
        <v>102</v>
      </c>
      <c r="AI580" s="218"/>
      <c r="AJ580" s="218" t="s">
        <v>103</v>
      </c>
      <c r="AK580" s="216"/>
      <c r="AL580" s="216"/>
      <c r="AM580" s="218"/>
      <c r="AN580" s="221" t="s">
        <v>4834</v>
      </c>
      <c r="AO580" s="178">
        <v>2</v>
      </c>
      <c r="AP580" s="178">
        <v>2</v>
      </c>
      <c r="AQ580" s="178"/>
      <c r="AR580" s="178"/>
      <c r="AS580" s="178">
        <v>21</v>
      </c>
      <c r="AT580" s="178"/>
      <c r="AU580" s="178"/>
      <c r="AV580" s="216"/>
      <c r="AW580" s="218"/>
      <c r="AX580" s="218"/>
      <c r="AY580" s="216" t="s">
        <v>4813</v>
      </c>
      <c r="AZ580" s="222" t="s">
        <v>6510</v>
      </c>
      <c r="BA580" s="216" t="s">
        <v>4814</v>
      </c>
      <c r="BB580" s="216" t="s">
        <v>6511</v>
      </c>
      <c r="BC580" s="216" t="s">
        <v>737</v>
      </c>
      <c r="BD580" s="222" t="s">
        <v>6512</v>
      </c>
      <c r="BE580" s="216" t="s">
        <v>153</v>
      </c>
      <c r="BF580" s="216" t="s">
        <v>4815</v>
      </c>
      <c r="BG580" s="216" t="s">
        <v>4816</v>
      </c>
      <c r="BH580" s="216" t="s">
        <v>6513</v>
      </c>
      <c r="BI580" s="216"/>
      <c r="BJ580" s="223">
        <v>11000000</v>
      </c>
      <c r="BK580" s="216"/>
      <c r="BL580" s="216" t="s">
        <v>6514</v>
      </c>
      <c r="BM580" s="221" t="s">
        <v>6515</v>
      </c>
      <c r="BN580" s="178" t="s">
        <v>94</v>
      </c>
      <c r="BO580" s="218" t="s">
        <v>6516</v>
      </c>
      <c r="BP580" s="216" t="s">
        <v>96</v>
      </c>
      <c r="BQ580" s="222" t="s">
        <v>4834</v>
      </c>
      <c r="BR580" s="216" t="s">
        <v>118</v>
      </c>
      <c r="BS580" s="216" t="s">
        <v>582</v>
      </c>
      <c r="BT580" s="216"/>
      <c r="BU580" s="216"/>
      <c r="BV580" s="178"/>
      <c r="BW580" s="178"/>
      <c r="BX580" s="178"/>
      <c r="BY580" s="178"/>
      <c r="BZ580" s="178"/>
      <c r="CA580" s="178"/>
      <c r="CB580" s="178"/>
      <c r="CC580" s="178"/>
      <c r="CD580" s="178"/>
      <c r="CE580" s="178"/>
      <c r="CF580" s="178"/>
      <c r="CG580" s="178"/>
      <c r="CH580" s="178"/>
      <c r="CI580" s="178"/>
      <c r="CJ580" s="178"/>
      <c r="CK580" s="178"/>
      <c r="CL580" s="178"/>
      <c r="CN580" s="85"/>
      <c r="CO580" s="85"/>
      <c r="CP580" s="85"/>
      <c r="CQ580" s="85"/>
      <c r="CR580" s="85"/>
      <c r="CS580" s="86"/>
    </row>
    <row r="581" spans="1:97" s="27" customFormat="1" ht="23.25" customHeight="1">
      <c r="A581" s="4">
        <v>501</v>
      </c>
      <c r="B581" s="61"/>
      <c r="C581" s="61"/>
      <c r="D581" s="61"/>
      <c r="E581" s="61"/>
      <c r="F581" s="61"/>
      <c r="G581" s="61"/>
      <c r="H581" s="62" t="s">
        <v>5048</v>
      </c>
      <c r="I581" s="61" t="s">
        <v>4774</v>
      </c>
      <c r="J581" s="63" t="s">
        <v>10220</v>
      </c>
      <c r="K581" s="63" t="s">
        <v>10221</v>
      </c>
      <c r="L581" s="64"/>
      <c r="M581" s="62">
        <v>2072</v>
      </c>
      <c r="N581" s="66" t="s">
        <v>10222</v>
      </c>
      <c r="O581" s="65" t="s">
        <v>10223</v>
      </c>
      <c r="P581" s="66" t="s">
        <v>1260</v>
      </c>
      <c r="Q581" s="391" t="s">
        <v>10224</v>
      </c>
      <c r="R581" s="8" t="s">
        <v>11290</v>
      </c>
      <c r="S581" s="212" t="s">
        <v>13584</v>
      </c>
      <c r="T581" s="64" t="s">
        <v>10225</v>
      </c>
      <c r="U581" s="67" t="s">
        <v>172</v>
      </c>
      <c r="V581" s="68" t="s">
        <v>10226</v>
      </c>
      <c r="W581" s="69" t="s">
        <v>10227</v>
      </c>
      <c r="X581" s="62" t="str">
        <f ca="1">""&amp;DATEDIF(Z581,TODAY(),"y")&amp;" Th, "&amp;DATEDIF(Z581,TODAY(),"ym")&amp;" Bln"</f>
        <v>11 Th, 3 Bln</v>
      </c>
      <c r="Y581" s="62"/>
      <c r="Z581" s="14">
        <v>42168</v>
      </c>
      <c r="AA581" s="62" t="s">
        <v>96</v>
      </c>
      <c r="AB581" s="62"/>
      <c r="AC581" s="70" t="s">
        <v>10228</v>
      </c>
      <c r="AD581" s="133"/>
      <c r="AE581" s="64"/>
      <c r="AF581" s="63" t="s">
        <v>4265</v>
      </c>
      <c r="AG581" s="63" t="s">
        <v>547</v>
      </c>
      <c r="AH581" s="63" t="s">
        <v>178</v>
      </c>
      <c r="AI581" s="63"/>
      <c r="AJ581" s="63" t="s">
        <v>568</v>
      </c>
      <c r="AK581" s="63"/>
      <c r="AL581" s="71">
        <v>5</v>
      </c>
      <c r="AM581" s="71"/>
      <c r="AN581" s="72" t="s">
        <v>1264</v>
      </c>
      <c r="AO581" s="64">
        <v>1</v>
      </c>
      <c r="AP581" s="64">
        <v>3</v>
      </c>
      <c r="AQ581" s="64"/>
      <c r="AR581" s="134"/>
      <c r="AS581" s="133">
        <v>33</v>
      </c>
      <c r="AT581" s="134">
        <v>130</v>
      </c>
      <c r="AU581" s="134" t="s">
        <v>182</v>
      </c>
      <c r="AV581" s="73"/>
      <c r="AW581" s="135"/>
      <c r="AX581" s="63"/>
      <c r="AY581" s="74" t="s">
        <v>10229</v>
      </c>
      <c r="AZ581" s="63" t="s">
        <v>1268</v>
      </c>
      <c r="BA581" s="75" t="s">
        <v>10230</v>
      </c>
      <c r="BB581" s="75">
        <v>31506</v>
      </c>
      <c r="BC581" s="76" t="s">
        <v>737</v>
      </c>
      <c r="BD581" s="77" t="s">
        <v>1265</v>
      </c>
      <c r="BE581" s="63" t="s">
        <v>7064</v>
      </c>
      <c r="BF581" s="63" t="s">
        <v>814</v>
      </c>
      <c r="BG581" s="63" t="s">
        <v>10231</v>
      </c>
      <c r="BH581" s="78" t="s">
        <v>10232</v>
      </c>
      <c r="BI581" s="79"/>
      <c r="BJ581" s="80">
        <v>15000000</v>
      </c>
      <c r="BK581" s="81" t="s">
        <v>10233</v>
      </c>
      <c r="BL581" s="82" t="s">
        <v>10234</v>
      </c>
      <c r="BM581" s="77" t="s">
        <v>1274</v>
      </c>
      <c r="BN581" s="145" t="s">
        <v>10226</v>
      </c>
      <c r="BO581" s="75" t="s">
        <v>10235</v>
      </c>
      <c r="BP581" s="76" t="s">
        <v>737</v>
      </c>
      <c r="BQ581" s="77" t="s">
        <v>1264</v>
      </c>
      <c r="BR581" s="63" t="s">
        <v>7064</v>
      </c>
      <c r="BS581" s="63" t="s">
        <v>582</v>
      </c>
      <c r="BT581" s="64"/>
      <c r="BU581" s="64"/>
      <c r="BV581" s="79"/>
      <c r="BW581" s="83"/>
      <c r="BX581" s="83" t="s">
        <v>10236</v>
      </c>
      <c r="BY581" s="83" t="s">
        <v>10237</v>
      </c>
      <c r="BZ581" s="83" t="s">
        <v>10226</v>
      </c>
      <c r="CA581" s="83" t="s">
        <v>10238</v>
      </c>
      <c r="CB581" s="83"/>
      <c r="CC581" s="83" t="s">
        <v>10239</v>
      </c>
      <c r="CD581" s="83" t="s">
        <v>118</v>
      </c>
      <c r="CE581" s="83" t="s">
        <v>10240</v>
      </c>
      <c r="CF581" s="83"/>
      <c r="CG581" s="83" t="s">
        <v>10241</v>
      </c>
      <c r="CH581" s="83"/>
      <c r="CI581" s="83"/>
      <c r="CJ581" s="83" t="s">
        <v>4265</v>
      </c>
      <c r="CK581" s="83" t="s">
        <v>547</v>
      </c>
      <c r="CL581" s="84" t="s">
        <v>568</v>
      </c>
      <c r="CN581" s="25"/>
      <c r="CO581" s="25"/>
      <c r="CP581" s="25"/>
      <c r="CQ581" s="25"/>
      <c r="CR581" s="25"/>
      <c r="CS581" s="26"/>
    </row>
    <row r="582" spans="1:97" s="27" customFormat="1" ht="23.25" customHeight="1">
      <c r="A582" s="4">
        <v>529</v>
      </c>
      <c r="B582" s="6"/>
      <c r="C582" s="6"/>
      <c r="D582" s="6"/>
      <c r="E582" s="6"/>
      <c r="F582" s="6"/>
      <c r="G582" s="6"/>
      <c r="H582" s="5" t="s">
        <v>10652</v>
      </c>
      <c r="I582" s="6"/>
      <c r="J582" s="7" t="s">
        <v>10653</v>
      </c>
      <c r="K582" s="7" t="s">
        <v>10654</v>
      </c>
      <c r="L582" s="8"/>
      <c r="M582" s="5">
        <v>1789</v>
      </c>
      <c r="N582" s="5" t="s">
        <v>10655</v>
      </c>
      <c r="O582" s="9" t="s">
        <v>10656</v>
      </c>
      <c r="P582" s="10" t="s">
        <v>10657</v>
      </c>
      <c r="Q582" s="389" t="s">
        <v>10658</v>
      </c>
      <c r="R582" s="8" t="s">
        <v>11290</v>
      </c>
      <c r="S582" s="212" t="s">
        <v>13584</v>
      </c>
      <c r="T582" s="8" t="s">
        <v>10659</v>
      </c>
      <c r="U582" s="11" t="s">
        <v>172</v>
      </c>
      <c r="V582" s="12" t="s">
        <v>670</v>
      </c>
      <c r="W582" s="13" t="s">
        <v>10660</v>
      </c>
      <c r="X582" s="5" t="e">
        <f ca="1">""&amp;DATEDIF(W582,TODAY(),"y")&amp;" Th, "&amp;DATEDIF(W582,TODAY(),"ym")&amp;" Bln"</f>
        <v>#VALUE!</v>
      </c>
      <c r="Y582" s="5"/>
      <c r="Z582" s="14"/>
      <c r="AA582" s="5" t="s">
        <v>96</v>
      </c>
      <c r="AB582" s="5" t="s">
        <v>97</v>
      </c>
      <c r="AC582" s="7" t="s">
        <v>10661</v>
      </c>
      <c r="AD582" s="131"/>
      <c r="AE582" s="131"/>
      <c r="AF582" s="7" t="s">
        <v>437</v>
      </c>
      <c r="AG582" s="7" t="s">
        <v>178</v>
      </c>
      <c r="AH582" s="7" t="s">
        <v>178</v>
      </c>
      <c r="AI582" s="7">
        <v>65144</v>
      </c>
      <c r="AJ582" s="7" t="s">
        <v>103</v>
      </c>
      <c r="AK582" s="7" t="s">
        <v>104</v>
      </c>
      <c r="AL582" s="7" t="s">
        <v>10662</v>
      </c>
      <c r="AM582" s="15"/>
      <c r="AN582" s="15"/>
      <c r="AO582" s="8">
        <v>1</v>
      </c>
      <c r="AP582" s="8">
        <v>1</v>
      </c>
      <c r="AQ582" s="8"/>
      <c r="AR582" s="8"/>
      <c r="AS582" s="132">
        <v>21</v>
      </c>
      <c r="AT582" s="131">
        <v>129</v>
      </c>
      <c r="AU582" s="132"/>
      <c r="AV582" s="16"/>
      <c r="AW582" s="56" t="s">
        <v>9693</v>
      </c>
      <c r="AX582" s="56"/>
      <c r="AY582" s="7" t="s">
        <v>10663</v>
      </c>
      <c r="AZ582" s="10" t="s">
        <v>10664</v>
      </c>
      <c r="BA582" s="7" t="s">
        <v>519</v>
      </c>
      <c r="BB582" s="17" t="s">
        <v>10665</v>
      </c>
      <c r="BC582" s="17" t="s">
        <v>96</v>
      </c>
      <c r="BD582" s="18" t="s">
        <v>10666</v>
      </c>
      <c r="BE582" s="7" t="s">
        <v>118</v>
      </c>
      <c r="BF582" s="7" t="s">
        <v>276</v>
      </c>
      <c r="BG582" s="7" t="s">
        <v>10667</v>
      </c>
      <c r="BH582" s="7" t="s">
        <v>10668</v>
      </c>
      <c r="BI582" s="19"/>
      <c r="BJ582" s="20"/>
      <c r="BK582" s="21" t="s">
        <v>10669</v>
      </c>
      <c r="BL582" s="7" t="s">
        <v>10670</v>
      </c>
      <c r="BM582" s="22" t="s">
        <v>10671</v>
      </c>
      <c r="BN582" s="8" t="s">
        <v>670</v>
      </c>
      <c r="BO582" s="17">
        <v>33121</v>
      </c>
      <c r="BP582" s="17" t="s">
        <v>96</v>
      </c>
      <c r="BQ582" s="18" t="s">
        <v>10672</v>
      </c>
      <c r="BR582" s="7" t="s">
        <v>118</v>
      </c>
      <c r="BS582" s="7" t="s">
        <v>126</v>
      </c>
      <c r="BT582" s="7"/>
      <c r="BU582" s="8"/>
      <c r="BV582" s="23"/>
      <c r="BW582" s="24"/>
      <c r="BX582" s="21" t="s">
        <v>10673</v>
      </c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N582" s="25"/>
      <c r="CO582" s="25"/>
      <c r="CP582" s="25"/>
      <c r="CQ582" s="25"/>
      <c r="CR582" s="25"/>
      <c r="CS582" s="26"/>
    </row>
    <row r="583" spans="1:97" s="27" customFormat="1" ht="23.25" customHeight="1">
      <c r="A583" s="4">
        <v>533</v>
      </c>
      <c r="B583" s="6"/>
      <c r="C583" s="6"/>
      <c r="D583" s="6"/>
      <c r="E583" s="6"/>
      <c r="F583" s="6"/>
      <c r="G583" s="6"/>
      <c r="H583" s="5" t="s">
        <v>7168</v>
      </c>
      <c r="I583" s="6" t="s">
        <v>4774</v>
      </c>
      <c r="J583" s="7" t="s">
        <v>10725</v>
      </c>
      <c r="K583" s="7" t="s">
        <v>10726</v>
      </c>
      <c r="L583" s="8"/>
      <c r="M583" s="5">
        <v>1949</v>
      </c>
      <c r="N583" s="5" t="s">
        <v>10727</v>
      </c>
      <c r="O583" s="9" t="s">
        <v>10728</v>
      </c>
      <c r="P583" s="10" t="s">
        <v>10729</v>
      </c>
      <c r="Q583" s="389" t="s">
        <v>10730</v>
      </c>
      <c r="R583" s="8" t="s">
        <v>11290</v>
      </c>
      <c r="S583" s="212" t="s">
        <v>13584</v>
      </c>
      <c r="T583" s="8" t="s">
        <v>11429</v>
      </c>
      <c r="U583" s="11" t="s">
        <v>93</v>
      </c>
      <c r="V583" s="12" t="s">
        <v>10731</v>
      </c>
      <c r="W583" s="13" t="s">
        <v>10732</v>
      </c>
      <c r="X583" s="5" t="s">
        <v>10733</v>
      </c>
      <c r="Y583" s="5"/>
      <c r="Z583" s="14">
        <v>41863</v>
      </c>
      <c r="AA583" s="5" t="s">
        <v>96</v>
      </c>
      <c r="AB583" s="5" t="s">
        <v>7178</v>
      </c>
      <c r="AC583" s="7" t="s">
        <v>10734</v>
      </c>
      <c r="AD583" s="131"/>
      <c r="AE583" s="131"/>
      <c r="AF583" s="7" t="s">
        <v>567</v>
      </c>
      <c r="AG583" s="7" t="s">
        <v>547</v>
      </c>
      <c r="AH583" s="7" t="s">
        <v>178</v>
      </c>
      <c r="AI583" s="7"/>
      <c r="AJ583" s="7" t="s">
        <v>568</v>
      </c>
      <c r="AK583" s="7"/>
      <c r="AL583" s="7" t="s">
        <v>10735</v>
      </c>
      <c r="AM583" s="15"/>
      <c r="AN583" s="15" t="s">
        <v>10736</v>
      </c>
      <c r="AO583" s="8">
        <v>2</v>
      </c>
      <c r="AP583" s="8">
        <v>1</v>
      </c>
      <c r="AQ583" s="8"/>
      <c r="AR583" s="8"/>
      <c r="AS583" s="132">
        <v>28</v>
      </c>
      <c r="AT583" s="131">
        <v>138</v>
      </c>
      <c r="AU583" s="132" t="s">
        <v>182</v>
      </c>
      <c r="AV583" s="16"/>
      <c r="AW583" s="56" t="s">
        <v>10737</v>
      </c>
      <c r="AX583" s="56" t="s">
        <v>427</v>
      </c>
      <c r="AY583" s="7" t="s">
        <v>10738</v>
      </c>
      <c r="AZ583" s="10" t="s">
        <v>10739</v>
      </c>
      <c r="BA583" s="7" t="s">
        <v>5060</v>
      </c>
      <c r="BB583" s="17" t="s">
        <v>10740</v>
      </c>
      <c r="BC583" s="17"/>
      <c r="BD583" s="18" t="s">
        <v>10741</v>
      </c>
      <c r="BE583" s="7" t="s">
        <v>118</v>
      </c>
      <c r="BF583" s="7" t="s">
        <v>471</v>
      </c>
      <c r="BG583" s="7" t="s">
        <v>10742</v>
      </c>
      <c r="BH583" s="7" t="s">
        <v>10743</v>
      </c>
      <c r="BI583" s="19"/>
      <c r="BJ583" s="20" t="s">
        <v>10744</v>
      </c>
      <c r="BK583" s="21" t="s">
        <v>10745</v>
      </c>
      <c r="BL583" s="7" t="s">
        <v>10746</v>
      </c>
      <c r="BM583" s="22" t="s">
        <v>10747</v>
      </c>
      <c r="BN583" s="8" t="s">
        <v>10731</v>
      </c>
      <c r="BO583" s="17">
        <v>31667</v>
      </c>
      <c r="BP583" s="17" t="s">
        <v>737</v>
      </c>
      <c r="BQ583" s="18" t="s">
        <v>10736</v>
      </c>
      <c r="BR583" s="7" t="s">
        <v>10748</v>
      </c>
      <c r="BS583" s="7" t="s">
        <v>1363</v>
      </c>
      <c r="BT583" s="7" t="s">
        <v>10749</v>
      </c>
      <c r="BU583" s="8" t="s">
        <v>10750</v>
      </c>
      <c r="BV583" s="23"/>
      <c r="BW583" s="24" t="s">
        <v>9070</v>
      </c>
      <c r="BX583" s="21" t="s">
        <v>10751</v>
      </c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N583" s="25"/>
      <c r="CO583" s="25"/>
      <c r="CP583" s="25"/>
      <c r="CQ583" s="25"/>
      <c r="CR583" s="25"/>
      <c r="CS583" s="26"/>
    </row>
    <row r="584" spans="1:97" s="27" customFormat="1" ht="23.25" customHeight="1">
      <c r="A584" s="4">
        <v>503</v>
      </c>
      <c r="B584" s="6"/>
      <c r="C584" s="6"/>
      <c r="D584" s="6"/>
      <c r="E584" s="6"/>
      <c r="F584" s="6"/>
      <c r="G584" s="6"/>
      <c r="H584" s="5"/>
      <c r="I584" s="6"/>
      <c r="J584" s="7" t="s">
        <v>10260</v>
      </c>
      <c r="K584" s="7" t="s">
        <v>10261</v>
      </c>
      <c r="L584" s="8"/>
      <c r="M584" s="5">
        <v>1687</v>
      </c>
      <c r="N584" s="5" t="s">
        <v>10262</v>
      </c>
      <c r="O584" s="9" t="s">
        <v>10263</v>
      </c>
      <c r="P584" s="10" t="s">
        <v>10264</v>
      </c>
      <c r="Q584" s="389" t="s">
        <v>10265</v>
      </c>
      <c r="R584" s="8" t="s">
        <v>11290</v>
      </c>
      <c r="S584" s="212" t="s">
        <v>13584</v>
      </c>
      <c r="T584" s="8" t="s">
        <v>10266</v>
      </c>
      <c r="U584" s="11" t="s">
        <v>93</v>
      </c>
      <c r="V584" s="12" t="s">
        <v>94</v>
      </c>
      <c r="W584" s="13">
        <v>41755</v>
      </c>
      <c r="X584" s="5" t="str">
        <f t="shared" ref="X584:X596" ca="1" si="24">""&amp;DATEDIF(W584,TODAY(),"y")&amp;" Th, "&amp;DATEDIF(W584,TODAY(),"ym")&amp;" Bln"</f>
        <v>12 Th, 4 Bln</v>
      </c>
      <c r="Y584" s="5"/>
      <c r="Z584" s="14"/>
      <c r="AA584" s="5" t="s">
        <v>96</v>
      </c>
      <c r="AB584" s="5"/>
      <c r="AC584" s="7" t="s">
        <v>10267</v>
      </c>
      <c r="AD584" s="131">
        <v>5</v>
      </c>
      <c r="AE584" s="131">
        <v>6</v>
      </c>
      <c r="AF584" s="7" t="s">
        <v>942</v>
      </c>
      <c r="AG584" s="7" t="s">
        <v>178</v>
      </c>
      <c r="AH584" s="7" t="s">
        <v>178</v>
      </c>
      <c r="AI584" s="7"/>
      <c r="AJ584" s="7" t="s">
        <v>103</v>
      </c>
      <c r="AK584" s="7"/>
      <c r="AL584" s="7"/>
      <c r="AM584" s="15"/>
      <c r="AN584" s="15"/>
      <c r="AO584" s="8">
        <v>1</v>
      </c>
      <c r="AP584" s="8"/>
      <c r="AQ584" s="8"/>
      <c r="AR584" s="8"/>
      <c r="AS584" s="132" t="s">
        <v>2829</v>
      </c>
      <c r="AT584" s="131" t="s">
        <v>10268</v>
      </c>
      <c r="AU584" s="132"/>
      <c r="AV584" s="16"/>
      <c r="AW584" s="56"/>
      <c r="AX584" s="56"/>
      <c r="AY584" s="7" t="s">
        <v>10269</v>
      </c>
      <c r="AZ584" s="10" t="s">
        <v>10270</v>
      </c>
      <c r="BA584" s="7" t="s">
        <v>603</v>
      </c>
      <c r="BB584" s="17">
        <v>29469</v>
      </c>
      <c r="BC584" s="17"/>
      <c r="BD584" s="18" t="s">
        <v>10271</v>
      </c>
      <c r="BE584" s="7" t="s">
        <v>10272</v>
      </c>
      <c r="BF584" s="7" t="s">
        <v>10273</v>
      </c>
      <c r="BG584" s="7" t="s">
        <v>10274</v>
      </c>
      <c r="BH584" s="7" t="s">
        <v>10275</v>
      </c>
      <c r="BI584" s="19" t="s">
        <v>10271</v>
      </c>
      <c r="BJ584" s="20">
        <v>10000000</v>
      </c>
      <c r="BK584" s="21" t="s">
        <v>10276</v>
      </c>
      <c r="BL584" s="7" t="s">
        <v>10277</v>
      </c>
      <c r="BM584" s="22" t="s">
        <v>10278</v>
      </c>
      <c r="BN584" s="8" t="s">
        <v>511</v>
      </c>
      <c r="BO584" s="17">
        <v>29489</v>
      </c>
      <c r="BP584" s="17"/>
      <c r="BQ584" s="18" t="s">
        <v>10279</v>
      </c>
      <c r="BR584" s="7" t="s">
        <v>7456</v>
      </c>
      <c r="BS584" s="7" t="s">
        <v>4594</v>
      </c>
      <c r="BT584" s="7" t="s">
        <v>10280</v>
      </c>
      <c r="BU584" s="8" t="s">
        <v>10281</v>
      </c>
      <c r="BV584" s="23" t="s">
        <v>10282</v>
      </c>
      <c r="BW584" s="24">
        <v>6000000</v>
      </c>
      <c r="BX584" s="21" t="s">
        <v>10283</v>
      </c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N584" s="25"/>
      <c r="CO584" s="25"/>
      <c r="CP584" s="25"/>
      <c r="CQ584" s="25"/>
      <c r="CR584" s="25"/>
      <c r="CS584" s="26"/>
    </row>
    <row r="585" spans="1:97" s="27" customFormat="1" ht="23.25" customHeight="1">
      <c r="A585" s="4">
        <v>562</v>
      </c>
      <c r="B585" s="6"/>
      <c r="C585" s="6"/>
      <c r="D585" s="6"/>
      <c r="E585" s="6"/>
      <c r="F585" s="6"/>
      <c r="G585" s="6"/>
      <c r="H585" s="5"/>
      <c r="I585" s="6"/>
      <c r="J585" s="7" t="s">
        <v>5110</v>
      </c>
      <c r="K585" s="7" t="s">
        <v>11235</v>
      </c>
      <c r="L585" s="8"/>
      <c r="M585" s="5">
        <v>1689</v>
      </c>
      <c r="N585" s="10" t="s">
        <v>11473</v>
      </c>
      <c r="O585" s="9" t="s">
        <v>11236</v>
      </c>
      <c r="P585" s="10" t="s">
        <v>11237</v>
      </c>
      <c r="Q585" s="389" t="s">
        <v>11238</v>
      </c>
      <c r="R585" s="8" t="s">
        <v>11290</v>
      </c>
      <c r="S585" s="212" t="s">
        <v>13584</v>
      </c>
      <c r="T585" s="8" t="s">
        <v>11239</v>
      </c>
      <c r="U585" s="11" t="s">
        <v>93</v>
      </c>
      <c r="V585" s="12" t="s">
        <v>94</v>
      </c>
      <c r="W585" s="13">
        <v>41928</v>
      </c>
      <c r="X585" s="5" t="str">
        <f t="shared" ca="1" si="24"/>
        <v>11 Th, 11 Bln</v>
      </c>
      <c r="Y585" s="5"/>
      <c r="Z585" s="14"/>
      <c r="AA585" s="5" t="s">
        <v>96</v>
      </c>
      <c r="AB585" s="5"/>
      <c r="AC585" s="7" t="s">
        <v>11240</v>
      </c>
      <c r="AD585" s="131"/>
      <c r="AE585" s="131"/>
      <c r="AF585" s="7" t="s">
        <v>891</v>
      </c>
      <c r="AG585" s="7" t="s">
        <v>178</v>
      </c>
      <c r="AH585" s="7" t="s">
        <v>178</v>
      </c>
      <c r="AI585" s="7"/>
      <c r="AJ585" s="7" t="s">
        <v>103</v>
      </c>
      <c r="AK585" s="7"/>
      <c r="AL585" s="7"/>
      <c r="AM585" s="15"/>
      <c r="AN585" s="15"/>
      <c r="AO585" s="8">
        <v>1</v>
      </c>
      <c r="AP585" s="8"/>
      <c r="AQ585" s="8"/>
      <c r="AR585" s="8"/>
      <c r="AS585" s="132" t="s">
        <v>11241</v>
      </c>
      <c r="AT585" s="131" t="s">
        <v>2848</v>
      </c>
      <c r="AU585" s="132"/>
      <c r="AV585" s="16"/>
      <c r="AW585" s="56"/>
      <c r="AX585" s="56"/>
      <c r="AY585" s="7" t="s">
        <v>11242</v>
      </c>
      <c r="AZ585" s="10" t="s">
        <v>11243</v>
      </c>
      <c r="BA585" s="7" t="s">
        <v>1294</v>
      </c>
      <c r="BB585" s="17">
        <v>29891</v>
      </c>
      <c r="BC585" s="17"/>
      <c r="BD585" s="18" t="s">
        <v>11244</v>
      </c>
      <c r="BE585" s="7" t="s">
        <v>8638</v>
      </c>
      <c r="BF585" s="7" t="s">
        <v>11245</v>
      </c>
      <c r="BG585" s="7" t="s">
        <v>11246</v>
      </c>
      <c r="BH585" s="7" t="s">
        <v>11247</v>
      </c>
      <c r="BI585" s="19" t="s">
        <v>11248</v>
      </c>
      <c r="BJ585" s="20">
        <v>7180000</v>
      </c>
      <c r="BK585" s="21" t="s">
        <v>11249</v>
      </c>
      <c r="BL585" s="7" t="s">
        <v>11250</v>
      </c>
      <c r="BM585" s="22" t="s">
        <v>11251</v>
      </c>
      <c r="BN585" s="8" t="s">
        <v>2417</v>
      </c>
      <c r="BO585" s="17">
        <v>30969</v>
      </c>
      <c r="BP585" s="17"/>
      <c r="BQ585" s="18" t="s">
        <v>11244</v>
      </c>
      <c r="BR585" s="7" t="s">
        <v>118</v>
      </c>
      <c r="BS585" s="7" t="s">
        <v>11252</v>
      </c>
      <c r="BT585" s="7" t="s">
        <v>11253</v>
      </c>
      <c r="BU585" s="8" t="s">
        <v>11254</v>
      </c>
      <c r="BV585" s="23" t="s">
        <v>11255</v>
      </c>
      <c r="BW585" s="24">
        <v>17000000</v>
      </c>
      <c r="BX585" s="21" t="s">
        <v>11256</v>
      </c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N585" s="25"/>
      <c r="CO585" s="25"/>
      <c r="CP585" s="25"/>
      <c r="CQ585" s="25"/>
      <c r="CR585" s="25"/>
      <c r="CS585" s="26"/>
    </row>
    <row r="586" spans="1:97" s="119" customFormat="1" ht="23.25" customHeight="1">
      <c r="A586" s="4">
        <v>478</v>
      </c>
      <c r="B586" s="6"/>
      <c r="C586" s="6"/>
      <c r="D586" s="6"/>
      <c r="E586" s="6"/>
      <c r="F586" s="6"/>
      <c r="G586" s="6"/>
      <c r="H586" s="5"/>
      <c r="I586" s="6"/>
      <c r="J586" s="7" t="s">
        <v>9879</v>
      </c>
      <c r="K586" s="7" t="s">
        <v>9880</v>
      </c>
      <c r="L586" s="8"/>
      <c r="M586" s="5">
        <v>1695</v>
      </c>
      <c r="N586" s="5">
        <v>3147090753</v>
      </c>
      <c r="O586" s="9" t="s">
        <v>9881</v>
      </c>
      <c r="P586" s="10" t="s">
        <v>9882</v>
      </c>
      <c r="Q586" s="389" t="s">
        <v>9883</v>
      </c>
      <c r="R586" s="8" t="s">
        <v>11290</v>
      </c>
      <c r="S586" s="212" t="s">
        <v>13584</v>
      </c>
      <c r="T586" s="8" t="s">
        <v>9884</v>
      </c>
      <c r="U586" s="11" t="s">
        <v>93</v>
      </c>
      <c r="V586" s="12" t="s">
        <v>94</v>
      </c>
      <c r="W586" s="13">
        <v>41760</v>
      </c>
      <c r="X586" s="5" t="str">
        <f t="shared" ca="1" si="24"/>
        <v>12 Th, 4 Bln</v>
      </c>
      <c r="Y586" s="5"/>
      <c r="Z586" s="14"/>
      <c r="AA586" s="5" t="s">
        <v>96</v>
      </c>
      <c r="AB586" s="5"/>
      <c r="AC586" s="7" t="s">
        <v>9885</v>
      </c>
      <c r="AD586" s="131"/>
      <c r="AE586" s="131"/>
      <c r="AF586" s="7" t="s">
        <v>437</v>
      </c>
      <c r="AG586" s="7" t="s">
        <v>178</v>
      </c>
      <c r="AH586" s="7" t="s">
        <v>178</v>
      </c>
      <c r="AI586" s="7"/>
      <c r="AJ586" s="7" t="s">
        <v>103</v>
      </c>
      <c r="AK586" s="7"/>
      <c r="AL586" s="7"/>
      <c r="AM586" s="15"/>
      <c r="AN586" s="15"/>
      <c r="AO586" s="8">
        <v>1</v>
      </c>
      <c r="AP586" s="8"/>
      <c r="AQ586" s="8"/>
      <c r="AR586" s="8"/>
      <c r="AS586" s="132" t="s">
        <v>2720</v>
      </c>
      <c r="AT586" s="131" t="s">
        <v>2462</v>
      </c>
      <c r="AU586" s="132"/>
      <c r="AV586" s="16"/>
      <c r="AW586" s="56"/>
      <c r="AX586" s="56"/>
      <c r="AY586" s="7" t="s">
        <v>9886</v>
      </c>
      <c r="AZ586" s="10" t="s">
        <v>9887</v>
      </c>
      <c r="BA586" s="7" t="s">
        <v>94</v>
      </c>
      <c r="BB586" s="17">
        <v>31762</v>
      </c>
      <c r="BC586" s="17"/>
      <c r="BD586" s="18" t="s">
        <v>9888</v>
      </c>
      <c r="BE586" s="7" t="s">
        <v>118</v>
      </c>
      <c r="BF586" s="7" t="s">
        <v>9889</v>
      </c>
      <c r="BG586" s="7" t="s">
        <v>9890</v>
      </c>
      <c r="BH586" s="7" t="s">
        <v>9891</v>
      </c>
      <c r="BI586" s="19" t="s">
        <v>9892</v>
      </c>
      <c r="BJ586" s="20">
        <v>4000000</v>
      </c>
      <c r="BK586" s="21" t="s">
        <v>9893</v>
      </c>
      <c r="BL586" s="7" t="s">
        <v>9894</v>
      </c>
      <c r="BM586" s="22" t="s">
        <v>9895</v>
      </c>
      <c r="BN586" s="8" t="s">
        <v>237</v>
      </c>
      <c r="BO586" s="17">
        <v>31522</v>
      </c>
      <c r="BP586" s="17"/>
      <c r="BQ586" s="18" t="s">
        <v>9896</v>
      </c>
      <c r="BR586" s="7" t="s">
        <v>118</v>
      </c>
      <c r="BS586" s="7" t="s">
        <v>9897</v>
      </c>
      <c r="BT586" s="7" t="s">
        <v>9898</v>
      </c>
      <c r="BU586" s="8" t="s">
        <v>9899</v>
      </c>
      <c r="BV586" s="23" t="s">
        <v>9896</v>
      </c>
      <c r="BW586" s="24">
        <v>15000000</v>
      </c>
      <c r="BX586" s="21" t="s">
        <v>9900</v>
      </c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N586" s="117"/>
      <c r="CO586" s="117"/>
      <c r="CP586" s="117"/>
      <c r="CQ586" s="117"/>
      <c r="CR586" s="117"/>
      <c r="CS586" s="118"/>
    </row>
    <row r="587" spans="1:97" s="27" customFormat="1" ht="23.25" customHeight="1">
      <c r="A587" s="4">
        <v>508</v>
      </c>
      <c r="B587" s="6"/>
      <c r="C587" s="6"/>
      <c r="D587" s="6"/>
      <c r="E587" s="6"/>
      <c r="F587" s="6"/>
      <c r="G587" s="6"/>
      <c r="H587" s="5"/>
      <c r="I587" s="6"/>
      <c r="J587" s="7" t="s">
        <v>10343</v>
      </c>
      <c r="K587" s="7" t="s">
        <v>10344</v>
      </c>
      <c r="L587" s="8"/>
      <c r="M587" s="5">
        <v>1701</v>
      </c>
      <c r="N587" s="5" t="s">
        <v>10345</v>
      </c>
      <c r="O587" s="9" t="s">
        <v>10346</v>
      </c>
      <c r="P587" s="10" t="s">
        <v>10347</v>
      </c>
      <c r="Q587" s="389" t="s">
        <v>10348</v>
      </c>
      <c r="R587" s="8" t="s">
        <v>11290</v>
      </c>
      <c r="S587" s="212" t="s">
        <v>13584</v>
      </c>
      <c r="T587" s="8" t="s">
        <v>10349</v>
      </c>
      <c r="U587" s="11" t="s">
        <v>93</v>
      </c>
      <c r="V587" s="12" t="s">
        <v>94</v>
      </c>
      <c r="W587" s="13">
        <v>41931</v>
      </c>
      <c r="X587" s="5" t="str">
        <f t="shared" ca="1" si="24"/>
        <v>11 Th, 10 Bln</v>
      </c>
      <c r="Y587" s="5"/>
      <c r="Z587" s="14"/>
      <c r="AA587" s="5" t="s">
        <v>96</v>
      </c>
      <c r="AB587" s="5"/>
      <c r="AC587" s="7" t="s">
        <v>10350</v>
      </c>
      <c r="AD587" s="131"/>
      <c r="AE587" s="131"/>
      <c r="AF587" s="7" t="s">
        <v>240</v>
      </c>
      <c r="AG587" s="7" t="s">
        <v>241</v>
      </c>
      <c r="AH587" s="7" t="s">
        <v>241</v>
      </c>
      <c r="AI587" s="7"/>
      <c r="AJ587" s="7" t="s">
        <v>103</v>
      </c>
      <c r="AK587" s="7"/>
      <c r="AL587" s="7"/>
      <c r="AM587" s="15"/>
      <c r="AN587" s="15"/>
      <c r="AO587" s="8">
        <v>2</v>
      </c>
      <c r="AP587" s="8"/>
      <c r="AQ587" s="8"/>
      <c r="AR587" s="8"/>
      <c r="AS587" s="132" t="s">
        <v>9909</v>
      </c>
      <c r="AT587" s="131" t="s">
        <v>2803</v>
      </c>
      <c r="AU587" s="132"/>
      <c r="AV587" s="16"/>
      <c r="AW587" s="56"/>
      <c r="AX587" s="56"/>
      <c r="AY587" s="7" t="s">
        <v>10351</v>
      </c>
      <c r="AZ587" s="10" t="s">
        <v>10352</v>
      </c>
      <c r="BA587" s="7" t="s">
        <v>94</v>
      </c>
      <c r="BB587" s="17">
        <v>33392</v>
      </c>
      <c r="BC587" s="17"/>
      <c r="BD587" s="18" t="s">
        <v>10353</v>
      </c>
      <c r="BE587" s="7" t="s">
        <v>118</v>
      </c>
      <c r="BF587" s="7" t="s">
        <v>247</v>
      </c>
      <c r="BG587" s="7" t="s">
        <v>248</v>
      </c>
      <c r="BH587" s="7" t="s">
        <v>10354</v>
      </c>
      <c r="BI587" s="19" t="s">
        <v>127</v>
      </c>
      <c r="BJ587" s="20">
        <v>10000000</v>
      </c>
      <c r="BK587" s="21" t="s">
        <v>10355</v>
      </c>
      <c r="BL587" s="7" t="s">
        <v>10356</v>
      </c>
      <c r="BM587" s="22" t="e">
        <f>+APAP18:BM587</f>
        <v>#NAME?</v>
      </c>
      <c r="BN587" s="8"/>
      <c r="BO587" s="17"/>
      <c r="BP587" s="17"/>
      <c r="BQ587" s="18"/>
      <c r="BR587" s="7"/>
      <c r="BS587" s="7"/>
      <c r="BT587" s="7" t="s">
        <v>127</v>
      </c>
      <c r="BU587" s="8" t="s">
        <v>127</v>
      </c>
      <c r="BV587" s="23" t="s">
        <v>127</v>
      </c>
      <c r="BW587" s="24" t="s">
        <v>127</v>
      </c>
      <c r="BX587" s="21" t="s">
        <v>10357</v>
      </c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N587" s="25"/>
      <c r="CO587" s="25"/>
      <c r="CP587" s="25"/>
      <c r="CQ587" s="25"/>
      <c r="CR587" s="25"/>
      <c r="CS587" s="26"/>
    </row>
    <row r="588" spans="1:97" s="27" customFormat="1" ht="23.25" customHeight="1">
      <c r="A588" s="4">
        <v>564</v>
      </c>
      <c r="B588" s="6"/>
      <c r="C588" s="6"/>
      <c r="D588" s="6"/>
      <c r="E588" s="6"/>
      <c r="F588" s="6"/>
      <c r="G588" s="6"/>
      <c r="H588" s="5"/>
      <c r="I588" s="6"/>
      <c r="J588" s="7" t="s">
        <v>287</v>
      </c>
      <c r="K588" s="7" t="s">
        <v>11277</v>
      </c>
      <c r="L588" s="8"/>
      <c r="M588" s="5">
        <v>1702</v>
      </c>
      <c r="N588" s="5">
        <v>144454810</v>
      </c>
      <c r="O588" s="9" t="s">
        <v>6939</v>
      </c>
      <c r="P588" s="10" t="s">
        <v>11278</v>
      </c>
      <c r="Q588" s="389" t="s">
        <v>11279</v>
      </c>
      <c r="R588" s="8" t="s">
        <v>11290</v>
      </c>
      <c r="S588" s="596" t="s">
        <v>13584</v>
      </c>
      <c r="T588" s="8" t="s">
        <v>11280</v>
      </c>
      <c r="U588" s="11" t="s">
        <v>172</v>
      </c>
      <c r="V588" s="12" t="s">
        <v>94</v>
      </c>
      <c r="W588" s="13">
        <v>41913</v>
      </c>
      <c r="X588" s="5" t="str">
        <f t="shared" ca="1" si="24"/>
        <v>11 Th, 11 Bln</v>
      </c>
      <c r="Y588" s="5"/>
      <c r="Z588" s="14"/>
      <c r="AA588" s="5" t="s">
        <v>96</v>
      </c>
      <c r="AB588" s="5"/>
      <c r="AC588" s="7" t="s">
        <v>11281</v>
      </c>
      <c r="AD588" s="131">
        <v>33</v>
      </c>
      <c r="AE588" s="131">
        <v>7</v>
      </c>
      <c r="AF588" s="7" t="s">
        <v>319</v>
      </c>
      <c r="AG588" s="7" t="s">
        <v>140</v>
      </c>
      <c r="AH588" s="7" t="s">
        <v>141</v>
      </c>
      <c r="AI588" s="7"/>
      <c r="AJ588" s="7" t="s">
        <v>142</v>
      </c>
      <c r="AK588" s="7"/>
      <c r="AL588" s="7"/>
      <c r="AM588" s="15"/>
      <c r="AN588" s="15"/>
      <c r="AO588" s="8">
        <v>1</v>
      </c>
      <c r="AP588" s="8"/>
      <c r="AQ588" s="8"/>
      <c r="AR588" s="8"/>
      <c r="AS588" s="132" t="s">
        <v>2762</v>
      </c>
      <c r="AT588" s="131" t="s">
        <v>4649</v>
      </c>
      <c r="AU588" s="132"/>
      <c r="AV588" s="16"/>
      <c r="AW588" s="56"/>
      <c r="AX588" s="56"/>
      <c r="AY588" s="7" t="s">
        <v>6944</v>
      </c>
      <c r="AZ588" s="10" t="s">
        <v>6945</v>
      </c>
      <c r="BA588" s="7" t="s">
        <v>94</v>
      </c>
      <c r="BB588" s="17">
        <v>30590</v>
      </c>
      <c r="BC588" s="17"/>
      <c r="BD588" s="18" t="s">
        <v>11282</v>
      </c>
      <c r="BE588" s="7" t="s">
        <v>118</v>
      </c>
      <c r="BF588" s="7" t="s">
        <v>11283</v>
      </c>
      <c r="BG588" s="7" t="s">
        <v>6947</v>
      </c>
      <c r="BH588" s="7" t="s">
        <v>11284</v>
      </c>
      <c r="BI588" s="19" t="s">
        <v>11285</v>
      </c>
      <c r="BJ588" s="20">
        <v>20000000</v>
      </c>
      <c r="BK588" s="21" t="s">
        <v>11286</v>
      </c>
      <c r="BL588" s="7" t="s">
        <v>6951</v>
      </c>
      <c r="BM588" s="22" t="s">
        <v>6952</v>
      </c>
      <c r="BN588" s="8" t="s">
        <v>3761</v>
      </c>
      <c r="BO588" s="17">
        <v>30262</v>
      </c>
      <c r="BP588" s="17"/>
      <c r="BQ588" s="18" t="s">
        <v>6943</v>
      </c>
      <c r="BR588" s="7" t="s">
        <v>153</v>
      </c>
      <c r="BS588" s="7" t="s">
        <v>6953</v>
      </c>
      <c r="BT588" s="7" t="s">
        <v>6854</v>
      </c>
      <c r="BU588" s="8" t="s">
        <v>11287</v>
      </c>
      <c r="BV588" s="23" t="s">
        <v>11288</v>
      </c>
      <c r="BW588" s="24">
        <v>20000000</v>
      </c>
      <c r="BX588" s="21" t="s">
        <v>11289</v>
      </c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N588" s="25"/>
      <c r="CO588" s="25"/>
      <c r="CP588" s="25"/>
      <c r="CQ588" s="25"/>
      <c r="CR588" s="25"/>
      <c r="CS588" s="26"/>
    </row>
    <row r="589" spans="1:97" s="27" customFormat="1" ht="27.75" customHeight="1">
      <c r="A589" s="4">
        <v>480</v>
      </c>
      <c r="B589" s="6"/>
      <c r="C589" s="6"/>
      <c r="D589" s="6"/>
      <c r="E589" s="6"/>
      <c r="F589" s="6"/>
      <c r="G589" s="6"/>
      <c r="H589" s="5"/>
      <c r="I589" s="6"/>
      <c r="J589" s="7" t="s">
        <v>9901</v>
      </c>
      <c r="K589" s="7" t="s">
        <v>9902</v>
      </c>
      <c r="L589" s="8"/>
      <c r="M589" s="5">
        <v>1703</v>
      </c>
      <c r="N589" s="5" t="s">
        <v>9903</v>
      </c>
      <c r="O589" s="9" t="s">
        <v>9904</v>
      </c>
      <c r="P589" s="10" t="s">
        <v>9905</v>
      </c>
      <c r="Q589" s="389" t="s">
        <v>9906</v>
      </c>
      <c r="R589" s="8" t="s">
        <v>11290</v>
      </c>
      <c r="S589" s="212" t="s">
        <v>13584</v>
      </c>
      <c r="T589" s="8" t="s">
        <v>9907</v>
      </c>
      <c r="U589" s="11" t="s">
        <v>172</v>
      </c>
      <c r="V589" s="12" t="s">
        <v>94</v>
      </c>
      <c r="W589" s="13">
        <v>41935</v>
      </c>
      <c r="X589" s="5" t="str">
        <f t="shared" ca="1" si="24"/>
        <v>11 Th, 10 Bln</v>
      </c>
      <c r="Y589" s="5"/>
      <c r="Z589" s="14"/>
      <c r="AA589" s="5" t="s">
        <v>96</v>
      </c>
      <c r="AB589" s="5"/>
      <c r="AC589" s="7" t="s">
        <v>9908</v>
      </c>
      <c r="AD589" s="131"/>
      <c r="AE589" s="131"/>
      <c r="AF589" s="7" t="s">
        <v>1740</v>
      </c>
      <c r="AG589" s="7" t="s">
        <v>178</v>
      </c>
      <c r="AH589" s="7" t="s">
        <v>178</v>
      </c>
      <c r="AI589" s="7"/>
      <c r="AJ589" s="7" t="s">
        <v>103</v>
      </c>
      <c r="AK589" s="7"/>
      <c r="AL589" s="7"/>
      <c r="AM589" s="15">
        <v>0</v>
      </c>
      <c r="AN589" s="15"/>
      <c r="AO589" s="8">
        <v>2</v>
      </c>
      <c r="AP589" s="8"/>
      <c r="AQ589" s="8"/>
      <c r="AR589" s="8"/>
      <c r="AS589" s="132" t="s">
        <v>9909</v>
      </c>
      <c r="AT589" s="131" t="s">
        <v>9910</v>
      </c>
      <c r="AU589" s="132"/>
      <c r="AV589" s="16"/>
      <c r="AW589" s="56"/>
      <c r="AX589" s="56"/>
      <c r="AY589" s="7" t="s">
        <v>9911</v>
      </c>
      <c r="AZ589" s="10" t="s">
        <v>9912</v>
      </c>
      <c r="BA589" s="7" t="s">
        <v>94</v>
      </c>
      <c r="BB589" s="17">
        <v>29489</v>
      </c>
      <c r="BC589" s="17"/>
      <c r="BD589" s="18" t="s">
        <v>9517</v>
      </c>
      <c r="BE589" s="7" t="s">
        <v>153</v>
      </c>
      <c r="BF589" s="7" t="s">
        <v>2103</v>
      </c>
      <c r="BG589" s="7" t="s">
        <v>9913</v>
      </c>
      <c r="BH589" s="7" t="s">
        <v>9914</v>
      </c>
      <c r="BI589" s="19" t="s">
        <v>9915</v>
      </c>
      <c r="BJ589" s="20">
        <v>4500000</v>
      </c>
      <c r="BK589" s="21" t="s">
        <v>9916</v>
      </c>
      <c r="BL589" s="7" t="s">
        <v>9917</v>
      </c>
      <c r="BM589" s="22" t="s">
        <v>9918</v>
      </c>
      <c r="BN589" s="8" t="s">
        <v>603</v>
      </c>
      <c r="BO589" s="17">
        <v>31633</v>
      </c>
      <c r="BP589" s="17"/>
      <c r="BQ589" s="18">
        <v>2147483647</v>
      </c>
      <c r="BR589" s="7" t="s">
        <v>153</v>
      </c>
      <c r="BS589" s="7" t="s">
        <v>154</v>
      </c>
      <c r="BT589" s="7" t="s">
        <v>9919</v>
      </c>
      <c r="BU589" s="8" t="s">
        <v>9920</v>
      </c>
      <c r="BV589" s="23" t="s">
        <v>9921</v>
      </c>
      <c r="BW589" s="24">
        <v>1000000</v>
      </c>
      <c r="BX589" s="21" t="s">
        <v>9922</v>
      </c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N589" s="25"/>
      <c r="CO589" s="25"/>
      <c r="CP589" s="25"/>
      <c r="CQ589" s="25"/>
      <c r="CR589" s="25"/>
      <c r="CS589" s="26"/>
    </row>
    <row r="590" spans="1:97" s="27" customFormat="1" ht="23.25" customHeight="1">
      <c r="A590" s="4">
        <v>509</v>
      </c>
      <c r="B590" s="6"/>
      <c r="C590" s="6"/>
      <c r="D590" s="6"/>
      <c r="E590" s="6"/>
      <c r="F590" s="6"/>
      <c r="G590" s="6"/>
      <c r="H590" s="5"/>
      <c r="I590" s="6"/>
      <c r="J590" s="7" t="s">
        <v>4308</v>
      </c>
      <c r="K590" s="7" t="s">
        <v>10358</v>
      </c>
      <c r="L590" s="8"/>
      <c r="M590" s="5">
        <v>1605</v>
      </c>
      <c r="N590" s="5">
        <v>3155302213</v>
      </c>
      <c r="O590" s="9" t="s">
        <v>10359</v>
      </c>
      <c r="P590" s="10" t="s">
        <v>10360</v>
      </c>
      <c r="Q590" s="389" t="s">
        <v>10361</v>
      </c>
      <c r="R590" s="8" t="s">
        <v>11294</v>
      </c>
      <c r="S590" s="212" t="s">
        <v>13585</v>
      </c>
      <c r="T590" s="8" t="s">
        <v>10363</v>
      </c>
      <c r="U590" s="11" t="s">
        <v>93</v>
      </c>
      <c r="V590" s="12" t="s">
        <v>94</v>
      </c>
      <c r="W590" s="13">
        <v>42055</v>
      </c>
      <c r="X590" s="5" t="str">
        <f t="shared" ca="1" si="24"/>
        <v>11 Th, 6 Bln</v>
      </c>
      <c r="Y590" s="5"/>
      <c r="Z590" s="14"/>
      <c r="AA590" s="5" t="s">
        <v>96</v>
      </c>
      <c r="AB590" s="5"/>
      <c r="AC590" s="7" t="s">
        <v>10364</v>
      </c>
      <c r="AD590" s="131">
        <v>24</v>
      </c>
      <c r="AE590" s="131">
        <v>6</v>
      </c>
      <c r="AF590" s="7" t="s">
        <v>1155</v>
      </c>
      <c r="AG590" s="7" t="s">
        <v>140</v>
      </c>
      <c r="AH590" s="7" t="s">
        <v>141</v>
      </c>
      <c r="AI590" s="7"/>
      <c r="AJ590" s="7" t="s">
        <v>142</v>
      </c>
      <c r="AK590" s="7"/>
      <c r="AL590" s="7"/>
      <c r="AM590" s="15">
        <v>0</v>
      </c>
      <c r="AN590" s="15"/>
      <c r="AO590" s="8">
        <v>1</v>
      </c>
      <c r="AP590" s="8"/>
      <c r="AQ590" s="8"/>
      <c r="AR590" s="8"/>
      <c r="AS590" s="132" t="s">
        <v>10365</v>
      </c>
      <c r="AT590" s="131" t="s">
        <v>9974</v>
      </c>
      <c r="AU590" s="132"/>
      <c r="AV590" s="16"/>
      <c r="AW590" s="56"/>
      <c r="AX590" s="56"/>
      <c r="AY590" s="7" t="s">
        <v>4316</v>
      </c>
      <c r="AZ590" s="10" t="s">
        <v>4317</v>
      </c>
      <c r="BA590" s="7" t="s">
        <v>94</v>
      </c>
      <c r="BB590" s="17">
        <v>31839</v>
      </c>
      <c r="BC590" s="17"/>
      <c r="BD590" s="18" t="s">
        <v>9517</v>
      </c>
      <c r="BE590" s="7" t="s">
        <v>118</v>
      </c>
      <c r="BF590" s="7" t="s">
        <v>247</v>
      </c>
      <c r="BG590" s="7" t="s">
        <v>247</v>
      </c>
      <c r="BH590" s="7" t="s">
        <v>10366</v>
      </c>
      <c r="BI590" s="19" t="s">
        <v>9517</v>
      </c>
      <c r="BJ590" s="20">
        <v>1000000</v>
      </c>
      <c r="BK590" s="21" t="s">
        <v>10367</v>
      </c>
      <c r="BL590" s="7" t="s">
        <v>4320</v>
      </c>
      <c r="BM590" s="22" t="s">
        <v>4321</v>
      </c>
      <c r="BN590" s="8" t="s">
        <v>94</v>
      </c>
      <c r="BO590" s="17">
        <v>31835</v>
      </c>
      <c r="BP590" s="17"/>
      <c r="BQ590" s="18">
        <v>2147483647</v>
      </c>
      <c r="BR590" s="7" t="s">
        <v>118</v>
      </c>
      <c r="BS590" s="7" t="s">
        <v>119</v>
      </c>
      <c r="BT590" s="7" t="s">
        <v>10368</v>
      </c>
      <c r="BU590" s="8" t="s">
        <v>10369</v>
      </c>
      <c r="BV590" s="23" t="s">
        <v>10370</v>
      </c>
      <c r="BW590" s="24">
        <v>3500000</v>
      </c>
      <c r="BX590" s="21" t="s">
        <v>10371</v>
      </c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N590" s="25"/>
      <c r="CO590" s="25"/>
      <c r="CP590" s="25"/>
      <c r="CQ590" s="25"/>
      <c r="CR590" s="25"/>
      <c r="CS590" s="26"/>
    </row>
    <row r="591" spans="1:97" s="27" customFormat="1" ht="23.25" customHeight="1">
      <c r="A591" s="4">
        <v>453</v>
      </c>
      <c r="B591" s="6"/>
      <c r="C591" s="6"/>
      <c r="D591" s="6"/>
      <c r="E591" s="6"/>
      <c r="F591" s="6"/>
      <c r="G591" s="6"/>
      <c r="H591" s="5"/>
      <c r="I591" s="6"/>
      <c r="J591" s="7" t="s">
        <v>9442</v>
      </c>
      <c r="K591" s="7" t="s">
        <v>9443</v>
      </c>
      <c r="L591" s="8"/>
      <c r="M591" s="5">
        <v>1606</v>
      </c>
      <c r="N591" s="5" t="s">
        <v>9444</v>
      </c>
      <c r="O591" s="9" t="s">
        <v>9445</v>
      </c>
      <c r="P591" s="10" t="s">
        <v>9446</v>
      </c>
      <c r="Q591" s="389" t="s">
        <v>9447</v>
      </c>
      <c r="R591" s="8" t="s">
        <v>11294</v>
      </c>
      <c r="S591" s="212" t="s">
        <v>13585</v>
      </c>
      <c r="T591" s="8" t="s">
        <v>1152</v>
      </c>
      <c r="U591" s="11" t="s">
        <v>172</v>
      </c>
      <c r="V591" s="12" t="s">
        <v>5343</v>
      </c>
      <c r="W591" s="13">
        <v>41834</v>
      </c>
      <c r="X591" s="5" t="str">
        <f t="shared" ca="1" si="24"/>
        <v>12 Th, 2 Bln</v>
      </c>
      <c r="Y591" s="5"/>
      <c r="Z591" s="14"/>
      <c r="AA591" s="5" t="s">
        <v>96</v>
      </c>
      <c r="AB591" s="5"/>
      <c r="AC591" s="7" t="s">
        <v>9449</v>
      </c>
      <c r="AD591" s="131"/>
      <c r="AE591" s="131"/>
      <c r="AF591" s="7" t="s">
        <v>615</v>
      </c>
      <c r="AG591" s="7" t="s">
        <v>178</v>
      </c>
      <c r="AH591" s="7" t="s">
        <v>178</v>
      </c>
      <c r="AI591" s="7"/>
      <c r="AJ591" s="7" t="s">
        <v>103</v>
      </c>
      <c r="AK591" s="7"/>
      <c r="AL591" s="7"/>
      <c r="AM591" s="15" t="s">
        <v>127</v>
      </c>
      <c r="AN591" s="15"/>
      <c r="AO591" s="8">
        <v>2</v>
      </c>
      <c r="AP591" s="8"/>
      <c r="AQ591" s="8"/>
      <c r="AR591" s="8"/>
      <c r="AS591" s="132" t="s">
        <v>2779</v>
      </c>
      <c r="AT591" s="131" t="s">
        <v>2483</v>
      </c>
      <c r="AU591" s="132"/>
      <c r="AV591" s="16"/>
      <c r="AW591" s="56"/>
      <c r="AX591" s="56"/>
      <c r="AY591" s="7" t="s">
        <v>2949</v>
      </c>
      <c r="AZ591" s="10" t="s">
        <v>2939</v>
      </c>
      <c r="BA591" s="7" t="s">
        <v>469</v>
      </c>
      <c r="BB591" s="17">
        <v>30995</v>
      </c>
      <c r="BC591" s="17"/>
      <c r="BD591" s="18" t="s">
        <v>2940</v>
      </c>
      <c r="BE591" s="7" t="s">
        <v>9450</v>
      </c>
      <c r="BF591" s="7" t="s">
        <v>1526</v>
      </c>
      <c r="BG591" s="7" t="s">
        <v>9451</v>
      </c>
      <c r="BH591" s="7" t="s">
        <v>9452</v>
      </c>
      <c r="BI591" s="19" t="s">
        <v>2940</v>
      </c>
      <c r="BJ591" s="20">
        <v>30000000</v>
      </c>
      <c r="BK591" s="21" t="s">
        <v>9453</v>
      </c>
      <c r="BL591" s="7" t="s">
        <v>9454</v>
      </c>
      <c r="BM591" s="22" t="s">
        <v>2947</v>
      </c>
      <c r="BN591" s="8" t="s">
        <v>469</v>
      </c>
      <c r="BO591" s="17">
        <v>31567</v>
      </c>
      <c r="BP591" s="17"/>
      <c r="BQ591" s="18" t="s">
        <v>2935</v>
      </c>
      <c r="BR591" s="7" t="s">
        <v>9455</v>
      </c>
      <c r="BS591" s="7" t="s">
        <v>126</v>
      </c>
      <c r="BT591" s="7" t="s">
        <v>127</v>
      </c>
      <c r="BU591" s="8" t="s">
        <v>127</v>
      </c>
      <c r="BV591" s="23" t="s">
        <v>127</v>
      </c>
      <c r="BW591" s="24" t="s">
        <v>127</v>
      </c>
      <c r="BX591" s="21" t="s">
        <v>9456</v>
      </c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N591" s="25"/>
      <c r="CO591" s="25"/>
      <c r="CP591" s="25"/>
      <c r="CQ591" s="25"/>
      <c r="CR591" s="25"/>
      <c r="CS591" s="26"/>
    </row>
    <row r="592" spans="1:97" s="27" customFormat="1" ht="23.25" customHeight="1">
      <c r="A592" s="4">
        <v>482</v>
      </c>
      <c r="B592" s="6"/>
      <c r="C592" s="6"/>
      <c r="D592" s="6"/>
      <c r="E592" s="6"/>
      <c r="F592" s="6"/>
      <c r="G592" s="6"/>
      <c r="H592" s="5"/>
      <c r="I592" s="6"/>
      <c r="J592" s="7" t="s">
        <v>166</v>
      </c>
      <c r="K592" s="7" t="s">
        <v>9923</v>
      </c>
      <c r="L592" s="8"/>
      <c r="M592" s="5">
        <v>1609</v>
      </c>
      <c r="N592" s="5" t="s">
        <v>9924</v>
      </c>
      <c r="O592" s="9" t="s">
        <v>9925</v>
      </c>
      <c r="P592" s="10" t="s">
        <v>9926</v>
      </c>
      <c r="Q592" s="389" t="s">
        <v>9927</v>
      </c>
      <c r="R592" s="8" t="s">
        <v>11294</v>
      </c>
      <c r="S592" s="212" t="s">
        <v>13585</v>
      </c>
      <c r="T592" s="8" t="s">
        <v>9929</v>
      </c>
      <c r="U592" s="11" t="s">
        <v>172</v>
      </c>
      <c r="V592" s="12" t="s">
        <v>94</v>
      </c>
      <c r="W592" s="13">
        <v>41868</v>
      </c>
      <c r="X592" s="5" t="str">
        <f t="shared" ca="1" si="24"/>
        <v>12 Th, 0 Bln</v>
      </c>
      <c r="Y592" s="5"/>
      <c r="Z592" s="14"/>
      <c r="AA592" s="5" t="s">
        <v>96</v>
      </c>
      <c r="AB592" s="5"/>
      <c r="AC592" s="7" t="s">
        <v>9930</v>
      </c>
      <c r="AD592" s="131">
        <v>5</v>
      </c>
      <c r="AE592" s="131">
        <v>8</v>
      </c>
      <c r="AF592" s="7" t="s">
        <v>615</v>
      </c>
      <c r="AG592" s="7" t="s">
        <v>178</v>
      </c>
      <c r="AH592" s="7" t="s">
        <v>178</v>
      </c>
      <c r="AI592" s="7"/>
      <c r="AJ592" s="7" t="s">
        <v>103</v>
      </c>
      <c r="AK592" s="7"/>
      <c r="AL592" s="7"/>
      <c r="AM592" s="15" t="s">
        <v>9931</v>
      </c>
      <c r="AN592" s="15"/>
      <c r="AO592" s="8">
        <v>4</v>
      </c>
      <c r="AP592" s="8"/>
      <c r="AQ592" s="8"/>
      <c r="AR592" s="8"/>
      <c r="AS592" s="132" t="s">
        <v>2958</v>
      </c>
      <c r="AT592" s="131" t="s">
        <v>9932</v>
      </c>
      <c r="AU592" s="132"/>
      <c r="AV592" s="16"/>
      <c r="AW592" s="56"/>
      <c r="AX592" s="56"/>
      <c r="AY592" s="7" t="s">
        <v>9933</v>
      </c>
      <c r="AZ592" s="10" t="s">
        <v>9934</v>
      </c>
      <c r="BA592" s="7" t="s">
        <v>1666</v>
      </c>
      <c r="BB592" s="17">
        <v>23437</v>
      </c>
      <c r="BC592" s="17"/>
      <c r="BD592" s="18" t="s">
        <v>9931</v>
      </c>
      <c r="BE592" s="7" t="s">
        <v>9935</v>
      </c>
      <c r="BF592" s="7" t="s">
        <v>9936</v>
      </c>
      <c r="BG592" s="7" t="s">
        <v>9937</v>
      </c>
      <c r="BH592" s="7" t="s">
        <v>9938</v>
      </c>
      <c r="BI592" s="19" t="s">
        <v>9939</v>
      </c>
      <c r="BJ592" s="20">
        <v>25000000</v>
      </c>
      <c r="BK592" s="21" t="s">
        <v>9940</v>
      </c>
      <c r="BL592" s="7" t="s">
        <v>9941</v>
      </c>
      <c r="BM592" s="22" t="s">
        <v>9942</v>
      </c>
      <c r="BN592" s="8" t="s">
        <v>1666</v>
      </c>
      <c r="BO592" s="17">
        <v>29114</v>
      </c>
      <c r="BP592" s="17"/>
      <c r="BQ592" s="18" t="s">
        <v>9931</v>
      </c>
      <c r="BR592" s="7" t="s">
        <v>4783</v>
      </c>
      <c r="BS592" s="7" t="s">
        <v>126</v>
      </c>
      <c r="BT592" s="7" t="s">
        <v>6077</v>
      </c>
      <c r="BU592" s="8" t="s">
        <v>6077</v>
      </c>
      <c r="BV592" s="23" t="s">
        <v>127</v>
      </c>
      <c r="BW592" s="24" t="s">
        <v>127</v>
      </c>
      <c r="BX592" s="21" t="s">
        <v>9943</v>
      </c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N592" s="25"/>
      <c r="CO592" s="25"/>
      <c r="CP592" s="25"/>
      <c r="CQ592" s="25"/>
      <c r="CR592" s="25"/>
      <c r="CS592" s="26"/>
    </row>
    <row r="593" spans="1:97" s="27" customFormat="1" ht="23.25" customHeight="1">
      <c r="A593" s="4">
        <v>455</v>
      </c>
      <c r="B593" s="6"/>
      <c r="C593" s="6"/>
      <c r="D593" s="6"/>
      <c r="E593" s="6"/>
      <c r="F593" s="6"/>
      <c r="G593" s="6"/>
      <c r="H593" s="5"/>
      <c r="I593" s="6"/>
      <c r="J593" s="7" t="s">
        <v>4181</v>
      </c>
      <c r="K593" s="7" t="s">
        <v>9469</v>
      </c>
      <c r="L593" s="8"/>
      <c r="M593" s="5">
        <v>1610</v>
      </c>
      <c r="N593" s="5" t="s">
        <v>9470</v>
      </c>
      <c r="O593" s="9" t="s">
        <v>9471</v>
      </c>
      <c r="P593" s="10" t="s">
        <v>9472</v>
      </c>
      <c r="Q593" s="389" t="s">
        <v>9473</v>
      </c>
      <c r="R593" s="8" t="s">
        <v>11294</v>
      </c>
      <c r="S593" s="212" t="s">
        <v>13585</v>
      </c>
      <c r="T593" s="8" t="s">
        <v>9249</v>
      </c>
      <c r="U593" s="11" t="s">
        <v>172</v>
      </c>
      <c r="V593" s="12" t="s">
        <v>94</v>
      </c>
      <c r="W593" s="13">
        <v>41800</v>
      </c>
      <c r="X593" s="5" t="str">
        <f t="shared" ca="1" si="24"/>
        <v>12 Th, 3 Bln</v>
      </c>
      <c r="Y593" s="5"/>
      <c r="Z593" s="14"/>
      <c r="AA593" s="5" t="s">
        <v>96</v>
      </c>
      <c r="AB593" s="5"/>
      <c r="AC593" s="7" t="s">
        <v>9474</v>
      </c>
      <c r="AD593" s="131">
        <v>5</v>
      </c>
      <c r="AE593" s="131">
        <v>6</v>
      </c>
      <c r="AF593" s="7" t="s">
        <v>240</v>
      </c>
      <c r="AG593" s="7" t="s">
        <v>241</v>
      </c>
      <c r="AH593" s="7" t="s">
        <v>241</v>
      </c>
      <c r="AI593" s="7"/>
      <c r="AJ593" s="7" t="s">
        <v>103</v>
      </c>
      <c r="AK593" s="7"/>
      <c r="AL593" s="7"/>
      <c r="AM593" s="15" t="s">
        <v>127</v>
      </c>
      <c r="AN593" s="15"/>
      <c r="AO593" s="8">
        <v>1</v>
      </c>
      <c r="AP593" s="8"/>
      <c r="AQ593" s="8"/>
      <c r="AR593" s="8"/>
      <c r="AS593" s="132" t="s">
        <v>9475</v>
      </c>
      <c r="AT593" s="131" t="s">
        <v>9476</v>
      </c>
      <c r="AU593" s="132"/>
      <c r="AV593" s="16"/>
      <c r="AW593" s="56"/>
      <c r="AX593" s="56"/>
      <c r="AY593" s="7" t="s">
        <v>9477</v>
      </c>
      <c r="AZ593" s="10" t="s">
        <v>4191</v>
      </c>
      <c r="BA593" s="7" t="s">
        <v>94</v>
      </c>
      <c r="BB593" s="17">
        <v>30464</v>
      </c>
      <c r="BC593" s="17"/>
      <c r="BD593" s="18" t="s">
        <v>9478</v>
      </c>
      <c r="BE593" s="7" t="s">
        <v>118</v>
      </c>
      <c r="BF593" s="7" t="s">
        <v>247</v>
      </c>
      <c r="BG593" s="7" t="s">
        <v>127</v>
      </c>
      <c r="BH593" s="7" t="s">
        <v>9479</v>
      </c>
      <c r="BI593" s="19" t="s">
        <v>127</v>
      </c>
      <c r="BJ593" s="20" t="s">
        <v>9480</v>
      </c>
      <c r="BK593" s="21" t="s">
        <v>4194</v>
      </c>
      <c r="BL593" s="7" t="s">
        <v>9481</v>
      </c>
      <c r="BM593" s="22" t="s">
        <v>4196</v>
      </c>
      <c r="BN593" s="8" t="s">
        <v>94</v>
      </c>
      <c r="BO593" s="17">
        <v>30548</v>
      </c>
      <c r="BP593" s="17"/>
      <c r="BQ593" s="18" t="s">
        <v>9482</v>
      </c>
      <c r="BR593" s="7" t="s">
        <v>153</v>
      </c>
      <c r="BS593" s="7" t="s">
        <v>980</v>
      </c>
      <c r="BT593" s="7" t="s">
        <v>981</v>
      </c>
      <c r="BU593" s="8" t="s">
        <v>9483</v>
      </c>
      <c r="BV593" s="23" t="s">
        <v>4200</v>
      </c>
      <c r="BW593" s="24" t="s">
        <v>9484</v>
      </c>
      <c r="BX593" s="21" t="s">
        <v>9485</v>
      </c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N593" s="25"/>
      <c r="CO593" s="25"/>
      <c r="CP593" s="25"/>
      <c r="CQ593" s="25"/>
      <c r="CR593" s="25"/>
      <c r="CS593" s="26"/>
    </row>
    <row r="594" spans="1:97" s="27" customFormat="1" ht="23.25" customHeight="1">
      <c r="A594" s="4">
        <v>487</v>
      </c>
      <c r="B594" s="6"/>
      <c r="C594" s="6"/>
      <c r="D594" s="6"/>
      <c r="E594" s="6"/>
      <c r="F594" s="6"/>
      <c r="G594" s="6"/>
      <c r="H594" s="5"/>
      <c r="I594" s="6"/>
      <c r="J594" s="7" t="s">
        <v>166</v>
      </c>
      <c r="K594" s="7" t="s">
        <v>8547</v>
      </c>
      <c r="L594" s="8"/>
      <c r="M594" s="5">
        <v>1620</v>
      </c>
      <c r="N594" s="5" t="s">
        <v>10023</v>
      </c>
      <c r="O594" s="9" t="s">
        <v>10024</v>
      </c>
      <c r="P594" s="10" t="s">
        <v>10025</v>
      </c>
      <c r="Q594" s="389" t="s">
        <v>10026</v>
      </c>
      <c r="R594" s="8" t="s">
        <v>11294</v>
      </c>
      <c r="S594" s="212" t="s">
        <v>13585</v>
      </c>
      <c r="T594" s="8" t="s">
        <v>10027</v>
      </c>
      <c r="U594" s="11" t="s">
        <v>93</v>
      </c>
      <c r="V594" s="12" t="s">
        <v>395</v>
      </c>
      <c r="W594" s="13">
        <v>41883</v>
      </c>
      <c r="X594" s="5" t="str">
        <f t="shared" ca="1" si="24"/>
        <v>12 Th, 0 Bln</v>
      </c>
      <c r="Y594" s="5"/>
      <c r="Z594" s="14"/>
      <c r="AA594" s="5" t="s">
        <v>96</v>
      </c>
      <c r="AB594" s="5"/>
      <c r="AC594" s="7" t="s">
        <v>10028</v>
      </c>
      <c r="AD594" s="131">
        <v>7</v>
      </c>
      <c r="AE594" s="131">
        <v>6</v>
      </c>
      <c r="AF594" s="7" t="s">
        <v>240</v>
      </c>
      <c r="AG594" s="7" t="s">
        <v>241</v>
      </c>
      <c r="AH594" s="7" t="s">
        <v>241</v>
      </c>
      <c r="AI594" s="7"/>
      <c r="AJ594" s="7" t="s">
        <v>103</v>
      </c>
      <c r="AK594" s="7"/>
      <c r="AL594" s="7"/>
      <c r="AM594" s="15">
        <v>0</v>
      </c>
      <c r="AN594" s="15"/>
      <c r="AO594" s="8">
        <v>1</v>
      </c>
      <c r="AP594" s="8"/>
      <c r="AQ594" s="8"/>
      <c r="AR594" s="8"/>
      <c r="AS594" s="132" t="s">
        <v>3290</v>
      </c>
      <c r="AT594" s="131" t="s">
        <v>4476</v>
      </c>
      <c r="AU594" s="132"/>
      <c r="AV594" s="16"/>
      <c r="AW594" s="56"/>
      <c r="AX594" s="56"/>
      <c r="AY594" s="7" t="s">
        <v>10029</v>
      </c>
      <c r="AZ594" s="10" t="s">
        <v>10030</v>
      </c>
      <c r="BA594" s="7" t="s">
        <v>4399</v>
      </c>
      <c r="BB594" s="17">
        <v>32440</v>
      </c>
      <c r="BC594" s="17"/>
      <c r="BD594" s="18">
        <v>2147483647</v>
      </c>
      <c r="BE594" s="7" t="s">
        <v>153</v>
      </c>
      <c r="BF594" s="7" t="s">
        <v>1380</v>
      </c>
      <c r="BG594" s="7" t="s">
        <v>226</v>
      </c>
      <c r="BH594" s="7" t="s">
        <v>10031</v>
      </c>
      <c r="BI594" s="19" t="s">
        <v>7732</v>
      </c>
      <c r="BJ594" s="20">
        <v>3000000</v>
      </c>
      <c r="BK594" s="21" t="s">
        <v>10032</v>
      </c>
      <c r="BL594" s="7" t="s">
        <v>10033</v>
      </c>
      <c r="BM594" s="22" t="s">
        <v>10034</v>
      </c>
      <c r="BN594" s="8" t="s">
        <v>395</v>
      </c>
      <c r="BO594" s="17">
        <v>32348</v>
      </c>
      <c r="BP594" s="17"/>
      <c r="BQ594" s="18">
        <v>2147483647</v>
      </c>
      <c r="BR594" s="7" t="s">
        <v>10035</v>
      </c>
      <c r="BS594" s="7" t="s">
        <v>126</v>
      </c>
      <c r="BT594" s="7" t="s">
        <v>127</v>
      </c>
      <c r="BU594" s="8" t="s">
        <v>127</v>
      </c>
      <c r="BV594" s="23">
        <v>0</v>
      </c>
      <c r="BW594" s="24">
        <v>0</v>
      </c>
      <c r="BX594" s="21" t="s">
        <v>10036</v>
      </c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N594" s="25"/>
      <c r="CO594" s="25"/>
      <c r="CP594" s="25"/>
      <c r="CQ594" s="25"/>
      <c r="CR594" s="25"/>
      <c r="CS594" s="26"/>
    </row>
    <row r="595" spans="1:97" s="27" customFormat="1" ht="23.25" customHeight="1">
      <c r="A595" s="4">
        <v>459</v>
      </c>
      <c r="B595" s="6"/>
      <c r="C595" s="6"/>
      <c r="D595" s="6"/>
      <c r="E595" s="6"/>
      <c r="F595" s="6"/>
      <c r="G595" s="6"/>
      <c r="H595" s="5"/>
      <c r="I595" s="6"/>
      <c r="J595" s="7" t="s">
        <v>9539</v>
      </c>
      <c r="K595" s="7" t="s">
        <v>9540</v>
      </c>
      <c r="L595" s="8"/>
      <c r="M595" s="5">
        <v>1625</v>
      </c>
      <c r="N595" s="5">
        <v>146594879</v>
      </c>
      <c r="O595" s="9" t="s">
        <v>352</v>
      </c>
      <c r="P595" s="10" t="s">
        <v>9541</v>
      </c>
      <c r="Q595" s="389" t="s">
        <v>9542</v>
      </c>
      <c r="R595" s="8" t="s">
        <v>11294</v>
      </c>
      <c r="S595" s="212" t="s">
        <v>13585</v>
      </c>
      <c r="T595" s="8" t="s">
        <v>9543</v>
      </c>
      <c r="U595" s="11" t="s">
        <v>93</v>
      </c>
      <c r="V595" s="12" t="s">
        <v>94</v>
      </c>
      <c r="W595" s="13">
        <v>41836</v>
      </c>
      <c r="X595" s="5" t="str">
        <f t="shared" ca="1" si="24"/>
        <v>12 Th, 2 Bln</v>
      </c>
      <c r="Y595" s="5"/>
      <c r="Z595" s="14"/>
      <c r="AA595" s="5" t="s">
        <v>96</v>
      </c>
      <c r="AB595" s="5"/>
      <c r="AC595" s="7" t="s">
        <v>9544</v>
      </c>
      <c r="AD595" s="131">
        <v>6</v>
      </c>
      <c r="AE595" s="131">
        <v>6</v>
      </c>
      <c r="AF595" s="7" t="s">
        <v>359</v>
      </c>
      <c r="AG595" s="7" t="s">
        <v>241</v>
      </c>
      <c r="AH595" s="7" t="s">
        <v>241</v>
      </c>
      <c r="AI595" s="7"/>
      <c r="AJ595" s="7" t="s">
        <v>2024</v>
      </c>
      <c r="AK595" s="7"/>
      <c r="AL595" s="7"/>
      <c r="AM595" s="15" t="s">
        <v>127</v>
      </c>
      <c r="AN595" s="15"/>
      <c r="AO595" s="8">
        <v>1</v>
      </c>
      <c r="AP595" s="8"/>
      <c r="AQ595" s="8"/>
      <c r="AR595" s="8"/>
      <c r="AS595" s="132" t="s">
        <v>9545</v>
      </c>
      <c r="AT595" s="131" t="s">
        <v>1178</v>
      </c>
      <c r="AU595" s="132"/>
      <c r="AV595" s="16"/>
      <c r="AW595" s="56"/>
      <c r="AX595" s="56"/>
      <c r="AY595" s="7" t="s">
        <v>9546</v>
      </c>
      <c r="AZ595" s="10" t="s">
        <v>365</v>
      </c>
      <c r="BA595" s="7" t="s">
        <v>94</v>
      </c>
      <c r="BB595" s="17">
        <v>30739</v>
      </c>
      <c r="BC595" s="17"/>
      <c r="BD595" s="18" t="s">
        <v>361</v>
      </c>
      <c r="BE595" s="7" t="s">
        <v>4783</v>
      </c>
      <c r="BF595" s="7" t="s">
        <v>9547</v>
      </c>
      <c r="BG595" s="7" t="s">
        <v>9548</v>
      </c>
      <c r="BH595" s="7" t="s">
        <v>9549</v>
      </c>
      <c r="BI595" s="19" t="s">
        <v>9550</v>
      </c>
      <c r="BJ595" s="20">
        <v>2000000</v>
      </c>
      <c r="BK595" s="21" t="s">
        <v>9551</v>
      </c>
      <c r="BL595" s="7" t="s">
        <v>9552</v>
      </c>
      <c r="BM595" s="22" t="s">
        <v>371</v>
      </c>
      <c r="BN595" s="8" t="s">
        <v>356</v>
      </c>
      <c r="BO595" s="17">
        <v>31543</v>
      </c>
      <c r="BP595" s="17"/>
      <c r="BQ595" s="18" t="s">
        <v>9553</v>
      </c>
      <c r="BR595" s="7" t="s">
        <v>4783</v>
      </c>
      <c r="BS595" s="7" t="s">
        <v>9554</v>
      </c>
      <c r="BT595" s="7" t="s">
        <v>9555</v>
      </c>
      <c r="BU595" s="8" t="s">
        <v>9556</v>
      </c>
      <c r="BV595" s="23" t="s">
        <v>9557</v>
      </c>
      <c r="BW595" s="24">
        <v>1500000</v>
      </c>
      <c r="BX595" s="21" t="s">
        <v>9558</v>
      </c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N595" s="25"/>
      <c r="CO595" s="25"/>
      <c r="CP595" s="25"/>
      <c r="CQ595" s="25"/>
      <c r="CR595" s="25"/>
      <c r="CS595" s="26"/>
    </row>
    <row r="596" spans="1:97" s="226" customFormat="1" ht="21.75" customHeight="1">
      <c r="A596" s="175">
        <v>541</v>
      </c>
      <c r="B596" s="178"/>
      <c r="C596" s="178"/>
      <c r="D596" s="178"/>
      <c r="E596" s="178"/>
      <c r="F596" s="178"/>
      <c r="G596" s="178"/>
      <c r="H596" s="224" t="s">
        <v>10874</v>
      </c>
      <c r="I596" s="61" t="s">
        <v>4774</v>
      </c>
      <c r="J596" s="218" t="s">
        <v>4775</v>
      </c>
      <c r="K596" s="218" t="s">
        <v>4776</v>
      </c>
      <c r="L596" s="178"/>
      <c r="M596" s="62">
        <v>2206</v>
      </c>
      <c r="N596" s="219" t="s">
        <v>4828</v>
      </c>
      <c r="O596" s="219" t="s">
        <v>10875</v>
      </c>
      <c r="P596" s="219" t="s">
        <v>10876</v>
      </c>
      <c r="Q596" s="216" t="s">
        <v>4777</v>
      </c>
      <c r="R596" s="8" t="s">
        <v>11294</v>
      </c>
      <c r="S596" s="212" t="s">
        <v>13585</v>
      </c>
      <c r="T596" s="178" t="s">
        <v>4411</v>
      </c>
      <c r="U596" s="178" t="s">
        <v>93</v>
      </c>
      <c r="V596" s="178" t="s">
        <v>2016</v>
      </c>
      <c r="W596" s="178" t="s">
        <v>10877</v>
      </c>
      <c r="X596" s="62" t="e">
        <f t="shared" ca="1" si="24"/>
        <v>#VALUE!</v>
      </c>
      <c r="Y596" s="62" t="s">
        <v>95</v>
      </c>
      <c r="Z596" s="178"/>
      <c r="AA596" s="178" t="s">
        <v>96</v>
      </c>
      <c r="AB596" s="178" t="s">
        <v>97</v>
      </c>
      <c r="AC596" s="218" t="s">
        <v>4778</v>
      </c>
      <c r="AD596" s="178">
        <v>1</v>
      </c>
      <c r="AE596" s="178">
        <v>10</v>
      </c>
      <c r="AF596" s="218" t="s">
        <v>4779</v>
      </c>
      <c r="AG596" s="218" t="s">
        <v>4780</v>
      </c>
      <c r="AH596" s="218" t="s">
        <v>141</v>
      </c>
      <c r="AI596" s="218"/>
      <c r="AJ596" s="218" t="s">
        <v>519</v>
      </c>
      <c r="AK596" s="178"/>
      <c r="AL596" s="216"/>
      <c r="AM596" s="221" t="s">
        <v>10878</v>
      </c>
      <c r="AN596" s="221" t="s">
        <v>10879</v>
      </c>
      <c r="AO596" s="178">
        <v>1</v>
      </c>
      <c r="AP596" s="178"/>
      <c r="AQ596" s="178"/>
      <c r="AR596" s="178"/>
      <c r="AS596" s="178">
        <v>46</v>
      </c>
      <c r="AT596" s="178">
        <v>141</v>
      </c>
      <c r="AU596" s="178"/>
      <c r="AV596" s="178"/>
      <c r="AW596" s="218"/>
      <c r="AX596" s="218" t="s">
        <v>114</v>
      </c>
      <c r="AY596" s="218" t="s">
        <v>4781</v>
      </c>
      <c r="AZ596" s="222" t="s">
        <v>10880</v>
      </c>
      <c r="BA596" s="178" t="s">
        <v>4782</v>
      </c>
      <c r="BB596" s="216" t="s">
        <v>10881</v>
      </c>
      <c r="BC596" s="216" t="s">
        <v>737</v>
      </c>
      <c r="BD596" s="222" t="s">
        <v>10878</v>
      </c>
      <c r="BE596" s="178" t="s">
        <v>4783</v>
      </c>
      <c r="BF596" s="178" t="s">
        <v>276</v>
      </c>
      <c r="BG596" s="178" t="s">
        <v>4784</v>
      </c>
      <c r="BH596" s="216" t="s">
        <v>4785</v>
      </c>
      <c r="BI596" s="216"/>
      <c r="BJ596" s="225"/>
      <c r="BK596" s="178"/>
      <c r="BL596" s="218" t="s">
        <v>4786</v>
      </c>
      <c r="BM596" s="221" t="s">
        <v>4836</v>
      </c>
      <c r="BN596" s="178" t="s">
        <v>4787</v>
      </c>
      <c r="BO596" s="287">
        <v>30415</v>
      </c>
      <c r="BP596" s="216" t="s">
        <v>96</v>
      </c>
      <c r="BQ596" s="219" t="s">
        <v>4831</v>
      </c>
      <c r="BR596" s="216" t="s">
        <v>4788</v>
      </c>
      <c r="BS596" s="178" t="s">
        <v>574</v>
      </c>
      <c r="BT596" s="216" t="s">
        <v>4789</v>
      </c>
      <c r="BU596" s="216" t="s">
        <v>4790</v>
      </c>
      <c r="BV596" s="178"/>
      <c r="BW596" s="178"/>
      <c r="BX596" s="178"/>
      <c r="BY596" s="178"/>
      <c r="BZ596" s="178"/>
      <c r="CA596" s="178"/>
      <c r="CB596" s="178"/>
      <c r="CC596" s="178"/>
      <c r="CD596" s="178"/>
      <c r="CE596" s="178"/>
      <c r="CF596" s="178"/>
      <c r="CG596" s="178"/>
      <c r="CH596" s="178"/>
      <c r="CI596" s="178"/>
      <c r="CJ596" s="178"/>
      <c r="CK596" s="178"/>
      <c r="CL596" s="178"/>
    </row>
    <row r="597" spans="1:97" s="27" customFormat="1" ht="23.25" customHeight="1">
      <c r="A597" s="4">
        <v>489</v>
      </c>
      <c r="B597" s="61"/>
      <c r="C597" s="61"/>
      <c r="D597" s="61"/>
      <c r="E597" s="61"/>
      <c r="F597" s="61"/>
      <c r="G597" s="61"/>
      <c r="H597" s="62" t="s">
        <v>10056</v>
      </c>
      <c r="I597" s="61" t="s">
        <v>4774</v>
      </c>
      <c r="J597" s="63" t="s">
        <v>10057</v>
      </c>
      <c r="K597" s="63" t="s">
        <v>10058</v>
      </c>
      <c r="L597" s="64"/>
      <c r="M597" s="62">
        <v>2065</v>
      </c>
      <c r="N597" s="62" t="s">
        <v>10059</v>
      </c>
      <c r="O597" s="65" t="s">
        <v>10060</v>
      </c>
      <c r="P597" s="66" t="s">
        <v>10061</v>
      </c>
      <c r="Q597" s="391" t="s">
        <v>10062</v>
      </c>
      <c r="R597" s="8" t="s">
        <v>11294</v>
      </c>
      <c r="S597" s="212" t="s">
        <v>13585</v>
      </c>
      <c r="T597" s="64" t="s">
        <v>10063</v>
      </c>
      <c r="U597" s="67" t="s">
        <v>93</v>
      </c>
      <c r="V597" s="68" t="s">
        <v>10064</v>
      </c>
      <c r="W597" s="69" t="s">
        <v>10065</v>
      </c>
      <c r="X597" s="62" t="str">
        <f ca="1">""&amp;DATEDIF(Z597,TODAY(),"y")&amp;" Th, "&amp;DATEDIF(Z597,TODAY(),"ym")&amp;" Bln"</f>
        <v>11 Th, 7 Bln</v>
      </c>
      <c r="Y597" s="62"/>
      <c r="Z597" s="14">
        <v>42038</v>
      </c>
      <c r="AA597" s="62" t="s">
        <v>96</v>
      </c>
      <c r="AB597" s="62"/>
      <c r="AC597" s="70" t="s">
        <v>10066</v>
      </c>
      <c r="AD597" s="133">
        <v>10</v>
      </c>
      <c r="AE597" s="64">
        <v>6</v>
      </c>
      <c r="AF597" s="63" t="s">
        <v>177</v>
      </c>
      <c r="AG597" s="63" t="s">
        <v>547</v>
      </c>
      <c r="AH597" s="63" t="s">
        <v>178</v>
      </c>
      <c r="AI597" s="63"/>
      <c r="AJ597" s="63" t="s">
        <v>568</v>
      </c>
      <c r="AK597" s="63"/>
      <c r="AL597" s="71" t="s">
        <v>10067</v>
      </c>
      <c r="AM597" s="71"/>
      <c r="AN597" s="72"/>
      <c r="AO597" s="64">
        <v>2</v>
      </c>
      <c r="AP597" s="64">
        <v>3</v>
      </c>
      <c r="AQ597" s="64"/>
      <c r="AR597" s="134"/>
      <c r="AS597" s="133">
        <v>25</v>
      </c>
      <c r="AT597" s="134"/>
      <c r="AU597" s="134"/>
      <c r="AV597" s="73"/>
      <c r="AW597" s="135"/>
      <c r="AX597" s="63"/>
      <c r="AY597" s="74" t="s">
        <v>10068</v>
      </c>
      <c r="AZ597" s="63" t="s">
        <v>10069</v>
      </c>
      <c r="BA597" s="75" t="s">
        <v>10070</v>
      </c>
      <c r="BB597" s="75" t="s">
        <v>10071</v>
      </c>
      <c r="BC597" s="76" t="s">
        <v>737</v>
      </c>
      <c r="BD597" s="77" t="s">
        <v>10072</v>
      </c>
      <c r="BE597" s="63" t="s">
        <v>4788</v>
      </c>
      <c r="BF597" s="63" t="s">
        <v>2049</v>
      </c>
      <c r="BG597" s="63"/>
      <c r="BH597" s="78" t="s">
        <v>10073</v>
      </c>
      <c r="BI597" s="79" t="s">
        <v>10072</v>
      </c>
      <c r="BJ597" s="80">
        <v>50000000</v>
      </c>
      <c r="BK597" s="81"/>
      <c r="BL597" s="82" t="s">
        <v>10074</v>
      </c>
      <c r="BM597" s="77" t="s">
        <v>10075</v>
      </c>
      <c r="BN597" s="145" t="s">
        <v>812</v>
      </c>
      <c r="BO597" s="75">
        <v>29833</v>
      </c>
      <c r="BP597" s="76" t="s">
        <v>737</v>
      </c>
      <c r="BQ597" s="77" t="s">
        <v>10076</v>
      </c>
      <c r="BR597" s="63" t="s">
        <v>4788</v>
      </c>
      <c r="BS597" s="63" t="s">
        <v>582</v>
      </c>
      <c r="BT597" s="64"/>
      <c r="BU597" s="64"/>
      <c r="BV597" s="79"/>
      <c r="BW597" s="83"/>
      <c r="BX597" s="83" t="s">
        <v>10077</v>
      </c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4"/>
      <c r="CN597" s="25"/>
      <c r="CO597" s="25"/>
      <c r="CP597" s="25"/>
      <c r="CQ597" s="25"/>
      <c r="CR597" s="25"/>
      <c r="CS597" s="26"/>
    </row>
    <row r="598" spans="1:97" s="87" customFormat="1" ht="23.25" customHeight="1">
      <c r="A598" s="4">
        <v>461</v>
      </c>
      <c r="B598" s="6"/>
      <c r="C598" s="6"/>
      <c r="D598" s="6"/>
      <c r="E598" s="6"/>
      <c r="F598" s="6"/>
      <c r="G598" s="6"/>
      <c r="H598" s="5"/>
      <c r="I598" s="6"/>
      <c r="J598" s="7" t="s">
        <v>9581</v>
      </c>
      <c r="K598" s="7" t="s">
        <v>9582</v>
      </c>
      <c r="L598" s="8"/>
      <c r="M598" s="5">
        <v>1631</v>
      </c>
      <c r="N598" s="5" t="s">
        <v>9583</v>
      </c>
      <c r="O598" s="9" t="s">
        <v>9584</v>
      </c>
      <c r="P598" s="10" t="s">
        <v>9585</v>
      </c>
      <c r="Q598" s="389" t="s">
        <v>9586</v>
      </c>
      <c r="R598" s="8" t="s">
        <v>11294</v>
      </c>
      <c r="S598" s="212" t="s">
        <v>13585</v>
      </c>
      <c r="T598" s="8" t="s">
        <v>9587</v>
      </c>
      <c r="U598" s="11" t="s">
        <v>172</v>
      </c>
      <c r="V598" s="12" t="s">
        <v>94</v>
      </c>
      <c r="W598" s="13">
        <v>42005</v>
      </c>
      <c r="X598" s="5" t="str">
        <f t="shared" ref="X598:X622" ca="1" si="25">""&amp;DATEDIF(W598,TODAY(),"y")&amp;" Th, "&amp;DATEDIF(W598,TODAY(),"ym")&amp;" Bln"</f>
        <v>11 Th, 8 Bln</v>
      </c>
      <c r="Y598" s="5"/>
      <c r="Z598" s="14"/>
      <c r="AA598" s="5" t="s">
        <v>96</v>
      </c>
      <c r="AB598" s="5"/>
      <c r="AC598" s="7" t="s">
        <v>9588</v>
      </c>
      <c r="AD598" s="131"/>
      <c r="AE598" s="131"/>
      <c r="AF598" s="7" t="s">
        <v>139</v>
      </c>
      <c r="AG598" s="7" t="s">
        <v>140</v>
      </c>
      <c r="AH598" s="7" t="s">
        <v>141</v>
      </c>
      <c r="AI598" s="7"/>
      <c r="AJ598" s="7" t="s">
        <v>142</v>
      </c>
      <c r="AK598" s="7"/>
      <c r="AL598" s="7"/>
      <c r="AM598" s="15">
        <v>0</v>
      </c>
      <c r="AN598" s="15"/>
      <c r="AO598" s="8">
        <v>1</v>
      </c>
      <c r="AP598" s="8"/>
      <c r="AQ598" s="8"/>
      <c r="AR598" s="8"/>
      <c r="AS598" s="132" t="s">
        <v>9589</v>
      </c>
      <c r="AT598" s="131" t="s">
        <v>2574</v>
      </c>
      <c r="AU598" s="132"/>
      <c r="AV598" s="16"/>
      <c r="AW598" s="56"/>
      <c r="AX598" s="56"/>
      <c r="AY598" s="7" t="s">
        <v>9590</v>
      </c>
      <c r="AZ598" s="10" t="s">
        <v>9591</v>
      </c>
      <c r="BA598" s="7" t="s">
        <v>94</v>
      </c>
      <c r="BB598" s="17">
        <v>30654</v>
      </c>
      <c r="BC598" s="17"/>
      <c r="BD598" s="18" t="s">
        <v>9592</v>
      </c>
      <c r="BE598" s="7" t="s">
        <v>118</v>
      </c>
      <c r="BF598" s="7" t="s">
        <v>503</v>
      </c>
      <c r="BG598" s="7" t="s">
        <v>9593</v>
      </c>
      <c r="BH598" s="7" t="s">
        <v>9594</v>
      </c>
      <c r="BI598" s="19" t="s">
        <v>9595</v>
      </c>
      <c r="BJ598" s="20">
        <v>3900000</v>
      </c>
      <c r="BK598" s="21" t="s">
        <v>9596</v>
      </c>
      <c r="BL598" s="7" t="s">
        <v>9597</v>
      </c>
      <c r="BM598" s="22" t="s">
        <v>9598</v>
      </c>
      <c r="BN598" s="8" t="s">
        <v>94</v>
      </c>
      <c r="BO598" s="17">
        <v>31770</v>
      </c>
      <c r="BP598" s="17"/>
      <c r="BQ598" s="18" t="s">
        <v>9592</v>
      </c>
      <c r="BR598" s="7" t="s">
        <v>118</v>
      </c>
      <c r="BS598" s="7" t="s">
        <v>503</v>
      </c>
      <c r="BT598" s="7" t="s">
        <v>328</v>
      </c>
      <c r="BU598" s="8" t="s">
        <v>9599</v>
      </c>
      <c r="BV598" s="23" t="s">
        <v>2341</v>
      </c>
      <c r="BW598" s="24">
        <v>3000000</v>
      </c>
      <c r="BX598" s="21" t="s">
        <v>9600</v>
      </c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N598" s="85"/>
      <c r="CO598" s="85"/>
      <c r="CP598" s="85"/>
      <c r="CQ598" s="85"/>
      <c r="CR598" s="85"/>
      <c r="CS598" s="86"/>
    </row>
    <row r="599" spans="1:97" s="27" customFormat="1" ht="23.25" customHeight="1">
      <c r="A599" s="4">
        <v>521</v>
      </c>
      <c r="B599" s="6"/>
      <c r="C599" s="6"/>
      <c r="D599" s="6"/>
      <c r="E599" s="6"/>
      <c r="F599" s="6"/>
      <c r="G599" s="6"/>
      <c r="H599" s="5"/>
      <c r="I599" s="6"/>
      <c r="J599" s="7" t="s">
        <v>166</v>
      </c>
      <c r="K599" s="7" t="s">
        <v>10533</v>
      </c>
      <c r="L599" s="8"/>
      <c r="M599" s="5">
        <v>1645</v>
      </c>
      <c r="N599" s="5" t="s">
        <v>10534</v>
      </c>
      <c r="O599" s="9" t="s">
        <v>10535</v>
      </c>
      <c r="P599" s="10" t="s">
        <v>10536</v>
      </c>
      <c r="Q599" s="389" t="s">
        <v>10537</v>
      </c>
      <c r="R599" s="8" t="s">
        <v>11294</v>
      </c>
      <c r="S599" s="212" t="s">
        <v>13585</v>
      </c>
      <c r="T599" s="8" t="s">
        <v>10538</v>
      </c>
      <c r="U599" s="11" t="s">
        <v>172</v>
      </c>
      <c r="V599" s="12" t="s">
        <v>94</v>
      </c>
      <c r="W599" s="13">
        <v>41901</v>
      </c>
      <c r="X599" s="5" t="str">
        <f t="shared" ca="1" si="25"/>
        <v>11 Th, 11 Bln</v>
      </c>
      <c r="Y599" s="5"/>
      <c r="Z599" s="14"/>
      <c r="AA599" s="5" t="s">
        <v>96</v>
      </c>
      <c r="AB599" s="5"/>
      <c r="AC599" s="7" t="s">
        <v>10539</v>
      </c>
      <c r="AD599" s="131">
        <v>7</v>
      </c>
      <c r="AE599" s="131">
        <v>6</v>
      </c>
      <c r="AF599" s="7" t="s">
        <v>521</v>
      </c>
      <c r="AG599" s="7" t="s">
        <v>178</v>
      </c>
      <c r="AH599" s="7" t="s">
        <v>178</v>
      </c>
      <c r="AI599" s="7"/>
      <c r="AJ599" s="7" t="s">
        <v>103</v>
      </c>
      <c r="AK599" s="7"/>
      <c r="AL599" s="7"/>
      <c r="AM599" s="15">
        <v>0</v>
      </c>
      <c r="AN599" s="15"/>
      <c r="AO599" s="8">
        <v>4</v>
      </c>
      <c r="AP599" s="8"/>
      <c r="AQ599" s="8"/>
      <c r="AR599" s="8"/>
      <c r="AS599" s="132" t="s">
        <v>10540</v>
      </c>
      <c r="AT599" s="131" t="s">
        <v>10192</v>
      </c>
      <c r="AU599" s="132"/>
      <c r="AV599" s="16"/>
      <c r="AW599" s="56"/>
      <c r="AX599" s="56"/>
      <c r="AY599" s="7" t="s">
        <v>2721</v>
      </c>
      <c r="AZ599" s="10" t="s">
        <v>2722</v>
      </c>
      <c r="BA599" s="7" t="s">
        <v>713</v>
      </c>
      <c r="BB599" s="17">
        <v>27918</v>
      </c>
      <c r="BC599" s="17"/>
      <c r="BD599" s="18">
        <v>2147483647</v>
      </c>
      <c r="BE599" s="7" t="s">
        <v>10541</v>
      </c>
      <c r="BF599" s="7" t="s">
        <v>10542</v>
      </c>
      <c r="BG599" s="7" t="s">
        <v>327</v>
      </c>
      <c r="BH599" s="7" t="s">
        <v>10543</v>
      </c>
      <c r="BI599" s="19" t="s">
        <v>9517</v>
      </c>
      <c r="BJ599" s="20">
        <v>60000000</v>
      </c>
      <c r="BK599" s="21" t="s">
        <v>10544</v>
      </c>
      <c r="BL599" s="7" t="s">
        <v>2728</v>
      </c>
      <c r="BM599" s="22" t="s">
        <v>2729</v>
      </c>
      <c r="BN599" s="8" t="s">
        <v>511</v>
      </c>
      <c r="BO599" s="17">
        <v>29580</v>
      </c>
      <c r="BP599" s="17"/>
      <c r="BQ599" s="18">
        <v>2147483647</v>
      </c>
      <c r="BR599" s="7" t="s">
        <v>10545</v>
      </c>
      <c r="BS599" s="7" t="s">
        <v>127</v>
      </c>
      <c r="BT599" s="7" t="s">
        <v>127</v>
      </c>
      <c r="BU599" s="8" t="s">
        <v>127</v>
      </c>
      <c r="BV599" s="23" t="s">
        <v>9517</v>
      </c>
      <c r="BW599" s="24" t="s">
        <v>127</v>
      </c>
      <c r="BX599" s="21" t="s">
        <v>2730</v>
      </c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N599" s="25"/>
      <c r="CO599" s="25"/>
      <c r="CP599" s="25"/>
      <c r="CQ599" s="25"/>
      <c r="CR599" s="25"/>
      <c r="CS599" s="26"/>
    </row>
    <row r="600" spans="1:97" s="27" customFormat="1" ht="23.25" customHeight="1">
      <c r="A600" s="4">
        <v>466</v>
      </c>
      <c r="B600" s="6"/>
      <c r="C600" s="6"/>
      <c r="D600" s="6"/>
      <c r="E600" s="6"/>
      <c r="F600" s="6"/>
      <c r="G600" s="6"/>
      <c r="H600" s="5"/>
      <c r="I600" s="6"/>
      <c r="J600" s="7" t="s">
        <v>9683</v>
      </c>
      <c r="K600" s="7" t="s">
        <v>9684</v>
      </c>
      <c r="L600" s="8"/>
      <c r="M600" s="5">
        <v>1765</v>
      </c>
      <c r="N600" s="5" t="s">
        <v>9685</v>
      </c>
      <c r="O600" s="9" t="s">
        <v>9686</v>
      </c>
      <c r="P600" s="10" t="s">
        <v>9687</v>
      </c>
      <c r="Q600" s="389" t="s">
        <v>9688</v>
      </c>
      <c r="R600" s="8" t="s">
        <v>11294</v>
      </c>
      <c r="S600" s="212" t="s">
        <v>13585</v>
      </c>
      <c r="T600" s="8" t="s">
        <v>9689</v>
      </c>
      <c r="U600" s="11" t="s">
        <v>93</v>
      </c>
      <c r="V600" s="12" t="s">
        <v>603</v>
      </c>
      <c r="W600" s="13" t="s">
        <v>9690</v>
      </c>
      <c r="X600" s="5" t="e">
        <f t="shared" ca="1" si="25"/>
        <v>#VALUE!</v>
      </c>
      <c r="Y600" s="5"/>
      <c r="Z600" s="14"/>
      <c r="AA600" s="5" t="s">
        <v>96</v>
      </c>
      <c r="AB600" s="5"/>
      <c r="AC600" s="7" t="s">
        <v>9691</v>
      </c>
      <c r="AD600" s="131">
        <v>3</v>
      </c>
      <c r="AE600" s="131">
        <v>7</v>
      </c>
      <c r="AF600" s="7" t="s">
        <v>1555</v>
      </c>
      <c r="AG600" s="7" t="s">
        <v>1556</v>
      </c>
      <c r="AH600" s="7" t="s">
        <v>141</v>
      </c>
      <c r="AI600" s="7"/>
      <c r="AJ600" s="7" t="s">
        <v>1557</v>
      </c>
      <c r="AK600" s="7" t="s">
        <v>104</v>
      </c>
      <c r="AL600" s="7"/>
      <c r="AM600" s="15"/>
      <c r="AN600" s="15"/>
      <c r="AO600" s="8">
        <v>1</v>
      </c>
      <c r="AP600" s="8"/>
      <c r="AQ600" s="8"/>
      <c r="AR600" s="8"/>
      <c r="AS600" s="132"/>
      <c r="AT600" s="131"/>
      <c r="AU600" s="132"/>
      <c r="AV600" s="16" t="s">
        <v>9692</v>
      </c>
      <c r="AW600" s="56" t="s">
        <v>9693</v>
      </c>
      <c r="AX600" s="56"/>
      <c r="AY600" s="7" t="s">
        <v>9694</v>
      </c>
      <c r="AZ600" s="10" t="s">
        <v>9695</v>
      </c>
      <c r="BA600" s="7" t="s">
        <v>537</v>
      </c>
      <c r="BB600" s="17" t="s">
        <v>9696</v>
      </c>
      <c r="BC600" s="17" t="s">
        <v>96</v>
      </c>
      <c r="BD600" s="18" t="s">
        <v>9697</v>
      </c>
      <c r="BE600" s="7" t="s">
        <v>118</v>
      </c>
      <c r="BF600" s="7" t="s">
        <v>5063</v>
      </c>
      <c r="BG600" s="7" t="s">
        <v>9698</v>
      </c>
      <c r="BH600" s="7" t="s">
        <v>9699</v>
      </c>
      <c r="BI600" s="19"/>
      <c r="BJ600" s="20"/>
      <c r="BK600" s="21"/>
      <c r="BL600" s="7" t="s">
        <v>9700</v>
      </c>
      <c r="BM600" s="22" t="s">
        <v>9687</v>
      </c>
      <c r="BN600" s="8" t="s">
        <v>603</v>
      </c>
      <c r="BO600" s="17" t="s">
        <v>9701</v>
      </c>
      <c r="BP600" s="17"/>
      <c r="BQ600" s="18"/>
      <c r="BR600" s="7" t="s">
        <v>118</v>
      </c>
      <c r="BS600" s="7"/>
      <c r="BT600" s="7"/>
      <c r="BU600" s="8"/>
      <c r="BV600" s="23"/>
      <c r="BW600" s="24"/>
      <c r="BX600" s="21"/>
      <c r="BY600" s="21" t="s">
        <v>9702</v>
      </c>
      <c r="BZ600" s="21" t="s">
        <v>511</v>
      </c>
      <c r="CA600" s="21" t="s">
        <v>9703</v>
      </c>
      <c r="CB600" s="21"/>
      <c r="CC600" s="21"/>
      <c r="CD600" s="21" t="s">
        <v>118</v>
      </c>
      <c r="CE600" s="21" t="s">
        <v>9704</v>
      </c>
      <c r="CF600" s="21" t="s">
        <v>96</v>
      </c>
      <c r="CG600" s="21" t="s">
        <v>9705</v>
      </c>
      <c r="CH600" s="21"/>
      <c r="CI600" s="21"/>
      <c r="CJ600" s="21" t="s">
        <v>2359</v>
      </c>
      <c r="CK600" s="21" t="s">
        <v>241</v>
      </c>
      <c r="CL600" s="21" t="s">
        <v>103</v>
      </c>
      <c r="CN600" s="25"/>
      <c r="CO600" s="25"/>
      <c r="CP600" s="25"/>
      <c r="CQ600" s="25"/>
      <c r="CR600" s="25"/>
      <c r="CS600" s="26"/>
    </row>
    <row r="601" spans="1:97" s="27" customFormat="1" ht="21" customHeight="1">
      <c r="A601" s="4">
        <v>548</v>
      </c>
      <c r="B601" s="6"/>
      <c r="C601" s="6"/>
      <c r="D601" s="6"/>
      <c r="E601" s="6"/>
      <c r="F601" s="6"/>
      <c r="G601" s="6"/>
      <c r="H601" s="5"/>
      <c r="I601" s="6"/>
      <c r="J601" s="7" t="s">
        <v>10965</v>
      </c>
      <c r="K601" s="7" t="s">
        <v>10966</v>
      </c>
      <c r="L601" s="8"/>
      <c r="M601" s="5">
        <v>1651</v>
      </c>
      <c r="N601" s="5" t="s">
        <v>10967</v>
      </c>
      <c r="O601" s="9" t="s">
        <v>6286</v>
      </c>
      <c r="P601" s="10" t="s">
        <v>10968</v>
      </c>
      <c r="Q601" s="389" t="s">
        <v>10969</v>
      </c>
      <c r="R601" s="8" t="s">
        <v>11294</v>
      </c>
      <c r="S601" s="212" t="s">
        <v>13585</v>
      </c>
      <c r="T601" s="8" t="s">
        <v>10970</v>
      </c>
      <c r="U601" s="11" t="s">
        <v>172</v>
      </c>
      <c r="V601" s="12" t="s">
        <v>444</v>
      </c>
      <c r="W601" s="13">
        <v>41910</v>
      </c>
      <c r="X601" s="5" t="str">
        <f t="shared" ca="1" si="25"/>
        <v>11 Th, 11 Bln</v>
      </c>
      <c r="Y601" s="5"/>
      <c r="Z601" s="14"/>
      <c r="AA601" s="5" t="s">
        <v>96</v>
      </c>
      <c r="AB601" s="5"/>
      <c r="AC601" s="7" t="s">
        <v>10971</v>
      </c>
      <c r="AD601" s="131"/>
      <c r="AE601" s="131"/>
      <c r="AF601" s="7" t="s">
        <v>319</v>
      </c>
      <c r="AG601" s="7" t="s">
        <v>140</v>
      </c>
      <c r="AH601" s="7" t="s">
        <v>141</v>
      </c>
      <c r="AI601" s="7"/>
      <c r="AJ601" s="7" t="s">
        <v>142</v>
      </c>
      <c r="AK601" s="7"/>
      <c r="AL601" s="7"/>
      <c r="AM601" s="15"/>
      <c r="AN601" s="15"/>
      <c r="AO601" s="8">
        <v>1</v>
      </c>
      <c r="AP601" s="8"/>
      <c r="AQ601" s="8"/>
      <c r="AR601" s="8"/>
      <c r="AS601" s="132" t="s">
        <v>10972</v>
      </c>
      <c r="AT601" s="131" t="s">
        <v>10621</v>
      </c>
      <c r="AU601" s="132"/>
      <c r="AV601" s="16"/>
      <c r="AW601" s="56"/>
      <c r="AX601" s="56"/>
      <c r="AY601" s="7" t="s">
        <v>10973</v>
      </c>
      <c r="AZ601" s="10" t="s">
        <v>6293</v>
      </c>
      <c r="BA601" s="7" t="s">
        <v>444</v>
      </c>
      <c r="BB601" s="17">
        <v>31240</v>
      </c>
      <c r="BC601" s="17"/>
      <c r="BD601" s="18" t="s">
        <v>6301</v>
      </c>
      <c r="BE601" s="7" t="s">
        <v>10293</v>
      </c>
      <c r="BF601" s="7" t="s">
        <v>471</v>
      </c>
      <c r="BG601" s="7" t="s">
        <v>10974</v>
      </c>
      <c r="BH601" s="7" t="s">
        <v>10975</v>
      </c>
      <c r="BI601" s="19" t="s">
        <v>10976</v>
      </c>
      <c r="BJ601" s="20">
        <v>12000000</v>
      </c>
      <c r="BK601" s="21" t="s">
        <v>6298</v>
      </c>
      <c r="BL601" s="7" t="s">
        <v>10977</v>
      </c>
      <c r="BM601" s="22" t="s">
        <v>6300</v>
      </c>
      <c r="BN601" s="8" t="s">
        <v>444</v>
      </c>
      <c r="BO601" s="17">
        <v>31778</v>
      </c>
      <c r="BP601" s="17"/>
      <c r="BQ601" s="18" t="s">
        <v>6301</v>
      </c>
      <c r="BR601" s="7" t="s">
        <v>9826</v>
      </c>
      <c r="BS601" s="7" t="s">
        <v>10978</v>
      </c>
      <c r="BT601" s="7" t="s">
        <v>768</v>
      </c>
      <c r="BU601" s="8" t="s">
        <v>10979</v>
      </c>
      <c r="BV601" s="23" t="s">
        <v>10980</v>
      </c>
      <c r="BW601" s="24">
        <v>2100000</v>
      </c>
      <c r="BX601" s="21" t="s">
        <v>6304</v>
      </c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N601" s="25"/>
      <c r="CO601" s="25"/>
      <c r="CP601" s="25"/>
      <c r="CQ601" s="25"/>
      <c r="CR601" s="25"/>
      <c r="CS601" s="26"/>
    </row>
    <row r="602" spans="1:97" s="27" customFormat="1" ht="21" customHeight="1">
      <c r="A602" s="4">
        <v>551</v>
      </c>
      <c r="B602" s="6"/>
      <c r="C602" s="6"/>
      <c r="D602" s="6"/>
      <c r="E602" s="6"/>
      <c r="F602" s="6"/>
      <c r="G602" s="6"/>
      <c r="H602" s="5"/>
      <c r="I602" s="6"/>
      <c r="J602" s="7" t="s">
        <v>1121</v>
      </c>
      <c r="K602" s="7" t="s">
        <v>11011</v>
      </c>
      <c r="L602" s="8"/>
      <c r="M602" s="5">
        <v>1656</v>
      </c>
      <c r="N602" s="5" t="s">
        <v>11012</v>
      </c>
      <c r="O602" s="9" t="s">
        <v>11013</v>
      </c>
      <c r="P602" s="10" t="s">
        <v>11014</v>
      </c>
      <c r="Q602" s="389" t="s">
        <v>11015</v>
      </c>
      <c r="R602" s="8" t="s">
        <v>11294</v>
      </c>
      <c r="S602" s="212" t="s">
        <v>13585</v>
      </c>
      <c r="T602" s="8" t="s">
        <v>11016</v>
      </c>
      <c r="U602" s="11" t="s">
        <v>172</v>
      </c>
      <c r="V602" s="12" t="s">
        <v>94</v>
      </c>
      <c r="W602" s="13">
        <v>41917</v>
      </c>
      <c r="X602" s="5" t="str">
        <f t="shared" ca="1" si="25"/>
        <v>11 Th, 11 Bln</v>
      </c>
      <c r="Y602" s="5"/>
      <c r="Z602" s="14"/>
      <c r="AA602" s="5" t="s">
        <v>96</v>
      </c>
      <c r="AB602" s="5"/>
      <c r="AC602" s="7" t="s">
        <v>11017</v>
      </c>
      <c r="AD602" s="131">
        <v>3</v>
      </c>
      <c r="AE602" s="131">
        <v>10</v>
      </c>
      <c r="AF602" s="7" t="s">
        <v>139</v>
      </c>
      <c r="AG602" s="7" t="s">
        <v>140</v>
      </c>
      <c r="AH602" s="7" t="s">
        <v>141</v>
      </c>
      <c r="AI602" s="7"/>
      <c r="AJ602" s="7" t="s">
        <v>142</v>
      </c>
      <c r="AK602" s="7"/>
      <c r="AL602" s="7"/>
      <c r="AM602" s="15"/>
      <c r="AN602" s="15"/>
      <c r="AO602" s="8">
        <v>3</v>
      </c>
      <c r="AP602" s="8"/>
      <c r="AQ602" s="8"/>
      <c r="AR602" s="8"/>
      <c r="AS602" s="132" t="s">
        <v>3021</v>
      </c>
      <c r="AT602" s="131" t="s">
        <v>9655</v>
      </c>
      <c r="AU602" s="132"/>
      <c r="AV602" s="16"/>
      <c r="AW602" s="56"/>
      <c r="AX602" s="56"/>
      <c r="AY602" s="7" t="s">
        <v>11018</v>
      </c>
      <c r="AZ602" s="10" t="s">
        <v>11019</v>
      </c>
      <c r="BA602" s="7" t="s">
        <v>11020</v>
      </c>
      <c r="BB602" s="17">
        <v>26966</v>
      </c>
      <c r="BC602" s="17"/>
      <c r="BD602" s="18" t="s">
        <v>11021</v>
      </c>
      <c r="BE602" s="7" t="s">
        <v>10293</v>
      </c>
      <c r="BF602" s="7" t="s">
        <v>1571</v>
      </c>
      <c r="BG602" s="7" t="s">
        <v>11022</v>
      </c>
      <c r="BH602" s="7" t="s">
        <v>11023</v>
      </c>
      <c r="BI602" s="19" t="s">
        <v>11024</v>
      </c>
      <c r="BJ602" s="20">
        <v>7500000</v>
      </c>
      <c r="BK602" s="21" t="s">
        <v>11025</v>
      </c>
      <c r="BL602" s="7" t="s">
        <v>11026</v>
      </c>
      <c r="BM602" s="22" t="s">
        <v>11027</v>
      </c>
      <c r="BN602" s="8" t="s">
        <v>653</v>
      </c>
      <c r="BO602" s="17">
        <v>28735</v>
      </c>
      <c r="BP602" s="17"/>
      <c r="BQ602" s="18" t="s">
        <v>11028</v>
      </c>
      <c r="BR602" s="7" t="s">
        <v>10293</v>
      </c>
      <c r="BS602" s="7" t="s">
        <v>503</v>
      </c>
      <c r="BT602" s="7" t="s">
        <v>11029</v>
      </c>
      <c r="BU602" s="8" t="s">
        <v>11030</v>
      </c>
      <c r="BV602" s="23" t="s">
        <v>11031</v>
      </c>
      <c r="BW602" s="24">
        <v>2000000</v>
      </c>
      <c r="BX602" s="21" t="s">
        <v>11032</v>
      </c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N602" s="25"/>
      <c r="CO602" s="25"/>
      <c r="CP602" s="25"/>
      <c r="CQ602" s="25"/>
      <c r="CR602" s="25"/>
      <c r="CS602" s="26"/>
    </row>
    <row r="603" spans="1:97" s="27" customFormat="1" ht="23.25" customHeight="1">
      <c r="A603" s="4">
        <v>496</v>
      </c>
      <c r="B603" s="6"/>
      <c r="C603" s="6"/>
      <c r="D603" s="6"/>
      <c r="E603" s="6"/>
      <c r="F603" s="6"/>
      <c r="G603" s="6"/>
      <c r="H603" s="5"/>
      <c r="I603" s="6"/>
      <c r="J603" s="7" t="s">
        <v>5869</v>
      </c>
      <c r="K603" s="7" t="s">
        <v>10171</v>
      </c>
      <c r="L603" s="8"/>
      <c r="M603" s="5">
        <v>1661</v>
      </c>
      <c r="N603" s="5" t="s">
        <v>10172</v>
      </c>
      <c r="O603" s="9" t="s">
        <v>5872</v>
      </c>
      <c r="P603" s="10" t="s">
        <v>10173</v>
      </c>
      <c r="Q603" s="389" t="s">
        <v>10174</v>
      </c>
      <c r="R603" s="8" t="s">
        <v>11294</v>
      </c>
      <c r="S603" s="212" t="s">
        <v>13585</v>
      </c>
      <c r="T603" s="8" t="s">
        <v>10175</v>
      </c>
      <c r="U603" s="11" t="s">
        <v>172</v>
      </c>
      <c r="V603" s="12" t="s">
        <v>94</v>
      </c>
      <c r="W603" s="13">
        <v>42045</v>
      </c>
      <c r="X603" s="5" t="str">
        <f t="shared" ca="1" si="25"/>
        <v>11 Th, 7 Bln</v>
      </c>
      <c r="Y603" s="5"/>
      <c r="Z603" s="14"/>
      <c r="AA603" s="5" t="s">
        <v>96</v>
      </c>
      <c r="AB603" s="5"/>
      <c r="AC603" s="7" t="s">
        <v>10176</v>
      </c>
      <c r="AD603" s="131"/>
      <c r="AE603" s="131"/>
      <c r="AF603" s="7" t="s">
        <v>437</v>
      </c>
      <c r="AG603" s="7" t="s">
        <v>178</v>
      </c>
      <c r="AH603" s="7" t="s">
        <v>178</v>
      </c>
      <c r="AI603" s="7"/>
      <c r="AJ603" s="7" t="s">
        <v>103</v>
      </c>
      <c r="AK603" s="7"/>
      <c r="AL603" s="7"/>
      <c r="AM603" s="15"/>
      <c r="AN603" s="15"/>
      <c r="AO603" s="8">
        <v>1</v>
      </c>
      <c r="AP603" s="8"/>
      <c r="AQ603" s="8"/>
      <c r="AR603" s="8"/>
      <c r="AS603" s="132" t="s">
        <v>2482</v>
      </c>
      <c r="AT603" s="131" t="s">
        <v>2530</v>
      </c>
      <c r="AU603" s="132"/>
      <c r="AV603" s="16"/>
      <c r="AW603" s="56"/>
      <c r="AX603" s="56"/>
      <c r="AY603" s="7" t="s">
        <v>5878</v>
      </c>
      <c r="AZ603" s="10" t="s">
        <v>5879</v>
      </c>
      <c r="BA603" s="7" t="s">
        <v>2279</v>
      </c>
      <c r="BB603" s="17">
        <v>30476</v>
      </c>
      <c r="BC603" s="17"/>
      <c r="BD603" s="18" t="s">
        <v>5877</v>
      </c>
      <c r="BE603" s="7" t="s">
        <v>118</v>
      </c>
      <c r="BF603" s="7" t="s">
        <v>10177</v>
      </c>
      <c r="BG603" s="7" t="s">
        <v>10178</v>
      </c>
      <c r="BH603" s="7" t="s">
        <v>10179</v>
      </c>
      <c r="BI603" s="19" t="s">
        <v>10180</v>
      </c>
      <c r="BJ603" s="20">
        <v>15000000</v>
      </c>
      <c r="BK603" s="21" t="s">
        <v>10181</v>
      </c>
      <c r="BL603" s="7" t="s">
        <v>5885</v>
      </c>
      <c r="BM603" s="22" t="s">
        <v>10182</v>
      </c>
      <c r="BN603" s="8" t="s">
        <v>5887</v>
      </c>
      <c r="BO603" s="17">
        <v>31464</v>
      </c>
      <c r="BP603" s="17"/>
      <c r="BQ603" s="18" t="s">
        <v>5877</v>
      </c>
      <c r="BR603" s="7" t="s">
        <v>153</v>
      </c>
      <c r="BS603" s="7" t="s">
        <v>154</v>
      </c>
      <c r="BT603" s="7" t="s">
        <v>2563</v>
      </c>
      <c r="BU603" s="8" t="s">
        <v>10183</v>
      </c>
      <c r="BV603" s="23" t="s">
        <v>10184</v>
      </c>
      <c r="BW603" s="24">
        <v>10000000</v>
      </c>
      <c r="BX603" s="21" t="s">
        <v>5889</v>
      </c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N603" s="25"/>
      <c r="CO603" s="25"/>
      <c r="CP603" s="25"/>
      <c r="CQ603" s="25"/>
      <c r="CR603" s="25"/>
      <c r="CS603" s="26"/>
    </row>
    <row r="604" spans="1:97" s="27" customFormat="1" ht="23.25" customHeight="1">
      <c r="A604" s="4">
        <v>554</v>
      </c>
      <c r="B604" s="6"/>
      <c r="C604" s="6"/>
      <c r="D604" s="6"/>
      <c r="E604" s="6"/>
      <c r="F604" s="6"/>
      <c r="G604" s="6"/>
      <c r="H604" s="5"/>
      <c r="I604" s="6"/>
      <c r="J604" s="7" t="s">
        <v>11061</v>
      </c>
      <c r="K604" s="7" t="s">
        <v>1678</v>
      </c>
      <c r="L604" s="8"/>
      <c r="M604" s="5">
        <v>1662</v>
      </c>
      <c r="N604" s="5">
        <v>3154195720</v>
      </c>
      <c r="O604" s="9" t="s">
        <v>11062</v>
      </c>
      <c r="P604" s="10" t="s">
        <v>11063</v>
      </c>
      <c r="Q604" s="389" t="s">
        <v>11064</v>
      </c>
      <c r="R604" s="8" t="s">
        <v>11294</v>
      </c>
      <c r="S604" s="212" t="s">
        <v>13585</v>
      </c>
      <c r="T604" s="8" t="s">
        <v>11065</v>
      </c>
      <c r="U604" s="11" t="s">
        <v>172</v>
      </c>
      <c r="V604" s="12" t="s">
        <v>94</v>
      </c>
      <c r="W604" s="13">
        <v>42013</v>
      </c>
      <c r="X604" s="5" t="str">
        <f t="shared" ca="1" si="25"/>
        <v>11 Th, 8 Bln</v>
      </c>
      <c r="Y604" s="5"/>
      <c r="Z604" s="14"/>
      <c r="AA604" s="5" t="s">
        <v>96</v>
      </c>
      <c r="AB604" s="5"/>
      <c r="AC604" s="7" t="s">
        <v>11066</v>
      </c>
      <c r="AD604" s="131">
        <v>8</v>
      </c>
      <c r="AE604" s="131">
        <v>6</v>
      </c>
      <c r="AF604" s="7" t="s">
        <v>11067</v>
      </c>
      <c r="AG604" s="7" t="s">
        <v>1467</v>
      </c>
      <c r="AH604" s="7" t="s">
        <v>1467</v>
      </c>
      <c r="AI604" s="7"/>
      <c r="AJ604" s="7" t="s">
        <v>103</v>
      </c>
      <c r="AK604" s="7"/>
      <c r="AL604" s="7"/>
      <c r="AM604" s="15">
        <v>0</v>
      </c>
      <c r="AN604" s="15"/>
      <c r="AO604" s="8">
        <v>2</v>
      </c>
      <c r="AP604" s="8"/>
      <c r="AQ604" s="8"/>
      <c r="AR604" s="8"/>
      <c r="AS604" s="132" t="s">
        <v>2614</v>
      </c>
      <c r="AT604" s="131" t="s">
        <v>2509</v>
      </c>
      <c r="AU604" s="132"/>
      <c r="AV604" s="16"/>
      <c r="AW604" s="56"/>
      <c r="AX604" s="56"/>
      <c r="AY604" s="7" t="s">
        <v>11068</v>
      </c>
      <c r="AZ604" s="10" t="s">
        <v>11069</v>
      </c>
      <c r="BA604" s="7" t="s">
        <v>94</v>
      </c>
      <c r="BB604" s="17">
        <v>24490</v>
      </c>
      <c r="BC604" s="17"/>
      <c r="BD604" s="18">
        <v>2147483647</v>
      </c>
      <c r="BE604" s="7" t="s">
        <v>224</v>
      </c>
      <c r="BF604" s="7" t="s">
        <v>11070</v>
      </c>
      <c r="BG604" s="7" t="s">
        <v>11071</v>
      </c>
      <c r="BH604" s="7" t="s">
        <v>11072</v>
      </c>
      <c r="BI604" s="19" t="s">
        <v>11073</v>
      </c>
      <c r="BJ604" s="20">
        <v>5000000</v>
      </c>
      <c r="BK604" s="21" t="s">
        <v>11074</v>
      </c>
      <c r="BL604" s="7" t="s">
        <v>11075</v>
      </c>
      <c r="BM604" s="22" t="s">
        <v>11076</v>
      </c>
      <c r="BN604" s="8" t="s">
        <v>94</v>
      </c>
      <c r="BO604" s="17">
        <v>31668</v>
      </c>
      <c r="BP604" s="17"/>
      <c r="BQ604" s="18" t="s">
        <v>10013</v>
      </c>
      <c r="BR604" s="7" t="s">
        <v>118</v>
      </c>
      <c r="BS604" s="7" t="s">
        <v>471</v>
      </c>
      <c r="BT604" s="7" t="s">
        <v>1985</v>
      </c>
      <c r="BU604" s="8" t="s">
        <v>11077</v>
      </c>
      <c r="BV604" s="23" t="s">
        <v>11078</v>
      </c>
      <c r="BW604" s="24">
        <v>3200000</v>
      </c>
      <c r="BX604" s="21" t="s">
        <v>11079</v>
      </c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N604" s="25"/>
      <c r="CO604" s="25"/>
      <c r="CP604" s="25"/>
      <c r="CQ604" s="25"/>
      <c r="CR604" s="25"/>
      <c r="CS604" s="26"/>
    </row>
    <row r="605" spans="1:97" s="27" customFormat="1" ht="21" customHeight="1">
      <c r="A605" s="4">
        <v>525</v>
      </c>
      <c r="B605" s="6"/>
      <c r="C605" s="6"/>
      <c r="D605" s="6"/>
      <c r="E605" s="6"/>
      <c r="F605" s="6"/>
      <c r="G605" s="6"/>
      <c r="H605" s="5"/>
      <c r="I605" s="6"/>
      <c r="J605" s="7" t="s">
        <v>166</v>
      </c>
      <c r="K605" s="7" t="s">
        <v>9789</v>
      </c>
      <c r="L605" s="8"/>
      <c r="M605" s="5">
        <v>1664</v>
      </c>
      <c r="N605" s="5" t="s">
        <v>10587</v>
      </c>
      <c r="O605" s="9" t="s">
        <v>6922</v>
      </c>
      <c r="P605" s="10" t="s">
        <v>10588</v>
      </c>
      <c r="Q605" s="389" t="s">
        <v>10589</v>
      </c>
      <c r="R605" s="8" t="s">
        <v>11294</v>
      </c>
      <c r="S605" s="212" t="s">
        <v>13585</v>
      </c>
      <c r="T605" s="8" t="s">
        <v>10590</v>
      </c>
      <c r="U605" s="11" t="s">
        <v>172</v>
      </c>
      <c r="V605" s="12" t="s">
        <v>94</v>
      </c>
      <c r="W605" s="13">
        <v>41947</v>
      </c>
      <c r="X605" s="5" t="str">
        <f t="shared" ca="1" si="25"/>
        <v>11 Th, 10 Bln</v>
      </c>
      <c r="Y605" s="5"/>
      <c r="Z605" s="14"/>
      <c r="AA605" s="5" t="s">
        <v>96</v>
      </c>
      <c r="AB605" s="5"/>
      <c r="AC605" s="7" t="s">
        <v>10591</v>
      </c>
      <c r="AD605" s="131">
        <v>2</v>
      </c>
      <c r="AE605" s="131">
        <v>5</v>
      </c>
      <c r="AF605" s="7" t="s">
        <v>2359</v>
      </c>
      <c r="AG605" s="7" t="s">
        <v>241</v>
      </c>
      <c r="AH605" s="7" t="s">
        <v>241</v>
      </c>
      <c r="AI605" s="7"/>
      <c r="AJ605" s="7" t="s">
        <v>103</v>
      </c>
      <c r="AK605" s="7"/>
      <c r="AL605" s="7"/>
      <c r="AM605" s="15">
        <v>0</v>
      </c>
      <c r="AN605" s="15"/>
      <c r="AO605" s="8">
        <v>1</v>
      </c>
      <c r="AP605" s="8"/>
      <c r="AQ605" s="8"/>
      <c r="AR605" s="8"/>
      <c r="AS605" s="132" t="s">
        <v>4169</v>
      </c>
      <c r="AT605" s="131" t="s">
        <v>2593</v>
      </c>
      <c r="AU605" s="132"/>
      <c r="AV605" s="16"/>
      <c r="AW605" s="56"/>
      <c r="AX605" s="56"/>
      <c r="AY605" s="7" t="s">
        <v>6928</v>
      </c>
      <c r="AZ605" s="10" t="s">
        <v>6929</v>
      </c>
      <c r="BA605" s="7" t="s">
        <v>94</v>
      </c>
      <c r="BB605" s="17">
        <v>33513</v>
      </c>
      <c r="BC605" s="17"/>
      <c r="BD605" s="18">
        <v>2147483647</v>
      </c>
      <c r="BE605" s="7" t="s">
        <v>4783</v>
      </c>
      <c r="BF605" s="7" t="s">
        <v>2059</v>
      </c>
      <c r="BG605" s="7" t="s">
        <v>10592</v>
      </c>
      <c r="BH605" s="7" t="s">
        <v>6932</v>
      </c>
      <c r="BI605" s="19" t="s">
        <v>10593</v>
      </c>
      <c r="BJ605" s="20">
        <v>7000000</v>
      </c>
      <c r="BK605" s="21" t="s">
        <v>6934</v>
      </c>
      <c r="BL605" s="7" t="s">
        <v>6935</v>
      </c>
      <c r="BM605" s="22" t="s">
        <v>6936</v>
      </c>
      <c r="BN605" s="8" t="s">
        <v>94</v>
      </c>
      <c r="BO605" s="17">
        <v>33721</v>
      </c>
      <c r="BP605" s="17"/>
      <c r="BQ605" s="18" t="s">
        <v>10013</v>
      </c>
      <c r="BR605" s="7" t="s">
        <v>8617</v>
      </c>
      <c r="BS605" s="7" t="s">
        <v>247</v>
      </c>
      <c r="BT605" s="7" t="s">
        <v>10594</v>
      </c>
      <c r="BU605" s="8" t="s">
        <v>10595</v>
      </c>
      <c r="BV605" s="23" t="s">
        <v>9517</v>
      </c>
      <c r="BW605" s="24">
        <v>1000000</v>
      </c>
      <c r="BX605" s="21" t="s">
        <v>6937</v>
      </c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N605" s="25"/>
      <c r="CO605" s="25"/>
      <c r="CP605" s="25"/>
      <c r="CQ605" s="25"/>
      <c r="CR605" s="25"/>
      <c r="CS605" s="26"/>
    </row>
    <row r="606" spans="1:97" s="27" customFormat="1">
      <c r="A606" s="4">
        <v>497</v>
      </c>
      <c r="B606" s="6"/>
      <c r="C606" s="6"/>
      <c r="D606" s="6"/>
      <c r="E606" s="6"/>
      <c r="F606" s="6"/>
      <c r="G606" s="6"/>
      <c r="H606" s="5"/>
      <c r="I606" s="6"/>
      <c r="J606" s="7" t="s">
        <v>9288</v>
      </c>
      <c r="K606" s="7" t="s">
        <v>10185</v>
      </c>
      <c r="L606" s="8"/>
      <c r="M606" s="5">
        <v>1667</v>
      </c>
      <c r="N606" s="5" t="s">
        <v>10186</v>
      </c>
      <c r="O606" s="9" t="s">
        <v>10187</v>
      </c>
      <c r="P606" s="10" t="s">
        <v>10188</v>
      </c>
      <c r="Q606" s="389" t="s">
        <v>10189</v>
      </c>
      <c r="R606" s="8" t="s">
        <v>11294</v>
      </c>
      <c r="S606" s="212" t="s">
        <v>13585</v>
      </c>
      <c r="T606" s="8" t="s">
        <v>3544</v>
      </c>
      <c r="U606" s="11" t="s">
        <v>172</v>
      </c>
      <c r="V606" s="12" t="s">
        <v>94</v>
      </c>
      <c r="W606" s="13">
        <v>41827</v>
      </c>
      <c r="X606" s="5" t="str">
        <f t="shared" ca="1" si="25"/>
        <v>12 Th, 2 Bln</v>
      </c>
      <c r="Y606" s="5"/>
      <c r="Z606" s="14"/>
      <c r="AA606" s="5" t="s">
        <v>96</v>
      </c>
      <c r="AB606" s="5"/>
      <c r="AC606" s="7" t="s">
        <v>10190</v>
      </c>
      <c r="AD606" s="131">
        <v>8</v>
      </c>
      <c r="AE606" s="131">
        <v>4</v>
      </c>
      <c r="AF606" s="7" t="s">
        <v>942</v>
      </c>
      <c r="AG606" s="7" t="s">
        <v>178</v>
      </c>
      <c r="AH606" s="7" t="s">
        <v>178</v>
      </c>
      <c r="AI606" s="7"/>
      <c r="AJ606" s="7" t="s">
        <v>103</v>
      </c>
      <c r="AK606" s="7"/>
      <c r="AL606" s="7"/>
      <c r="AM606" s="15">
        <v>0</v>
      </c>
      <c r="AN606" s="15"/>
      <c r="AO606" s="8">
        <v>2</v>
      </c>
      <c r="AP606" s="8"/>
      <c r="AQ606" s="8"/>
      <c r="AR606" s="8"/>
      <c r="AS606" s="132" t="s">
        <v>10191</v>
      </c>
      <c r="AT606" s="131" t="s">
        <v>10192</v>
      </c>
      <c r="AU606" s="132"/>
      <c r="AV606" s="16"/>
      <c r="AW606" s="56"/>
      <c r="AX606" s="56"/>
      <c r="AY606" s="7" t="s">
        <v>10193</v>
      </c>
      <c r="AZ606" s="10" t="s">
        <v>10194</v>
      </c>
      <c r="BA606" s="7" t="s">
        <v>94</v>
      </c>
      <c r="BB606" s="17">
        <v>28347</v>
      </c>
      <c r="BC606" s="17"/>
      <c r="BD606" s="18">
        <v>2147483647</v>
      </c>
      <c r="BE606" s="7" t="s">
        <v>2193</v>
      </c>
      <c r="BF606" s="7" t="s">
        <v>327</v>
      </c>
      <c r="BG606" s="7" t="s">
        <v>10195</v>
      </c>
      <c r="BH606" s="7" t="s">
        <v>10196</v>
      </c>
      <c r="BI606" s="19">
        <v>0</v>
      </c>
      <c r="BJ606" s="20">
        <v>6000000</v>
      </c>
      <c r="BK606" s="21" t="s">
        <v>10197</v>
      </c>
      <c r="BL606" s="7" t="s">
        <v>10198</v>
      </c>
      <c r="BM606" s="22" t="s">
        <v>10199</v>
      </c>
      <c r="BN606" s="8" t="s">
        <v>395</v>
      </c>
      <c r="BO606" s="17">
        <v>29770</v>
      </c>
      <c r="BP606" s="17"/>
      <c r="BQ606" s="18">
        <v>2147483647</v>
      </c>
      <c r="BR606" s="7" t="s">
        <v>4783</v>
      </c>
      <c r="BS606" s="7" t="s">
        <v>327</v>
      </c>
      <c r="BT606" s="7" t="s">
        <v>926</v>
      </c>
      <c r="BU606" s="8" t="s">
        <v>10200</v>
      </c>
      <c r="BV606" s="23" t="s">
        <v>10201</v>
      </c>
      <c r="BW606" s="24">
        <v>4000000</v>
      </c>
      <c r="BX606" s="21" t="s">
        <v>10202</v>
      </c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N606" s="25"/>
      <c r="CO606" s="25"/>
      <c r="CP606" s="25"/>
      <c r="CQ606" s="25"/>
      <c r="CR606" s="25"/>
      <c r="CS606" s="26"/>
    </row>
    <row r="607" spans="1:97" s="27" customFormat="1" ht="23.25" customHeight="1">
      <c r="A607" s="4">
        <v>471</v>
      </c>
      <c r="B607" s="6"/>
      <c r="C607" s="6"/>
      <c r="D607" s="6"/>
      <c r="E607" s="6"/>
      <c r="F607" s="6"/>
      <c r="G607" s="6"/>
      <c r="H607" s="5"/>
      <c r="I607" s="6"/>
      <c r="J607" s="7" t="s">
        <v>429</v>
      </c>
      <c r="K607" s="7" t="s">
        <v>9770</v>
      </c>
      <c r="L607" s="8"/>
      <c r="M607" s="5">
        <v>1668</v>
      </c>
      <c r="N607" s="5">
        <v>3141751594</v>
      </c>
      <c r="O607" s="9" t="s">
        <v>9771</v>
      </c>
      <c r="P607" s="10" t="s">
        <v>9772</v>
      </c>
      <c r="Q607" s="389" t="s">
        <v>9773</v>
      </c>
      <c r="R607" s="8" t="s">
        <v>11294</v>
      </c>
      <c r="S607" s="212" t="s">
        <v>13585</v>
      </c>
      <c r="T607" s="8" t="s">
        <v>9774</v>
      </c>
      <c r="U607" s="11" t="s">
        <v>172</v>
      </c>
      <c r="V607" s="12" t="s">
        <v>94</v>
      </c>
      <c r="W607" s="13">
        <v>41894</v>
      </c>
      <c r="X607" s="5" t="str">
        <f t="shared" ca="1" si="25"/>
        <v>12 Th, 0 Bln</v>
      </c>
      <c r="Y607" s="5"/>
      <c r="Z607" s="14"/>
      <c r="AA607" s="5" t="s">
        <v>96</v>
      </c>
      <c r="AB607" s="5"/>
      <c r="AC607" s="7" t="s">
        <v>9775</v>
      </c>
      <c r="AD607" s="131">
        <v>1</v>
      </c>
      <c r="AE607" s="131">
        <v>8</v>
      </c>
      <c r="AF607" s="7" t="s">
        <v>8258</v>
      </c>
      <c r="AG607" s="7" t="s">
        <v>102</v>
      </c>
      <c r="AH607" s="7" t="s">
        <v>102</v>
      </c>
      <c r="AI607" s="7"/>
      <c r="AJ607" s="7" t="s">
        <v>103</v>
      </c>
      <c r="AK607" s="7"/>
      <c r="AL607" s="7"/>
      <c r="AM607" s="15" t="s">
        <v>127</v>
      </c>
      <c r="AN607" s="15"/>
      <c r="AO607" s="8">
        <v>2</v>
      </c>
      <c r="AP607" s="8"/>
      <c r="AQ607" s="8"/>
      <c r="AR607" s="8"/>
      <c r="AS607" s="132" t="s">
        <v>2461</v>
      </c>
      <c r="AT607" s="131" t="s">
        <v>2593</v>
      </c>
      <c r="AU607" s="132"/>
      <c r="AV607" s="16"/>
      <c r="AW607" s="56"/>
      <c r="AX607" s="56"/>
      <c r="AY607" s="7" t="s">
        <v>9776</v>
      </c>
      <c r="AZ607" s="10" t="s">
        <v>9777</v>
      </c>
      <c r="BA607" s="7" t="s">
        <v>94</v>
      </c>
      <c r="BB607" s="17">
        <v>27585</v>
      </c>
      <c r="BC607" s="17"/>
      <c r="BD607" s="18" t="s">
        <v>9778</v>
      </c>
      <c r="BE607" s="7" t="s">
        <v>224</v>
      </c>
      <c r="BF607" s="7" t="s">
        <v>154</v>
      </c>
      <c r="BG607" s="7" t="s">
        <v>9779</v>
      </c>
      <c r="BH607" s="7" t="s">
        <v>9780</v>
      </c>
      <c r="BI607" s="19" t="s">
        <v>9781</v>
      </c>
      <c r="BJ607" s="20">
        <v>8000000</v>
      </c>
      <c r="BK607" s="21" t="s">
        <v>9782</v>
      </c>
      <c r="BL607" s="7" t="s">
        <v>9783</v>
      </c>
      <c r="BM607" s="22" t="s">
        <v>9784</v>
      </c>
      <c r="BN607" s="8" t="s">
        <v>1208</v>
      </c>
      <c r="BO607" s="17">
        <v>30427</v>
      </c>
      <c r="BP607" s="17"/>
      <c r="BQ607" s="18" t="s">
        <v>9785</v>
      </c>
      <c r="BR607" s="7" t="s">
        <v>153</v>
      </c>
      <c r="BS607" s="7" t="s">
        <v>247</v>
      </c>
      <c r="BT607" s="7" t="s">
        <v>9786</v>
      </c>
      <c r="BU607" s="8" t="s">
        <v>9787</v>
      </c>
      <c r="BV607" s="23" t="s">
        <v>9785</v>
      </c>
      <c r="BW607" s="24">
        <v>2000000</v>
      </c>
      <c r="BX607" s="21" t="s">
        <v>9788</v>
      </c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N607" s="25"/>
      <c r="CO607" s="25"/>
      <c r="CP607" s="25"/>
      <c r="CQ607" s="25"/>
      <c r="CR607" s="25"/>
      <c r="CS607" s="26"/>
    </row>
    <row r="608" spans="1:97" s="27" customFormat="1" ht="23.25" customHeight="1">
      <c r="A608" s="4">
        <v>557</v>
      </c>
      <c r="B608" s="6"/>
      <c r="C608" s="6"/>
      <c r="D608" s="6"/>
      <c r="E608" s="6"/>
      <c r="F608" s="6"/>
      <c r="G608" s="6"/>
      <c r="H608" s="5"/>
      <c r="I608" s="6"/>
      <c r="J608" s="7" t="s">
        <v>166</v>
      </c>
      <c r="K608" s="7" t="s">
        <v>8281</v>
      </c>
      <c r="L608" s="8"/>
      <c r="M608" s="5">
        <v>1678</v>
      </c>
      <c r="N608" s="10" t="s">
        <v>11472</v>
      </c>
      <c r="O608" s="9" t="s">
        <v>11131</v>
      </c>
      <c r="P608" s="10" t="s">
        <v>11132</v>
      </c>
      <c r="Q608" s="389" t="s">
        <v>11133</v>
      </c>
      <c r="R608" s="8" t="s">
        <v>11294</v>
      </c>
      <c r="S608" s="212" t="s">
        <v>13585</v>
      </c>
      <c r="T608" s="8" t="s">
        <v>11134</v>
      </c>
      <c r="U608" s="11" t="s">
        <v>172</v>
      </c>
      <c r="V608" s="12" t="s">
        <v>94</v>
      </c>
      <c r="W608" s="13">
        <v>41805</v>
      </c>
      <c r="X608" s="5" t="str">
        <f t="shared" ca="1" si="25"/>
        <v>12 Th, 3 Bln</v>
      </c>
      <c r="Y608" s="5"/>
      <c r="Z608" s="14"/>
      <c r="AA608" s="5" t="s">
        <v>96</v>
      </c>
      <c r="AB608" s="5"/>
      <c r="AC608" s="7" t="s">
        <v>11135</v>
      </c>
      <c r="AD608" s="131">
        <v>10</v>
      </c>
      <c r="AE608" s="131">
        <v>3</v>
      </c>
      <c r="AF608" s="7" t="s">
        <v>5702</v>
      </c>
      <c r="AG608" s="7" t="s">
        <v>241</v>
      </c>
      <c r="AH608" s="7" t="s">
        <v>241</v>
      </c>
      <c r="AI608" s="7"/>
      <c r="AJ608" s="7" t="s">
        <v>103</v>
      </c>
      <c r="AK608" s="7"/>
      <c r="AL608" s="7"/>
      <c r="AM608" s="15" t="s">
        <v>127</v>
      </c>
      <c r="AN608" s="15"/>
      <c r="AO608" s="8">
        <v>2</v>
      </c>
      <c r="AP608" s="8"/>
      <c r="AQ608" s="8"/>
      <c r="AR608" s="8"/>
      <c r="AS608" s="132" t="s">
        <v>11136</v>
      </c>
      <c r="AT608" s="131" t="s">
        <v>1178</v>
      </c>
      <c r="AU608" s="132"/>
      <c r="AV608" s="16"/>
      <c r="AW608" s="56"/>
      <c r="AX608" s="56"/>
      <c r="AY608" s="7" t="s">
        <v>11137</v>
      </c>
      <c r="AZ608" s="10" t="s">
        <v>11138</v>
      </c>
      <c r="BA608" s="7" t="s">
        <v>395</v>
      </c>
      <c r="BB608" s="17">
        <v>30659</v>
      </c>
      <c r="BC608" s="17"/>
      <c r="BD608" s="18" t="s">
        <v>11139</v>
      </c>
      <c r="BE608" s="7" t="s">
        <v>118</v>
      </c>
      <c r="BF608" s="7" t="s">
        <v>276</v>
      </c>
      <c r="BG608" s="7" t="s">
        <v>11140</v>
      </c>
      <c r="BH608" s="7" t="s">
        <v>11141</v>
      </c>
      <c r="BI608" s="19" t="s">
        <v>11142</v>
      </c>
      <c r="BJ608" s="20">
        <v>8000000</v>
      </c>
      <c r="BK608" s="21" t="s">
        <v>11143</v>
      </c>
      <c r="BL608" s="7" t="s">
        <v>11144</v>
      </c>
      <c r="BM608" s="22" t="s">
        <v>11145</v>
      </c>
      <c r="BN608" s="8" t="s">
        <v>263</v>
      </c>
      <c r="BO608" s="17">
        <v>31134</v>
      </c>
      <c r="BP608" s="17"/>
      <c r="BQ608" s="18" t="s">
        <v>11139</v>
      </c>
      <c r="BR608" s="7" t="s">
        <v>118</v>
      </c>
      <c r="BS608" s="7" t="s">
        <v>471</v>
      </c>
      <c r="BT608" s="7" t="s">
        <v>11146</v>
      </c>
      <c r="BU608" s="8" t="s">
        <v>11147</v>
      </c>
      <c r="BV608" s="23" t="s">
        <v>11148</v>
      </c>
      <c r="BW608" s="24">
        <v>3400000</v>
      </c>
      <c r="BX608" s="21" t="s">
        <v>11149</v>
      </c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N608" s="25"/>
      <c r="CO608" s="25"/>
      <c r="CP608" s="25"/>
      <c r="CQ608" s="25"/>
      <c r="CR608" s="25"/>
      <c r="CS608" s="26"/>
    </row>
    <row r="609" spans="1:97" s="27" customFormat="1" ht="23.25" customHeight="1">
      <c r="A609" s="4">
        <v>558</v>
      </c>
      <c r="B609" s="6"/>
      <c r="C609" s="6"/>
      <c r="D609" s="6"/>
      <c r="E609" s="6"/>
      <c r="F609" s="6"/>
      <c r="G609" s="6"/>
      <c r="H609" s="5"/>
      <c r="I609" s="6"/>
      <c r="J609" s="7" t="s">
        <v>11150</v>
      </c>
      <c r="K609" s="7" t="s">
        <v>11151</v>
      </c>
      <c r="L609" s="8"/>
      <c r="M609" s="5">
        <v>1679</v>
      </c>
      <c r="N609" s="5" t="s">
        <v>11152</v>
      </c>
      <c r="O609" s="9" t="s">
        <v>11153</v>
      </c>
      <c r="P609" s="10" t="s">
        <v>11154</v>
      </c>
      <c r="Q609" s="389" t="s">
        <v>11155</v>
      </c>
      <c r="R609" s="8" t="s">
        <v>11294</v>
      </c>
      <c r="S609" s="212" t="s">
        <v>13585</v>
      </c>
      <c r="T609" s="8" t="s">
        <v>11156</v>
      </c>
      <c r="U609" s="11" t="s">
        <v>172</v>
      </c>
      <c r="V609" s="12" t="s">
        <v>94</v>
      </c>
      <c r="W609" s="13">
        <v>42133</v>
      </c>
      <c r="X609" s="5" t="str">
        <f t="shared" ca="1" si="25"/>
        <v>11 Th, 4 Bln</v>
      </c>
      <c r="Y609" s="5"/>
      <c r="Z609" s="14"/>
      <c r="AA609" s="5" t="s">
        <v>96</v>
      </c>
      <c r="AB609" s="5"/>
      <c r="AC609" s="7" t="s">
        <v>11157</v>
      </c>
      <c r="AD609" s="131"/>
      <c r="AE609" s="131"/>
      <c r="AF609" s="7" t="s">
        <v>240</v>
      </c>
      <c r="AG609" s="7" t="s">
        <v>241</v>
      </c>
      <c r="AH609" s="7" t="s">
        <v>241</v>
      </c>
      <c r="AI609" s="7"/>
      <c r="AJ609" s="7" t="s">
        <v>103</v>
      </c>
      <c r="AK609" s="7"/>
      <c r="AL609" s="7"/>
      <c r="AM609" s="15"/>
      <c r="AN609" s="15"/>
      <c r="AO609" s="8">
        <v>2</v>
      </c>
      <c r="AP609" s="8"/>
      <c r="AQ609" s="8"/>
      <c r="AR609" s="8"/>
      <c r="AS609" s="132" t="s">
        <v>3667</v>
      </c>
      <c r="AT609" s="131" t="s">
        <v>3022</v>
      </c>
      <c r="AU609" s="132"/>
      <c r="AV609" s="16"/>
      <c r="AW609" s="56"/>
      <c r="AX609" s="56"/>
      <c r="AY609" s="7" t="s">
        <v>11158</v>
      </c>
      <c r="AZ609" s="10" t="s">
        <v>11159</v>
      </c>
      <c r="BA609" s="7" t="s">
        <v>395</v>
      </c>
      <c r="BB609" s="17">
        <v>31218</v>
      </c>
      <c r="BC609" s="17"/>
      <c r="BD609" s="18" t="s">
        <v>11160</v>
      </c>
      <c r="BE609" s="7" t="s">
        <v>4783</v>
      </c>
      <c r="BF609" s="7" t="s">
        <v>1526</v>
      </c>
      <c r="BG609" s="7" t="s">
        <v>11161</v>
      </c>
      <c r="BH609" s="7" t="s">
        <v>11162</v>
      </c>
      <c r="BI609" s="19" t="s">
        <v>11163</v>
      </c>
      <c r="BJ609" s="20">
        <v>10000000</v>
      </c>
      <c r="BK609" s="21" t="s">
        <v>11164</v>
      </c>
      <c r="BL609" s="7" t="s">
        <v>11165</v>
      </c>
      <c r="BM609" s="22" t="s">
        <v>11166</v>
      </c>
      <c r="BN609" s="8" t="s">
        <v>444</v>
      </c>
      <c r="BO609" s="17">
        <v>31383</v>
      </c>
      <c r="BP609" s="17"/>
      <c r="BQ609" s="18" t="s">
        <v>11160</v>
      </c>
      <c r="BR609" s="7" t="s">
        <v>4783</v>
      </c>
      <c r="BS609" s="7" t="s">
        <v>8791</v>
      </c>
      <c r="BT609" s="7" t="s">
        <v>11167</v>
      </c>
      <c r="BU609" s="8" t="s">
        <v>11168</v>
      </c>
      <c r="BV609" s="23" t="s">
        <v>8776</v>
      </c>
      <c r="BW609" s="24">
        <v>5000000</v>
      </c>
      <c r="BX609" s="21" t="s">
        <v>11169</v>
      </c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N609" s="25"/>
      <c r="CO609" s="25"/>
      <c r="CP609" s="25"/>
      <c r="CQ609" s="25"/>
      <c r="CR609" s="25"/>
      <c r="CS609" s="26"/>
    </row>
    <row r="610" spans="1:97" s="27" customFormat="1" ht="23.25" customHeight="1">
      <c r="A610" s="4">
        <v>476</v>
      </c>
      <c r="B610" s="6"/>
      <c r="C610" s="6"/>
      <c r="D610" s="6"/>
      <c r="E610" s="6"/>
      <c r="F610" s="6"/>
      <c r="G610" s="6"/>
      <c r="H610" s="5"/>
      <c r="I610" s="6"/>
      <c r="J610" s="7" t="s">
        <v>2607</v>
      </c>
      <c r="K610" s="7" t="s">
        <v>9850</v>
      </c>
      <c r="L610" s="8"/>
      <c r="M610" s="5">
        <v>1683</v>
      </c>
      <c r="N610" s="5" t="s">
        <v>9851</v>
      </c>
      <c r="O610" s="9" t="s">
        <v>9852</v>
      </c>
      <c r="P610" s="10" t="s">
        <v>9853</v>
      </c>
      <c r="Q610" s="389" t="s">
        <v>9854</v>
      </c>
      <c r="R610" s="8" t="s">
        <v>11294</v>
      </c>
      <c r="S610" s="212" t="s">
        <v>13585</v>
      </c>
      <c r="T610" s="8" t="s">
        <v>9855</v>
      </c>
      <c r="U610" s="11" t="s">
        <v>93</v>
      </c>
      <c r="V610" s="12" t="s">
        <v>94</v>
      </c>
      <c r="W610" s="13">
        <v>41620</v>
      </c>
      <c r="X610" s="5" t="str">
        <f t="shared" ca="1" si="25"/>
        <v>12 Th, 9 Bln</v>
      </c>
      <c r="Y610" s="5"/>
      <c r="Z610" s="14"/>
      <c r="AA610" s="5" t="s">
        <v>96</v>
      </c>
      <c r="AB610" s="5"/>
      <c r="AC610" s="7" t="s">
        <v>9856</v>
      </c>
      <c r="AD610" s="131"/>
      <c r="AE610" s="131"/>
      <c r="AF610" s="7" t="s">
        <v>2158</v>
      </c>
      <c r="AG610" s="7" t="s">
        <v>2159</v>
      </c>
      <c r="AH610" s="7" t="s">
        <v>2159</v>
      </c>
      <c r="AI610" s="7"/>
      <c r="AJ610" s="7" t="s">
        <v>103</v>
      </c>
      <c r="AK610" s="7"/>
      <c r="AL610" s="7"/>
      <c r="AM610" s="15" t="s">
        <v>9857</v>
      </c>
      <c r="AN610" s="15"/>
      <c r="AO610" s="8">
        <v>2</v>
      </c>
      <c r="AP610" s="8"/>
      <c r="AQ610" s="8"/>
      <c r="AR610" s="8"/>
      <c r="AS610" s="132" t="s">
        <v>3864</v>
      </c>
      <c r="AT610" s="131" t="s">
        <v>2462</v>
      </c>
      <c r="AU610" s="132"/>
      <c r="AV610" s="16"/>
      <c r="AW610" s="56"/>
      <c r="AX610" s="56"/>
      <c r="AY610" s="7" t="s">
        <v>9858</v>
      </c>
      <c r="AZ610" s="10" t="s">
        <v>9859</v>
      </c>
      <c r="BA610" s="7" t="s">
        <v>94</v>
      </c>
      <c r="BB610" s="17">
        <v>30249</v>
      </c>
      <c r="BC610" s="17"/>
      <c r="BD610" s="18">
        <v>2147483647</v>
      </c>
      <c r="BE610" s="7" t="s">
        <v>9860</v>
      </c>
      <c r="BF610" s="7" t="s">
        <v>471</v>
      </c>
      <c r="BG610" s="7" t="s">
        <v>9861</v>
      </c>
      <c r="BH610" s="7" t="s">
        <v>9862</v>
      </c>
      <c r="BI610" s="19" t="s">
        <v>9863</v>
      </c>
      <c r="BJ610" s="20">
        <v>20000000</v>
      </c>
      <c r="BK610" s="21" t="s">
        <v>9864</v>
      </c>
      <c r="BL610" s="7" t="s">
        <v>9865</v>
      </c>
      <c r="BM610" s="22" t="s">
        <v>9866</v>
      </c>
      <c r="BN610" s="8" t="s">
        <v>94</v>
      </c>
      <c r="BO610" s="17">
        <v>31230</v>
      </c>
      <c r="BP610" s="17"/>
      <c r="BQ610" s="18">
        <v>2147483647</v>
      </c>
      <c r="BR610" s="7" t="s">
        <v>9867</v>
      </c>
      <c r="BS610" s="7" t="s">
        <v>126</v>
      </c>
      <c r="BT610" s="7" t="s">
        <v>127</v>
      </c>
      <c r="BU610" s="8" t="s">
        <v>127</v>
      </c>
      <c r="BV610" s="23" t="s">
        <v>9868</v>
      </c>
      <c r="BW610" s="24" t="s">
        <v>127</v>
      </c>
      <c r="BX610" s="21" t="s">
        <v>9869</v>
      </c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N610" s="25"/>
      <c r="CO610" s="25"/>
      <c r="CP610" s="25"/>
      <c r="CQ610" s="25"/>
      <c r="CR610" s="25"/>
      <c r="CS610" s="26"/>
    </row>
    <row r="611" spans="1:97" s="27" customFormat="1" ht="23.25" customHeight="1">
      <c r="A611" s="4">
        <v>531</v>
      </c>
      <c r="B611" s="6"/>
      <c r="C611" s="6"/>
      <c r="D611" s="6"/>
      <c r="E611" s="6"/>
      <c r="F611" s="6"/>
      <c r="G611" s="6"/>
      <c r="H611" s="5"/>
      <c r="I611" s="6"/>
      <c r="J611" s="7" t="s">
        <v>166</v>
      </c>
      <c r="K611" s="7" t="s">
        <v>2567</v>
      </c>
      <c r="L611" s="8"/>
      <c r="M611" s="5">
        <v>1684</v>
      </c>
      <c r="N611" s="5" t="s">
        <v>10691</v>
      </c>
      <c r="O611" s="9" t="s">
        <v>10692</v>
      </c>
      <c r="P611" s="10" t="s">
        <v>10693</v>
      </c>
      <c r="Q611" s="389" t="s">
        <v>10694</v>
      </c>
      <c r="R611" s="8" t="s">
        <v>11294</v>
      </c>
      <c r="S611" s="212" t="s">
        <v>13585</v>
      </c>
      <c r="T611" s="8" t="s">
        <v>10695</v>
      </c>
      <c r="U611" s="11" t="s">
        <v>172</v>
      </c>
      <c r="V611" s="12" t="s">
        <v>424</v>
      </c>
      <c r="W611" s="13">
        <v>42011</v>
      </c>
      <c r="X611" s="5" t="str">
        <f t="shared" ca="1" si="25"/>
        <v>11 Th, 8 Bln</v>
      </c>
      <c r="Y611" s="5"/>
      <c r="Z611" s="14"/>
      <c r="AA611" s="5" t="s">
        <v>96</v>
      </c>
      <c r="AB611" s="5"/>
      <c r="AC611" s="7" t="s">
        <v>10696</v>
      </c>
      <c r="AD611" s="131">
        <v>3</v>
      </c>
      <c r="AE611" s="131">
        <v>19</v>
      </c>
      <c r="AF611" s="7" t="s">
        <v>615</v>
      </c>
      <c r="AG611" s="7" t="s">
        <v>178</v>
      </c>
      <c r="AH611" s="7" t="s">
        <v>178</v>
      </c>
      <c r="AI611" s="7"/>
      <c r="AJ611" s="7" t="s">
        <v>103</v>
      </c>
      <c r="AK611" s="7"/>
      <c r="AL611" s="7"/>
      <c r="AM611" s="15">
        <v>0</v>
      </c>
      <c r="AN611" s="15"/>
      <c r="AO611" s="8">
        <v>3</v>
      </c>
      <c r="AP611" s="8"/>
      <c r="AQ611" s="8"/>
      <c r="AR611" s="8"/>
      <c r="AS611" s="132" t="s">
        <v>2779</v>
      </c>
      <c r="AT611" s="131" t="s">
        <v>2483</v>
      </c>
      <c r="AU611" s="132"/>
      <c r="AV611" s="16"/>
      <c r="AW611" s="56"/>
      <c r="AX611" s="56"/>
      <c r="AY611" s="7" t="s">
        <v>10697</v>
      </c>
      <c r="AZ611" s="10" t="s">
        <v>10698</v>
      </c>
      <c r="BA611" s="7" t="s">
        <v>222</v>
      </c>
      <c r="BB611" s="17">
        <v>28380</v>
      </c>
      <c r="BC611" s="17"/>
      <c r="BD611" s="18">
        <v>2147483647</v>
      </c>
      <c r="BE611" s="7" t="s">
        <v>118</v>
      </c>
      <c r="BF611" s="7" t="s">
        <v>10699</v>
      </c>
      <c r="BG611" s="7" t="s">
        <v>10700</v>
      </c>
      <c r="BH611" s="7" t="s">
        <v>10701</v>
      </c>
      <c r="BI611" s="19" t="s">
        <v>10702</v>
      </c>
      <c r="BJ611" s="20">
        <v>45000000</v>
      </c>
      <c r="BK611" s="21" t="s">
        <v>10703</v>
      </c>
      <c r="BL611" s="7" t="s">
        <v>10704</v>
      </c>
      <c r="BM611" s="22" t="s">
        <v>10705</v>
      </c>
      <c r="BN611" s="8" t="s">
        <v>424</v>
      </c>
      <c r="BO611" s="17">
        <v>29390</v>
      </c>
      <c r="BP611" s="17"/>
      <c r="BQ611" s="18" t="s">
        <v>9517</v>
      </c>
      <c r="BR611" s="7" t="s">
        <v>10706</v>
      </c>
      <c r="BS611" s="7" t="s">
        <v>126</v>
      </c>
      <c r="BT611" s="7" t="s">
        <v>127</v>
      </c>
      <c r="BU611" s="8" t="s">
        <v>127</v>
      </c>
      <c r="BV611" s="23">
        <v>0</v>
      </c>
      <c r="BW611" s="24" t="s">
        <v>127</v>
      </c>
      <c r="BX611" s="21" t="s">
        <v>10707</v>
      </c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N611" s="25"/>
      <c r="CO611" s="25"/>
      <c r="CP611" s="25"/>
      <c r="CQ611" s="25"/>
      <c r="CR611" s="25"/>
      <c r="CS611" s="26"/>
    </row>
    <row r="612" spans="1:97" s="27" customFormat="1" ht="23.25" customHeight="1">
      <c r="A612" s="4">
        <v>532</v>
      </c>
      <c r="B612" s="28"/>
      <c r="C612" s="28"/>
      <c r="D612" s="28"/>
      <c r="E612" s="28"/>
      <c r="F612" s="28"/>
      <c r="G612" s="28"/>
      <c r="H612" s="29"/>
      <c r="I612" s="28"/>
      <c r="J612" s="30" t="s">
        <v>6522</v>
      </c>
      <c r="K612" s="30" t="s">
        <v>10708</v>
      </c>
      <c r="L612" s="31"/>
      <c r="M612" s="29">
        <v>1688</v>
      </c>
      <c r="N612" s="32" t="s">
        <v>11428</v>
      </c>
      <c r="O612" s="92" t="s">
        <v>10709</v>
      </c>
      <c r="P612" s="32" t="s">
        <v>10710</v>
      </c>
      <c r="Q612" s="390" t="s">
        <v>10711</v>
      </c>
      <c r="R612" s="8" t="s">
        <v>11294</v>
      </c>
      <c r="S612" s="212" t="s">
        <v>13585</v>
      </c>
      <c r="T612" s="31" t="s">
        <v>8264</v>
      </c>
      <c r="U612" s="33" t="s">
        <v>172</v>
      </c>
      <c r="V612" s="34" t="s">
        <v>94</v>
      </c>
      <c r="W612" s="35">
        <v>41776</v>
      </c>
      <c r="X612" s="31" t="str">
        <f t="shared" ca="1" si="25"/>
        <v>12 Th, 3 Bln</v>
      </c>
      <c r="Y612" s="31"/>
      <c r="Z612" s="36"/>
      <c r="AA612" s="31" t="s">
        <v>96</v>
      </c>
      <c r="AB612" s="31"/>
      <c r="AC612" s="30" t="s">
        <v>10712</v>
      </c>
      <c r="AD612" s="129"/>
      <c r="AE612" s="129"/>
      <c r="AF612" s="30" t="s">
        <v>139</v>
      </c>
      <c r="AG612" s="30" t="s">
        <v>140</v>
      </c>
      <c r="AH612" s="30" t="s">
        <v>141</v>
      </c>
      <c r="AI612" s="30"/>
      <c r="AJ612" s="30" t="s">
        <v>142</v>
      </c>
      <c r="AK612" s="30"/>
      <c r="AL612" s="30"/>
      <c r="AM612" s="37">
        <v>0</v>
      </c>
      <c r="AN612" s="37"/>
      <c r="AO612" s="31">
        <v>1</v>
      </c>
      <c r="AP612" s="31"/>
      <c r="AQ612" s="31"/>
      <c r="AR612" s="31"/>
      <c r="AS612" s="130" t="s">
        <v>10713</v>
      </c>
      <c r="AT612" s="129" t="s">
        <v>3150</v>
      </c>
      <c r="AU612" s="130"/>
      <c r="AV612" s="38"/>
      <c r="AW612" s="123"/>
      <c r="AX612" s="123"/>
      <c r="AY612" s="30" t="s">
        <v>10714</v>
      </c>
      <c r="AZ612" s="32"/>
      <c r="BA612" s="30" t="s">
        <v>2916</v>
      </c>
      <c r="BB612" s="39">
        <v>30837</v>
      </c>
      <c r="BC612" s="39"/>
      <c r="BD612" s="40">
        <v>2147483647</v>
      </c>
      <c r="BE612" s="30" t="s">
        <v>153</v>
      </c>
      <c r="BF612" s="30" t="s">
        <v>10715</v>
      </c>
      <c r="BG612" s="30" t="s">
        <v>10716</v>
      </c>
      <c r="BH612" s="30" t="s">
        <v>10717</v>
      </c>
      <c r="BI612" s="41" t="s">
        <v>10718</v>
      </c>
      <c r="BJ612" s="42">
        <v>100000000</v>
      </c>
      <c r="BK612" s="43" t="s">
        <v>10719</v>
      </c>
      <c r="BL612" s="30" t="s">
        <v>10720</v>
      </c>
      <c r="BM612" s="44"/>
      <c r="BN612" s="125" t="s">
        <v>10721</v>
      </c>
      <c r="BO612" s="39">
        <v>31651</v>
      </c>
      <c r="BP612" s="39"/>
      <c r="BQ612" s="40" t="s">
        <v>9517</v>
      </c>
      <c r="BR612" s="30" t="s">
        <v>10722</v>
      </c>
      <c r="BS612" s="30" t="s">
        <v>126</v>
      </c>
      <c r="BT612" s="30" t="s">
        <v>479</v>
      </c>
      <c r="BU612" s="30" t="s">
        <v>10723</v>
      </c>
      <c r="BV612" s="45" t="s">
        <v>9517</v>
      </c>
      <c r="BW612" s="46">
        <v>20000000</v>
      </c>
      <c r="BX612" s="47" t="s">
        <v>10724</v>
      </c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N612" s="25"/>
      <c r="CO612" s="25"/>
      <c r="CP612" s="25"/>
      <c r="CQ612" s="25"/>
      <c r="CR612" s="25"/>
      <c r="CS612" s="26"/>
    </row>
    <row r="613" spans="1:97" s="27" customFormat="1" ht="23.25" customHeight="1">
      <c r="A613" s="4">
        <v>560</v>
      </c>
      <c r="B613" s="6"/>
      <c r="C613" s="6"/>
      <c r="D613" s="6"/>
      <c r="E613" s="6"/>
      <c r="F613" s="6"/>
      <c r="G613" s="6"/>
      <c r="H613" s="5"/>
      <c r="I613" s="6"/>
      <c r="J613" s="7" t="s">
        <v>11192</v>
      </c>
      <c r="K613" s="7" t="s">
        <v>11193</v>
      </c>
      <c r="L613" s="8"/>
      <c r="M613" s="5">
        <v>1686</v>
      </c>
      <c r="N613" s="5" t="s">
        <v>11194</v>
      </c>
      <c r="O613" s="9" t="s">
        <v>11195</v>
      </c>
      <c r="P613" s="10" t="s">
        <v>11196</v>
      </c>
      <c r="Q613" s="389" t="s">
        <v>11197</v>
      </c>
      <c r="R613" s="8" t="s">
        <v>11294</v>
      </c>
      <c r="S613" s="212" t="s">
        <v>13585</v>
      </c>
      <c r="T613" s="8" t="s">
        <v>10266</v>
      </c>
      <c r="U613" s="11" t="s">
        <v>93</v>
      </c>
      <c r="V613" s="12" t="s">
        <v>94</v>
      </c>
      <c r="W613" s="13">
        <v>42013</v>
      </c>
      <c r="X613" s="5" t="str">
        <f t="shared" ca="1" si="25"/>
        <v>11 Th, 8 Bln</v>
      </c>
      <c r="Y613" s="5"/>
      <c r="Z613" s="14"/>
      <c r="AA613" s="5" t="s">
        <v>96</v>
      </c>
      <c r="AB613" s="5"/>
      <c r="AC613" s="7" t="s">
        <v>11198</v>
      </c>
      <c r="AD613" s="131">
        <v>10</v>
      </c>
      <c r="AE613" s="131">
        <v>7</v>
      </c>
      <c r="AF613" s="7" t="s">
        <v>9631</v>
      </c>
      <c r="AG613" s="7" t="s">
        <v>410</v>
      </c>
      <c r="AH613" s="7" t="s">
        <v>141</v>
      </c>
      <c r="AI613" s="7"/>
      <c r="AJ613" s="7" t="s">
        <v>142</v>
      </c>
      <c r="AK613" s="7"/>
      <c r="AL613" s="7"/>
      <c r="AM613" s="15" t="s">
        <v>127</v>
      </c>
      <c r="AN613" s="15"/>
      <c r="AO613" s="8">
        <v>1</v>
      </c>
      <c r="AP613" s="8"/>
      <c r="AQ613" s="8"/>
      <c r="AR613" s="8"/>
      <c r="AS613" s="132" t="s">
        <v>3864</v>
      </c>
      <c r="AT613" s="131" t="s">
        <v>2763</v>
      </c>
      <c r="AU613" s="132"/>
      <c r="AV613" s="16"/>
      <c r="AW613" s="56"/>
      <c r="AX613" s="56"/>
      <c r="AY613" s="7" t="s">
        <v>11199</v>
      </c>
      <c r="AZ613" s="10" t="s">
        <v>11200</v>
      </c>
      <c r="BA613" s="7" t="s">
        <v>2524</v>
      </c>
      <c r="BB613" s="17">
        <v>32264</v>
      </c>
      <c r="BC613" s="17"/>
      <c r="BD613" s="18" t="s">
        <v>11201</v>
      </c>
      <c r="BE613" s="7" t="s">
        <v>2193</v>
      </c>
      <c r="BF613" s="7" t="s">
        <v>4815</v>
      </c>
      <c r="BG613" s="7" t="s">
        <v>11202</v>
      </c>
      <c r="BH613" s="7" t="s">
        <v>11203</v>
      </c>
      <c r="BI613" s="19" t="s">
        <v>127</v>
      </c>
      <c r="BJ613" s="20">
        <v>4000000</v>
      </c>
      <c r="BK613" s="21" t="s">
        <v>11204</v>
      </c>
      <c r="BL613" s="7" t="s">
        <v>11205</v>
      </c>
      <c r="BM613" s="22" t="s">
        <v>11206</v>
      </c>
      <c r="BN613" s="8" t="s">
        <v>511</v>
      </c>
      <c r="BO613" s="17">
        <v>32144</v>
      </c>
      <c r="BP613" s="17"/>
      <c r="BQ613" s="18" t="s">
        <v>11207</v>
      </c>
      <c r="BR613" s="7" t="s">
        <v>7456</v>
      </c>
      <c r="BS613" s="7" t="s">
        <v>471</v>
      </c>
      <c r="BT613" s="7" t="s">
        <v>11208</v>
      </c>
      <c r="BU613" s="8" t="s">
        <v>11209</v>
      </c>
      <c r="BV613" s="23" t="s">
        <v>127</v>
      </c>
      <c r="BW613" s="24">
        <v>3500000</v>
      </c>
      <c r="BX613" s="21" t="s">
        <v>11210</v>
      </c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N613" s="25"/>
      <c r="CO613" s="25"/>
      <c r="CP613" s="25"/>
      <c r="CQ613" s="25"/>
      <c r="CR613" s="25"/>
      <c r="CS613" s="26"/>
    </row>
    <row r="614" spans="1:97" s="27" customFormat="1" ht="23.25" customHeight="1">
      <c r="A614" s="4">
        <v>561</v>
      </c>
      <c r="B614" s="6"/>
      <c r="C614" s="6"/>
      <c r="D614" s="6"/>
      <c r="E614" s="6"/>
      <c r="F614" s="6"/>
      <c r="G614" s="6"/>
      <c r="H614" s="5" t="s">
        <v>11211</v>
      </c>
      <c r="I614" s="6"/>
      <c r="J614" s="7" t="s">
        <v>11212</v>
      </c>
      <c r="K614" s="7" t="s">
        <v>11213</v>
      </c>
      <c r="L614" s="8"/>
      <c r="M614" s="5">
        <v>1799</v>
      </c>
      <c r="N614" s="5" t="s">
        <v>11214</v>
      </c>
      <c r="O614" s="9" t="s">
        <v>11215</v>
      </c>
      <c r="P614" s="10" t="s">
        <v>11216</v>
      </c>
      <c r="Q614" s="389" t="s">
        <v>11217</v>
      </c>
      <c r="R614" s="8" t="s">
        <v>11294</v>
      </c>
      <c r="S614" s="212" t="s">
        <v>13585</v>
      </c>
      <c r="T614" s="8" t="s">
        <v>11218</v>
      </c>
      <c r="U614" s="11" t="s">
        <v>172</v>
      </c>
      <c r="V614" s="12" t="s">
        <v>395</v>
      </c>
      <c r="W614" s="13" t="s">
        <v>11219</v>
      </c>
      <c r="X614" s="5" t="e">
        <f t="shared" ca="1" si="25"/>
        <v>#VALUE!</v>
      </c>
      <c r="Y614" s="5"/>
      <c r="Z614" s="14"/>
      <c r="AA614" s="5" t="s">
        <v>96</v>
      </c>
      <c r="AB614" s="5"/>
      <c r="AC614" s="7" t="s">
        <v>11220</v>
      </c>
      <c r="AD614" s="131"/>
      <c r="AE614" s="131"/>
      <c r="AF614" s="7" t="s">
        <v>521</v>
      </c>
      <c r="AG614" s="7" t="s">
        <v>178</v>
      </c>
      <c r="AH614" s="7" t="s">
        <v>178</v>
      </c>
      <c r="AI614" s="7"/>
      <c r="AJ614" s="7" t="s">
        <v>103</v>
      </c>
      <c r="AK614" s="7" t="s">
        <v>104</v>
      </c>
      <c r="AL614" s="7" t="s">
        <v>1325</v>
      </c>
      <c r="AM614" s="15" t="s">
        <v>11221</v>
      </c>
      <c r="AN614" s="15" t="s">
        <v>11221</v>
      </c>
      <c r="AO614" s="8">
        <v>3</v>
      </c>
      <c r="AP614" s="8">
        <v>2</v>
      </c>
      <c r="AQ614" s="8"/>
      <c r="AR614" s="8"/>
      <c r="AS614" s="132">
        <v>50</v>
      </c>
      <c r="AT614" s="131">
        <v>52</v>
      </c>
      <c r="AU614" s="132" t="s">
        <v>111</v>
      </c>
      <c r="AV614" s="16"/>
      <c r="AW614" s="56" t="s">
        <v>11222</v>
      </c>
      <c r="AX614" s="56"/>
      <c r="AY614" s="7" t="s">
        <v>11223</v>
      </c>
      <c r="AZ614" s="10"/>
      <c r="BA614" s="7" t="s">
        <v>713</v>
      </c>
      <c r="BB614" s="17" t="s">
        <v>11224</v>
      </c>
      <c r="BC614" s="17" t="s">
        <v>96</v>
      </c>
      <c r="BD614" s="18" t="s">
        <v>11221</v>
      </c>
      <c r="BE614" s="7" t="s">
        <v>8638</v>
      </c>
      <c r="BF614" s="7" t="s">
        <v>11225</v>
      </c>
      <c r="BG614" s="7" t="s">
        <v>11226</v>
      </c>
      <c r="BH614" s="7" t="s">
        <v>11227</v>
      </c>
      <c r="BI614" s="19"/>
      <c r="BJ614" s="20"/>
      <c r="BK614" s="21"/>
      <c r="BL614" s="7" t="s">
        <v>11228</v>
      </c>
      <c r="BM614" s="22" t="s">
        <v>11229</v>
      </c>
      <c r="BN614" s="8" t="s">
        <v>395</v>
      </c>
      <c r="BO614" s="17" t="s">
        <v>11230</v>
      </c>
      <c r="BP614" s="17"/>
      <c r="BQ614" s="18" t="s">
        <v>11221</v>
      </c>
      <c r="BR614" s="7" t="s">
        <v>118</v>
      </c>
      <c r="BS614" s="7" t="s">
        <v>11231</v>
      </c>
      <c r="BT614" s="7" t="s">
        <v>11232</v>
      </c>
      <c r="BU614" s="8" t="s">
        <v>11233</v>
      </c>
      <c r="BV614" s="23" t="s">
        <v>11221</v>
      </c>
      <c r="BW614" s="24">
        <v>5000000</v>
      </c>
      <c r="BX614" s="21" t="s">
        <v>11234</v>
      </c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N614" s="25"/>
      <c r="CO614" s="25"/>
      <c r="CP614" s="25"/>
      <c r="CQ614" s="25"/>
      <c r="CR614" s="25"/>
      <c r="CS614" s="26"/>
    </row>
    <row r="615" spans="1:97" s="27" customFormat="1" ht="23.25" customHeight="1">
      <c r="A615" s="4">
        <v>477</v>
      </c>
      <c r="B615" s="6"/>
      <c r="C615" s="6"/>
      <c r="D615" s="6"/>
      <c r="E615" s="6"/>
      <c r="F615" s="6"/>
      <c r="G615" s="6"/>
      <c r="H615" s="5"/>
      <c r="I615" s="6"/>
      <c r="J615" s="7" t="s">
        <v>9870</v>
      </c>
      <c r="K615" s="7" t="s">
        <v>9871</v>
      </c>
      <c r="L615" s="8"/>
      <c r="M615" s="5">
        <v>1690</v>
      </c>
      <c r="N615" s="5">
        <v>3150693398</v>
      </c>
      <c r="O615" s="9" t="s">
        <v>5316</v>
      </c>
      <c r="P615" s="10" t="s">
        <v>9872</v>
      </c>
      <c r="Q615" s="389" t="s">
        <v>9873</v>
      </c>
      <c r="R615" s="8" t="s">
        <v>11294</v>
      </c>
      <c r="S615" s="212" t="s">
        <v>13585</v>
      </c>
      <c r="T615" s="8" t="s">
        <v>1323</v>
      </c>
      <c r="U615" s="11" t="s">
        <v>93</v>
      </c>
      <c r="V615" s="12" t="s">
        <v>94</v>
      </c>
      <c r="W615" s="13">
        <v>42163</v>
      </c>
      <c r="X615" s="5" t="str">
        <f t="shared" ca="1" si="25"/>
        <v>11 Th, 3 Bln</v>
      </c>
      <c r="Y615" s="5"/>
      <c r="Z615" s="14"/>
      <c r="AA615" s="5" t="s">
        <v>96</v>
      </c>
      <c r="AB615" s="5"/>
      <c r="AC615" s="7" t="s">
        <v>9874</v>
      </c>
      <c r="AD615" s="131">
        <v>7</v>
      </c>
      <c r="AE615" s="131">
        <v>6</v>
      </c>
      <c r="AF615" s="7" t="s">
        <v>521</v>
      </c>
      <c r="AG615" s="7" t="s">
        <v>178</v>
      </c>
      <c r="AH615" s="7" t="s">
        <v>178</v>
      </c>
      <c r="AI615" s="7"/>
      <c r="AJ615" s="7" t="s">
        <v>103</v>
      </c>
      <c r="AK615" s="7"/>
      <c r="AL615" s="7"/>
      <c r="AM615" s="15" t="s">
        <v>5321</v>
      </c>
      <c r="AN615" s="15"/>
      <c r="AO615" s="8">
        <v>2</v>
      </c>
      <c r="AP615" s="8"/>
      <c r="AQ615" s="8"/>
      <c r="AR615" s="8"/>
      <c r="AS615" s="132" t="s">
        <v>2482</v>
      </c>
      <c r="AT615" s="131" t="s">
        <v>2593</v>
      </c>
      <c r="AU615" s="132"/>
      <c r="AV615" s="16"/>
      <c r="AW615" s="56"/>
      <c r="AX615" s="56"/>
      <c r="AY615" s="7" t="s">
        <v>5323</v>
      </c>
      <c r="AZ615" s="10" t="s">
        <v>5324</v>
      </c>
      <c r="BA615" s="7" t="s">
        <v>713</v>
      </c>
      <c r="BB615" s="17">
        <v>30815</v>
      </c>
      <c r="BC615" s="17"/>
      <c r="BD615" s="18" t="s">
        <v>5321</v>
      </c>
      <c r="BE615" s="7" t="s">
        <v>118</v>
      </c>
      <c r="BF615" s="7" t="s">
        <v>1526</v>
      </c>
      <c r="BG615" s="7" t="s">
        <v>120</v>
      </c>
      <c r="BH615" s="7" t="s">
        <v>395</v>
      </c>
      <c r="BI615" s="19" t="s">
        <v>9875</v>
      </c>
      <c r="BJ615" s="20">
        <v>8000000</v>
      </c>
      <c r="BK615" s="21" t="s">
        <v>9876</v>
      </c>
      <c r="BL615" s="7" t="s">
        <v>5327</v>
      </c>
      <c r="BM615" s="22" t="s">
        <v>9877</v>
      </c>
      <c r="BN615" s="8" t="s">
        <v>537</v>
      </c>
      <c r="BO615" s="17">
        <v>31477</v>
      </c>
      <c r="BP615" s="17"/>
      <c r="BQ615" s="18" t="s">
        <v>5321</v>
      </c>
      <c r="BR615" s="7" t="s">
        <v>118</v>
      </c>
      <c r="BS615" s="7" t="s">
        <v>1526</v>
      </c>
      <c r="BT615" s="7" t="s">
        <v>5329</v>
      </c>
      <c r="BU615" s="8" t="s">
        <v>94</v>
      </c>
      <c r="BV615" s="23" t="s">
        <v>9878</v>
      </c>
      <c r="BW615" s="24">
        <v>8000000</v>
      </c>
      <c r="BX615" s="21" t="s">
        <v>9876</v>
      </c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N615" s="25"/>
      <c r="CO615" s="25"/>
      <c r="CP615" s="25"/>
      <c r="CQ615" s="25"/>
      <c r="CR615" s="25"/>
      <c r="CS615" s="26"/>
    </row>
    <row r="616" spans="1:97" s="27" customFormat="1">
      <c r="A616" s="4">
        <v>505</v>
      </c>
      <c r="B616" s="6"/>
      <c r="C616" s="6"/>
      <c r="D616" s="6"/>
      <c r="E616" s="6"/>
      <c r="F616" s="6"/>
      <c r="G616" s="6"/>
      <c r="H616" s="5"/>
      <c r="I616" s="6"/>
      <c r="J616" s="7" t="s">
        <v>4387</v>
      </c>
      <c r="K616" s="7" t="s">
        <v>10302</v>
      </c>
      <c r="L616" s="8"/>
      <c r="M616" s="5">
        <v>1697</v>
      </c>
      <c r="N616" s="5">
        <v>3154501254</v>
      </c>
      <c r="O616" s="9" t="s">
        <v>10303</v>
      </c>
      <c r="P616" s="10" t="s">
        <v>10304</v>
      </c>
      <c r="Q616" s="389" t="s">
        <v>10305</v>
      </c>
      <c r="R616" s="8" t="s">
        <v>11294</v>
      </c>
      <c r="S616" s="212" t="s">
        <v>13585</v>
      </c>
      <c r="T616" s="8" t="s">
        <v>9256</v>
      </c>
      <c r="U616" s="11" t="s">
        <v>93</v>
      </c>
      <c r="V616" s="12" t="s">
        <v>94</v>
      </c>
      <c r="W616" s="13">
        <v>42207</v>
      </c>
      <c r="X616" s="5" t="str">
        <f t="shared" ca="1" si="25"/>
        <v>11 Th, 1 Bln</v>
      </c>
      <c r="Y616" s="5"/>
      <c r="Z616" s="14"/>
      <c r="AA616" s="5" t="s">
        <v>96</v>
      </c>
      <c r="AB616" s="5"/>
      <c r="AC616" s="7" t="s">
        <v>10306</v>
      </c>
      <c r="AD616" s="131">
        <v>6</v>
      </c>
      <c r="AE616" s="131">
        <v>4</v>
      </c>
      <c r="AF616" s="7" t="s">
        <v>10307</v>
      </c>
      <c r="AG616" s="7" t="s">
        <v>241</v>
      </c>
      <c r="AH616" s="7" t="s">
        <v>241</v>
      </c>
      <c r="AI616" s="7"/>
      <c r="AJ616" s="7" t="s">
        <v>103</v>
      </c>
      <c r="AK616" s="7"/>
      <c r="AL616" s="7"/>
      <c r="AM616" s="15" t="s">
        <v>127</v>
      </c>
      <c r="AN616" s="15"/>
      <c r="AO616" s="8">
        <v>1</v>
      </c>
      <c r="AP616" s="8"/>
      <c r="AQ616" s="8"/>
      <c r="AR616" s="8"/>
      <c r="AS616" s="132" t="s">
        <v>2482</v>
      </c>
      <c r="AT616" s="131" t="s">
        <v>127</v>
      </c>
      <c r="AU616" s="132"/>
      <c r="AV616" s="16"/>
      <c r="AW616" s="56"/>
      <c r="AX616" s="56"/>
      <c r="AY616" s="7" t="s">
        <v>10308</v>
      </c>
      <c r="AZ616" s="10" t="s">
        <v>10309</v>
      </c>
      <c r="BA616" s="7" t="s">
        <v>94</v>
      </c>
      <c r="BB616" s="17">
        <v>32301</v>
      </c>
      <c r="BC616" s="17"/>
      <c r="BD616" s="18" t="s">
        <v>10310</v>
      </c>
      <c r="BE616" s="7" t="s">
        <v>7863</v>
      </c>
      <c r="BF616" s="7" t="s">
        <v>10311</v>
      </c>
      <c r="BG616" s="7" t="s">
        <v>327</v>
      </c>
      <c r="BH616" s="7" t="s">
        <v>10312</v>
      </c>
      <c r="BI616" s="19" t="s">
        <v>127</v>
      </c>
      <c r="BJ616" s="20">
        <v>10000000</v>
      </c>
      <c r="BK616" s="21" t="s">
        <v>10313</v>
      </c>
      <c r="BL616" s="7" t="s">
        <v>10314</v>
      </c>
      <c r="BM616" s="22" t="s">
        <v>10315</v>
      </c>
      <c r="BN616" s="8" t="s">
        <v>94</v>
      </c>
      <c r="BO616" s="17">
        <v>32822</v>
      </c>
      <c r="BP616" s="17"/>
      <c r="BQ616" s="18" t="s">
        <v>10316</v>
      </c>
      <c r="BR616" s="7" t="s">
        <v>118</v>
      </c>
      <c r="BS616" s="7" t="s">
        <v>10317</v>
      </c>
      <c r="BT616" s="7" t="s">
        <v>127</v>
      </c>
      <c r="BU616" s="8" t="s">
        <v>127</v>
      </c>
      <c r="BV616" s="23" t="s">
        <v>127</v>
      </c>
      <c r="BW616" s="24" t="s">
        <v>127</v>
      </c>
      <c r="BX616" s="21" t="s">
        <v>10318</v>
      </c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N616" s="25"/>
      <c r="CO616" s="25"/>
      <c r="CP616" s="25"/>
      <c r="CQ616" s="25"/>
      <c r="CR616" s="25"/>
      <c r="CS616" s="26"/>
    </row>
    <row r="617" spans="1:97" s="27" customFormat="1" ht="23.25" customHeight="1">
      <c r="A617" s="4">
        <v>507</v>
      </c>
      <c r="B617" s="6"/>
      <c r="C617" s="6"/>
      <c r="D617" s="6"/>
      <c r="E617" s="6"/>
      <c r="F617" s="6"/>
      <c r="G617" s="6"/>
      <c r="H617" s="5"/>
      <c r="I617" s="6"/>
      <c r="J617" s="7"/>
      <c r="K617" s="7"/>
      <c r="L617" s="8"/>
      <c r="M617" s="5">
        <v>1700</v>
      </c>
      <c r="N617" s="5">
        <v>3158392165</v>
      </c>
      <c r="O617" s="9" t="s">
        <v>10333</v>
      </c>
      <c r="P617" s="10" t="s">
        <v>10334</v>
      </c>
      <c r="Q617" s="389" t="s">
        <v>10335</v>
      </c>
      <c r="R617" s="8" t="s">
        <v>11294</v>
      </c>
      <c r="S617" s="212" t="s">
        <v>13585</v>
      </c>
      <c r="T617" s="8" t="s">
        <v>10336</v>
      </c>
      <c r="U617" s="11" t="s">
        <v>93</v>
      </c>
      <c r="V617" s="12" t="s">
        <v>94</v>
      </c>
      <c r="W617" s="13">
        <v>42014</v>
      </c>
      <c r="X617" s="5" t="str">
        <f t="shared" ca="1" si="25"/>
        <v>11 Th, 8 Bln</v>
      </c>
      <c r="Y617" s="5"/>
      <c r="Z617" s="14"/>
      <c r="AA617" s="5" t="s">
        <v>96</v>
      </c>
      <c r="AB617" s="5"/>
      <c r="AC617" s="7" t="s">
        <v>10337</v>
      </c>
      <c r="AD617" s="131">
        <v>8</v>
      </c>
      <c r="AE617" s="131">
        <v>9</v>
      </c>
      <c r="AF617" s="7" t="s">
        <v>521</v>
      </c>
      <c r="AG617" s="7" t="s">
        <v>178</v>
      </c>
      <c r="AH617" s="7" t="s">
        <v>178</v>
      </c>
      <c r="AI617" s="7"/>
      <c r="AJ617" s="7" t="s">
        <v>103</v>
      </c>
      <c r="AK617" s="7"/>
      <c r="AL617" s="7"/>
      <c r="AM617" s="15"/>
      <c r="AN617" s="15"/>
      <c r="AO617" s="8">
        <v>2</v>
      </c>
      <c r="AP617" s="8"/>
      <c r="AQ617" s="8"/>
      <c r="AR617" s="8"/>
      <c r="AS617" s="132"/>
      <c r="AT617" s="131"/>
      <c r="AU617" s="132"/>
      <c r="AV617" s="16"/>
      <c r="AW617" s="56"/>
      <c r="AX617" s="56"/>
      <c r="AY617" s="7" t="s">
        <v>10338</v>
      </c>
      <c r="AZ617" s="10" t="s">
        <v>10339</v>
      </c>
      <c r="BA617" s="7" t="s">
        <v>10340</v>
      </c>
      <c r="BB617" s="17">
        <v>30444</v>
      </c>
      <c r="BC617" s="17"/>
      <c r="BD617" s="18"/>
      <c r="BE617" s="7" t="s">
        <v>2193</v>
      </c>
      <c r="BF617" s="7" t="s">
        <v>247</v>
      </c>
      <c r="BG617" s="7"/>
      <c r="BH617" s="7"/>
      <c r="BI617" s="19"/>
      <c r="BJ617" s="20"/>
      <c r="BK617" s="21"/>
      <c r="BL617" s="7" t="s">
        <v>10341</v>
      </c>
      <c r="BM617" s="22" t="s">
        <v>10342</v>
      </c>
      <c r="BN617" s="8" t="s">
        <v>222</v>
      </c>
      <c r="BO617" s="17">
        <v>30584</v>
      </c>
      <c r="BP617" s="17"/>
      <c r="BQ617" s="18"/>
      <c r="BR617" s="7" t="s">
        <v>153</v>
      </c>
      <c r="BS617" s="7" t="s">
        <v>276</v>
      </c>
      <c r="BT617" s="7"/>
      <c r="BU617" s="8"/>
      <c r="BV617" s="23"/>
      <c r="BW617" s="24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N617" s="25"/>
      <c r="CO617" s="25"/>
      <c r="CP617" s="25"/>
      <c r="CQ617" s="25"/>
      <c r="CR617" s="25"/>
      <c r="CS617" s="26"/>
    </row>
    <row r="618" spans="1:97" s="27" customFormat="1" ht="23.25" customHeight="1">
      <c r="A618" s="4">
        <v>537</v>
      </c>
      <c r="B618" s="6"/>
      <c r="C618" s="6"/>
      <c r="D618" s="6"/>
      <c r="E618" s="6"/>
      <c r="F618" s="6"/>
      <c r="G618" s="6"/>
      <c r="H618" s="5"/>
      <c r="I618" s="6"/>
      <c r="J618" s="7" t="s">
        <v>10790</v>
      </c>
      <c r="K618" s="7" t="s">
        <v>10791</v>
      </c>
      <c r="L618" s="8"/>
      <c r="M618" s="5">
        <v>1604</v>
      </c>
      <c r="N618" s="5" t="s">
        <v>10792</v>
      </c>
      <c r="O618" s="9" t="s">
        <v>10793</v>
      </c>
      <c r="P618" s="10" t="s">
        <v>10794</v>
      </c>
      <c r="Q618" s="389" t="s">
        <v>10795</v>
      </c>
      <c r="R618" s="8" t="s">
        <v>11299</v>
      </c>
      <c r="S618" s="212" t="s">
        <v>13586</v>
      </c>
      <c r="T618" s="8" t="s">
        <v>10797</v>
      </c>
      <c r="U618" s="11" t="s">
        <v>172</v>
      </c>
      <c r="V618" s="12" t="s">
        <v>2024</v>
      </c>
      <c r="W618" s="13">
        <v>41835</v>
      </c>
      <c r="X618" s="5" t="str">
        <f t="shared" ca="1" si="25"/>
        <v>12 Th, 2 Bln</v>
      </c>
      <c r="Y618" s="5"/>
      <c r="Z618" s="14"/>
      <c r="AA618" s="5" t="s">
        <v>96</v>
      </c>
      <c r="AB618" s="5"/>
      <c r="AC618" s="7" t="s">
        <v>10798</v>
      </c>
      <c r="AD618" s="131">
        <v>1</v>
      </c>
      <c r="AE618" s="131">
        <v>1</v>
      </c>
      <c r="AF618" s="7" t="s">
        <v>994</v>
      </c>
      <c r="AG618" s="7" t="s">
        <v>994</v>
      </c>
      <c r="AH618" s="7" t="s">
        <v>141</v>
      </c>
      <c r="AI618" s="7"/>
      <c r="AJ618" s="7" t="s">
        <v>2024</v>
      </c>
      <c r="AK618" s="7"/>
      <c r="AL618" s="7"/>
      <c r="AM618" s="15"/>
      <c r="AN618" s="15"/>
      <c r="AO618" s="8">
        <v>1</v>
      </c>
      <c r="AP618" s="8"/>
      <c r="AQ618" s="8"/>
      <c r="AR618" s="8"/>
      <c r="AS618" s="132" t="s">
        <v>9475</v>
      </c>
      <c r="AT618" s="131" t="s">
        <v>10799</v>
      </c>
      <c r="AU618" s="132"/>
      <c r="AV618" s="16"/>
      <c r="AW618" s="56"/>
      <c r="AX618" s="56"/>
      <c r="AY618" s="7" t="s">
        <v>9036</v>
      </c>
      <c r="AZ618" s="10" t="s">
        <v>10800</v>
      </c>
      <c r="BA618" s="7" t="s">
        <v>94</v>
      </c>
      <c r="BB618" s="17">
        <v>25720</v>
      </c>
      <c r="BC618" s="17"/>
      <c r="BD618" s="18" t="s">
        <v>10801</v>
      </c>
      <c r="BE618" s="7" t="s">
        <v>4811</v>
      </c>
      <c r="BF618" s="7" t="s">
        <v>10802</v>
      </c>
      <c r="BG618" s="7" t="s">
        <v>10803</v>
      </c>
      <c r="BH618" s="7" t="s">
        <v>10804</v>
      </c>
      <c r="BI618" s="19" t="s">
        <v>10805</v>
      </c>
      <c r="BJ618" s="20">
        <v>6000000</v>
      </c>
      <c r="BK618" s="21" t="s">
        <v>10806</v>
      </c>
      <c r="BL618" s="7" t="s">
        <v>10807</v>
      </c>
      <c r="BM618" s="22" t="s">
        <v>10808</v>
      </c>
      <c r="BN618" s="8" t="s">
        <v>94</v>
      </c>
      <c r="BO618" s="17">
        <v>26138</v>
      </c>
      <c r="BP618" s="17"/>
      <c r="BQ618" s="18" t="s">
        <v>10809</v>
      </c>
      <c r="BR618" s="7" t="s">
        <v>4811</v>
      </c>
      <c r="BS618" s="7" t="s">
        <v>126</v>
      </c>
      <c r="BT618" s="7"/>
      <c r="BU618" s="8"/>
      <c r="BV618" s="23"/>
      <c r="BW618" s="24" t="e">
        <f>[1]Sheet1!CB337:CD422</f>
        <v>#VALUE!</v>
      </c>
      <c r="BX618" s="21" t="s">
        <v>10810</v>
      </c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N618" s="25"/>
      <c r="CO618" s="25"/>
      <c r="CP618" s="25"/>
      <c r="CQ618" s="25"/>
      <c r="CR618" s="25"/>
      <c r="CS618" s="26"/>
    </row>
    <row r="619" spans="1:97" s="27" customFormat="1" ht="23.25" customHeight="1">
      <c r="A619" s="4">
        <v>511</v>
      </c>
      <c r="B619" s="6"/>
      <c r="C619" s="6"/>
      <c r="D619" s="6"/>
      <c r="E619" s="6"/>
      <c r="F619" s="6"/>
      <c r="G619" s="6"/>
      <c r="H619" s="5"/>
      <c r="I619" s="6"/>
      <c r="J619" s="7" t="s">
        <v>257</v>
      </c>
      <c r="K619" s="7" t="s">
        <v>374</v>
      </c>
      <c r="L619" s="8"/>
      <c r="M619" s="5">
        <v>1608</v>
      </c>
      <c r="N619" s="5" t="s">
        <v>10392</v>
      </c>
      <c r="O619" s="9" t="s">
        <v>10393</v>
      </c>
      <c r="P619" s="10" t="s">
        <v>10394</v>
      </c>
      <c r="Q619" s="389" t="s">
        <v>10395</v>
      </c>
      <c r="R619" s="8" t="s">
        <v>11299</v>
      </c>
      <c r="S619" s="212" t="s">
        <v>13586</v>
      </c>
      <c r="T619" s="8" t="s">
        <v>10396</v>
      </c>
      <c r="U619" s="11" t="s">
        <v>93</v>
      </c>
      <c r="V619" s="12" t="s">
        <v>94</v>
      </c>
      <c r="W619" s="13">
        <v>41935</v>
      </c>
      <c r="X619" s="5" t="str">
        <f t="shared" ca="1" si="25"/>
        <v>11 Th, 10 Bln</v>
      </c>
      <c r="Y619" s="5"/>
      <c r="Z619" s="14"/>
      <c r="AA619" s="5" t="s">
        <v>96</v>
      </c>
      <c r="AB619" s="5"/>
      <c r="AC619" s="7" t="s">
        <v>10397</v>
      </c>
      <c r="AD619" s="131">
        <v>4</v>
      </c>
      <c r="AE619" s="131">
        <v>7</v>
      </c>
      <c r="AF619" s="7" t="s">
        <v>1840</v>
      </c>
      <c r="AG619" s="7" t="s">
        <v>178</v>
      </c>
      <c r="AH619" s="7" t="s">
        <v>178</v>
      </c>
      <c r="AI619" s="7"/>
      <c r="AJ619" s="7" t="s">
        <v>103</v>
      </c>
      <c r="AK619" s="7"/>
      <c r="AL619" s="7"/>
      <c r="AM619" s="15" t="s">
        <v>127</v>
      </c>
      <c r="AN619" s="15"/>
      <c r="AO619" s="8">
        <v>5</v>
      </c>
      <c r="AP619" s="8"/>
      <c r="AQ619" s="8"/>
      <c r="AR619" s="8"/>
      <c r="AS619" s="132" t="s">
        <v>10398</v>
      </c>
      <c r="AT619" s="131" t="s">
        <v>10399</v>
      </c>
      <c r="AU619" s="132"/>
      <c r="AV619" s="16"/>
      <c r="AW619" s="56"/>
      <c r="AX619" s="56"/>
      <c r="AY619" s="7" t="s">
        <v>10400</v>
      </c>
      <c r="AZ619" s="10" t="s">
        <v>10401</v>
      </c>
      <c r="BA619" s="7" t="s">
        <v>94</v>
      </c>
      <c r="BB619" s="17">
        <v>27456</v>
      </c>
      <c r="BC619" s="17"/>
      <c r="BD619" s="18" t="s">
        <v>10402</v>
      </c>
      <c r="BE619" s="7" t="s">
        <v>118</v>
      </c>
      <c r="BF619" s="7" t="s">
        <v>471</v>
      </c>
      <c r="BG619" s="7" t="s">
        <v>10403</v>
      </c>
      <c r="BH619" s="7" t="s">
        <v>10404</v>
      </c>
      <c r="BI619" s="19" t="s">
        <v>127</v>
      </c>
      <c r="BJ619" s="20">
        <v>20000000</v>
      </c>
      <c r="BK619" s="21" t="s">
        <v>10405</v>
      </c>
      <c r="BL619" s="7" t="s">
        <v>10406</v>
      </c>
      <c r="BM619" s="22" t="s">
        <v>10407</v>
      </c>
      <c r="BN619" s="8" t="s">
        <v>5343</v>
      </c>
      <c r="BO619" s="17">
        <v>27572</v>
      </c>
      <c r="BP619" s="17"/>
      <c r="BQ619" s="18" t="s">
        <v>10402</v>
      </c>
      <c r="BR619" s="7" t="s">
        <v>118</v>
      </c>
      <c r="BS619" s="7" t="s">
        <v>471</v>
      </c>
      <c r="BT619" s="7" t="s">
        <v>10146</v>
      </c>
      <c r="BU619" s="8" t="s">
        <v>94</v>
      </c>
      <c r="BV619" s="23" t="s">
        <v>127</v>
      </c>
      <c r="BW619" s="24">
        <v>15000000</v>
      </c>
      <c r="BX619" s="21" t="s">
        <v>10408</v>
      </c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N619" s="25"/>
      <c r="CO619" s="25"/>
      <c r="CP619" s="25"/>
      <c r="CQ619" s="25"/>
      <c r="CR619" s="25"/>
      <c r="CS619" s="26"/>
    </row>
    <row r="620" spans="1:97" s="27" customFormat="1" ht="23.25" customHeight="1">
      <c r="A620" s="4">
        <v>486</v>
      </c>
      <c r="B620" s="6"/>
      <c r="C620" s="6"/>
      <c r="D620" s="6"/>
      <c r="E620" s="6"/>
      <c r="F620" s="6"/>
      <c r="G620" s="6"/>
      <c r="H620" s="5"/>
      <c r="I620" s="6"/>
      <c r="J620" s="7" t="s">
        <v>10005</v>
      </c>
      <c r="K620" s="7" t="s">
        <v>10006</v>
      </c>
      <c r="L620" s="8"/>
      <c r="M620" s="5">
        <v>1619</v>
      </c>
      <c r="N620" s="5" t="s">
        <v>10007</v>
      </c>
      <c r="O620" s="9" t="s">
        <v>10008</v>
      </c>
      <c r="P620" s="10" t="s">
        <v>10009</v>
      </c>
      <c r="Q620" s="389" t="s">
        <v>10010</v>
      </c>
      <c r="R620" s="8" t="s">
        <v>11299</v>
      </c>
      <c r="S620" s="212" t="s">
        <v>13586</v>
      </c>
      <c r="T620" s="8" t="s">
        <v>4885</v>
      </c>
      <c r="U620" s="11" t="s">
        <v>93</v>
      </c>
      <c r="V620" s="12" t="s">
        <v>653</v>
      </c>
      <c r="W620" s="13">
        <v>42028</v>
      </c>
      <c r="X620" s="5" t="str">
        <f t="shared" ca="1" si="25"/>
        <v>11 Th, 7 Bln</v>
      </c>
      <c r="Y620" s="5"/>
      <c r="Z620" s="14"/>
      <c r="AA620" s="5" t="s">
        <v>96</v>
      </c>
      <c r="AB620" s="5"/>
      <c r="AC620" s="7" t="s">
        <v>10011</v>
      </c>
      <c r="AD620" s="131"/>
      <c r="AE620" s="131"/>
      <c r="AF620" s="7" t="s">
        <v>1070</v>
      </c>
      <c r="AG620" s="7" t="s">
        <v>994</v>
      </c>
      <c r="AH620" s="7" t="s">
        <v>141</v>
      </c>
      <c r="AI620" s="7"/>
      <c r="AJ620" s="7" t="s">
        <v>2024</v>
      </c>
      <c r="AK620" s="7"/>
      <c r="AL620" s="7"/>
      <c r="AM620" s="15">
        <v>0</v>
      </c>
      <c r="AN620" s="15"/>
      <c r="AO620" s="8">
        <v>2</v>
      </c>
      <c r="AP620" s="8"/>
      <c r="AQ620" s="8"/>
      <c r="AR620" s="8"/>
      <c r="AS620" s="132" t="s">
        <v>3998</v>
      </c>
      <c r="AT620" s="131" t="s">
        <v>2574</v>
      </c>
      <c r="AU620" s="132"/>
      <c r="AV620" s="16"/>
      <c r="AW620" s="56"/>
      <c r="AX620" s="56"/>
      <c r="AY620" s="7" t="s">
        <v>10012</v>
      </c>
      <c r="AZ620" s="10" t="s">
        <v>10013</v>
      </c>
      <c r="BA620" s="7" t="s">
        <v>395</v>
      </c>
      <c r="BB620" s="17">
        <v>30125</v>
      </c>
      <c r="BC620" s="17"/>
      <c r="BD620" s="18" t="s">
        <v>10014</v>
      </c>
      <c r="BE620" s="7" t="s">
        <v>10015</v>
      </c>
      <c r="BF620" s="7" t="s">
        <v>327</v>
      </c>
      <c r="BG620" s="7" t="s">
        <v>10016</v>
      </c>
      <c r="BH620" s="7" t="s">
        <v>511</v>
      </c>
      <c r="BI620" s="19" t="s">
        <v>9517</v>
      </c>
      <c r="BJ620" s="20" t="s">
        <v>10017</v>
      </c>
      <c r="BK620" s="21" t="s">
        <v>10018</v>
      </c>
      <c r="BL620" s="7" t="s">
        <v>10019</v>
      </c>
      <c r="BM620" s="22" t="s">
        <v>10020</v>
      </c>
      <c r="BN620" s="8" t="s">
        <v>653</v>
      </c>
      <c r="BO620" s="17">
        <v>34020</v>
      </c>
      <c r="BP620" s="17"/>
      <c r="BQ620" s="18" t="s">
        <v>10014</v>
      </c>
      <c r="BR620" s="7" t="s">
        <v>2193</v>
      </c>
      <c r="BS620" s="7" t="s">
        <v>126</v>
      </c>
      <c r="BT620" s="7"/>
      <c r="BU620" s="8"/>
      <c r="BV620" s="23" t="s">
        <v>10014</v>
      </c>
      <c r="BW620" s="24" t="s">
        <v>10021</v>
      </c>
      <c r="BX620" s="21" t="s">
        <v>10022</v>
      </c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N620" s="25"/>
      <c r="CO620" s="25"/>
      <c r="CP620" s="25"/>
      <c r="CQ620" s="25"/>
      <c r="CR620" s="25"/>
      <c r="CS620" s="26"/>
    </row>
    <row r="621" spans="1:97" s="27" customFormat="1" ht="23.25" customHeight="1">
      <c r="A621" s="4">
        <v>458</v>
      </c>
      <c r="B621" s="28"/>
      <c r="C621" s="28"/>
      <c r="D621" s="28"/>
      <c r="E621" s="28"/>
      <c r="F621" s="28"/>
      <c r="G621" s="28"/>
      <c r="H621" s="29"/>
      <c r="I621" s="28"/>
      <c r="J621" s="30" t="s">
        <v>9526</v>
      </c>
      <c r="K621" s="30" t="s">
        <v>9527</v>
      </c>
      <c r="L621" s="31"/>
      <c r="M621" s="29">
        <v>1623</v>
      </c>
      <c r="N621" s="29" t="s">
        <v>9528</v>
      </c>
      <c r="O621" s="92" t="s">
        <v>9529</v>
      </c>
      <c r="P621" s="32" t="s">
        <v>9530</v>
      </c>
      <c r="Q621" s="390" t="s">
        <v>9531</v>
      </c>
      <c r="R621" s="8" t="s">
        <v>11299</v>
      </c>
      <c r="S621" s="212" t="s">
        <v>13586</v>
      </c>
      <c r="T621" s="31" t="s">
        <v>6659</v>
      </c>
      <c r="U621" s="33" t="s">
        <v>172</v>
      </c>
      <c r="V621" s="34" t="s">
        <v>94</v>
      </c>
      <c r="W621" s="35">
        <v>42070</v>
      </c>
      <c r="X621" s="31" t="str">
        <f t="shared" ca="1" si="25"/>
        <v>11 Th, 6 Bln</v>
      </c>
      <c r="Y621" s="31"/>
      <c r="Z621" s="36"/>
      <c r="AA621" s="31" t="s">
        <v>96</v>
      </c>
      <c r="AB621" s="31"/>
      <c r="AC621" s="30" t="s">
        <v>9532</v>
      </c>
      <c r="AD621" s="129"/>
      <c r="AE621" s="129"/>
      <c r="AF621" s="30" t="s">
        <v>177</v>
      </c>
      <c r="AG621" s="30" t="s">
        <v>178</v>
      </c>
      <c r="AH621" s="30" t="s">
        <v>178</v>
      </c>
      <c r="AI621" s="30"/>
      <c r="AJ621" s="30" t="s">
        <v>103</v>
      </c>
      <c r="AK621" s="30"/>
      <c r="AL621" s="30"/>
      <c r="AM621" s="37">
        <v>2147483647</v>
      </c>
      <c r="AN621" s="37"/>
      <c r="AO621" s="31">
        <v>1</v>
      </c>
      <c r="AP621" s="31"/>
      <c r="AQ621" s="31"/>
      <c r="AR621" s="31"/>
      <c r="AS621" s="130" t="s">
        <v>2829</v>
      </c>
      <c r="AT621" s="129" t="s">
        <v>3002</v>
      </c>
      <c r="AU621" s="130"/>
      <c r="AV621" s="38"/>
      <c r="AW621" s="123"/>
      <c r="AX621" s="123"/>
      <c r="AY621" s="30" t="s">
        <v>9533</v>
      </c>
      <c r="AZ621" s="32" t="s">
        <v>3702</v>
      </c>
      <c r="BA621" s="30" t="s">
        <v>971</v>
      </c>
      <c r="BB621" s="39">
        <v>30993</v>
      </c>
      <c r="BC621" s="39"/>
      <c r="BD621" s="40">
        <v>2147483647</v>
      </c>
      <c r="BE621" s="30" t="s">
        <v>9534</v>
      </c>
      <c r="BF621" s="30" t="s">
        <v>925</v>
      </c>
      <c r="BG621" s="30" t="s">
        <v>3704</v>
      </c>
      <c r="BH621" s="30" t="s">
        <v>3704</v>
      </c>
      <c r="BI621" s="41" t="s">
        <v>9535</v>
      </c>
      <c r="BJ621" s="42">
        <v>50000000</v>
      </c>
      <c r="BK621" s="43" t="s">
        <v>3711</v>
      </c>
      <c r="BL621" s="30" t="s">
        <v>9536</v>
      </c>
      <c r="BM621" s="44" t="s">
        <v>3709</v>
      </c>
      <c r="BN621" s="125" t="s">
        <v>94</v>
      </c>
      <c r="BO621" s="39">
        <v>31933</v>
      </c>
      <c r="BP621" s="39"/>
      <c r="BQ621" s="40">
        <v>2147483647</v>
      </c>
      <c r="BR621" s="30" t="s">
        <v>153</v>
      </c>
      <c r="BS621" s="30" t="s">
        <v>154</v>
      </c>
      <c r="BT621" s="30" t="s">
        <v>9537</v>
      </c>
      <c r="BU621" s="30" t="s">
        <v>761</v>
      </c>
      <c r="BV621" s="45" t="s">
        <v>9538</v>
      </c>
      <c r="BW621" s="46">
        <v>5000000</v>
      </c>
      <c r="BX621" s="47" t="s">
        <v>3711</v>
      </c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N621" s="25"/>
      <c r="CO621" s="25"/>
      <c r="CP621" s="25"/>
      <c r="CQ621" s="25"/>
      <c r="CR621" s="25"/>
      <c r="CS621" s="26"/>
    </row>
    <row r="622" spans="1:97" s="27" customFormat="1" ht="23.25" customHeight="1">
      <c r="A622" s="4">
        <v>540</v>
      </c>
      <c r="B622" s="6"/>
      <c r="C622" s="6"/>
      <c r="D622" s="6"/>
      <c r="E622" s="6"/>
      <c r="F622" s="6"/>
      <c r="G622" s="6"/>
      <c r="H622" s="5"/>
      <c r="I622" s="6"/>
      <c r="J622" s="7" t="s">
        <v>10851</v>
      </c>
      <c r="K622" s="7" t="s">
        <v>10852</v>
      </c>
      <c r="L622" s="8"/>
      <c r="M622" s="5">
        <v>1624</v>
      </c>
      <c r="N622" s="5" t="s">
        <v>10853</v>
      </c>
      <c r="O622" s="9" t="s">
        <v>10854</v>
      </c>
      <c r="P622" s="10" t="s">
        <v>10855</v>
      </c>
      <c r="Q622" s="389" t="s">
        <v>10856</v>
      </c>
      <c r="R622" s="8" t="s">
        <v>11299</v>
      </c>
      <c r="S622" s="212" t="s">
        <v>13586</v>
      </c>
      <c r="T622" s="8" t="s">
        <v>2523</v>
      </c>
      <c r="U622" s="11" t="s">
        <v>172</v>
      </c>
      <c r="V622" s="12" t="s">
        <v>94</v>
      </c>
      <c r="W622" s="13">
        <v>41760</v>
      </c>
      <c r="X622" s="5" t="str">
        <f t="shared" ca="1" si="25"/>
        <v>12 Th, 4 Bln</v>
      </c>
      <c r="Y622" s="5"/>
      <c r="Z622" s="14"/>
      <c r="AA622" s="5" t="s">
        <v>96</v>
      </c>
      <c r="AB622" s="5"/>
      <c r="AC622" s="7" t="s">
        <v>10857</v>
      </c>
      <c r="AD622" s="131"/>
      <c r="AE622" s="131"/>
      <c r="AF622" s="7" t="s">
        <v>2359</v>
      </c>
      <c r="AG622" s="7" t="s">
        <v>241</v>
      </c>
      <c r="AH622" s="7" t="s">
        <v>241</v>
      </c>
      <c r="AI622" s="7"/>
      <c r="AJ622" s="7" t="s">
        <v>103</v>
      </c>
      <c r="AK622" s="7"/>
      <c r="AL622" s="7"/>
      <c r="AM622" s="15" t="s">
        <v>127</v>
      </c>
      <c r="AN622" s="15"/>
      <c r="AO622" s="8">
        <v>2</v>
      </c>
      <c r="AP622" s="8"/>
      <c r="AQ622" s="8"/>
      <c r="AR622" s="8"/>
      <c r="AS622" s="132" t="s">
        <v>10858</v>
      </c>
      <c r="AT622" s="131" t="s">
        <v>834</v>
      </c>
      <c r="AU622" s="132"/>
      <c r="AV622" s="16"/>
      <c r="AW622" s="56"/>
      <c r="AX622" s="56"/>
      <c r="AY622" s="7" t="s">
        <v>10859</v>
      </c>
      <c r="AZ622" s="10" t="s">
        <v>10860</v>
      </c>
      <c r="BA622" s="7" t="s">
        <v>10861</v>
      </c>
      <c r="BB622" s="17">
        <v>26584</v>
      </c>
      <c r="BC622" s="17"/>
      <c r="BD622" s="18" t="s">
        <v>10862</v>
      </c>
      <c r="BE622" s="7" t="s">
        <v>10863</v>
      </c>
      <c r="BF622" s="7" t="s">
        <v>10864</v>
      </c>
      <c r="BG622" s="7" t="s">
        <v>10865</v>
      </c>
      <c r="BH622" s="7" t="s">
        <v>10866</v>
      </c>
      <c r="BI622" s="19" t="s">
        <v>10867</v>
      </c>
      <c r="BJ622" s="20" t="s">
        <v>10868</v>
      </c>
      <c r="BK622" s="21" t="s">
        <v>10869</v>
      </c>
      <c r="BL622" s="7" t="s">
        <v>10870</v>
      </c>
      <c r="BM622" s="22" t="s">
        <v>10871</v>
      </c>
      <c r="BN622" s="8" t="s">
        <v>444</v>
      </c>
      <c r="BO622" s="17">
        <v>31364</v>
      </c>
      <c r="BP622" s="17"/>
      <c r="BQ622" s="18" t="s">
        <v>10862</v>
      </c>
      <c r="BR622" s="7" t="s">
        <v>10872</v>
      </c>
      <c r="BS622" s="7" t="s">
        <v>127</v>
      </c>
      <c r="BT622" s="7" t="s">
        <v>127</v>
      </c>
      <c r="BU622" s="8" t="s">
        <v>127</v>
      </c>
      <c r="BV622" s="23" t="s">
        <v>127</v>
      </c>
      <c r="BW622" s="24" t="s">
        <v>127</v>
      </c>
      <c r="BX622" s="21" t="s">
        <v>10873</v>
      </c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N622" s="25"/>
      <c r="CO622" s="25"/>
      <c r="CP622" s="25"/>
      <c r="CQ622" s="25"/>
      <c r="CR622" s="25"/>
      <c r="CS622" s="26"/>
    </row>
    <row r="623" spans="1:97" s="87" customFormat="1" ht="23.25" customHeight="1">
      <c r="A623" s="4">
        <v>488</v>
      </c>
      <c r="B623" s="6"/>
      <c r="C623" s="6"/>
      <c r="D623" s="6"/>
      <c r="E623" s="6"/>
      <c r="F623" s="6"/>
      <c r="G623" s="6"/>
      <c r="H623" s="5" t="s">
        <v>10037</v>
      </c>
      <c r="I623" s="6" t="s">
        <v>4774</v>
      </c>
      <c r="J623" s="7" t="s">
        <v>10038</v>
      </c>
      <c r="K623" s="7" t="s">
        <v>10039</v>
      </c>
      <c r="L623" s="8"/>
      <c r="M623" s="5">
        <v>1830</v>
      </c>
      <c r="N623" s="10" t="s">
        <v>11471</v>
      </c>
      <c r="O623" s="9" t="s">
        <v>10040</v>
      </c>
      <c r="P623" s="10" t="s">
        <v>10041</v>
      </c>
      <c r="Q623" s="389" t="s">
        <v>10042</v>
      </c>
      <c r="R623" s="8" t="s">
        <v>11299</v>
      </c>
      <c r="S623" s="212" t="s">
        <v>13586</v>
      </c>
      <c r="T623" s="8" t="s">
        <v>10043</v>
      </c>
      <c r="U623" s="11" t="s">
        <v>93</v>
      </c>
      <c r="V623" s="12" t="s">
        <v>1787</v>
      </c>
      <c r="W623" s="13" t="s">
        <v>10044</v>
      </c>
      <c r="X623" s="5"/>
      <c r="Y623" s="5"/>
      <c r="Z623" s="14"/>
      <c r="AA623" s="5" t="s">
        <v>96</v>
      </c>
      <c r="AB623" s="5" t="s">
        <v>97</v>
      </c>
      <c r="AC623" s="7" t="s">
        <v>10045</v>
      </c>
      <c r="AD623" s="131"/>
      <c r="AE623" s="131"/>
      <c r="AF623" s="7" t="s">
        <v>1840</v>
      </c>
      <c r="AG623" s="7" t="s">
        <v>178</v>
      </c>
      <c r="AH623" s="7" t="s">
        <v>178</v>
      </c>
      <c r="AI623" s="7"/>
      <c r="AJ623" s="7" t="s">
        <v>103</v>
      </c>
      <c r="AK623" s="7" t="s">
        <v>104</v>
      </c>
      <c r="AL623" s="7"/>
      <c r="AM623" s="15"/>
      <c r="AN623" s="15"/>
      <c r="AO623" s="8">
        <v>1</v>
      </c>
      <c r="AP623" s="8">
        <v>1</v>
      </c>
      <c r="AQ623" s="8"/>
      <c r="AR623" s="8"/>
      <c r="AS623" s="132"/>
      <c r="AT623" s="131"/>
      <c r="AU623" s="132"/>
      <c r="AV623" s="16"/>
      <c r="AW623" s="56"/>
      <c r="AX623" s="56"/>
      <c r="AY623" s="7" t="s">
        <v>10046</v>
      </c>
      <c r="AZ623" s="10" t="s">
        <v>10047</v>
      </c>
      <c r="BA623" s="7" t="s">
        <v>94</v>
      </c>
      <c r="BB623" s="17">
        <v>30258</v>
      </c>
      <c r="BC623" s="17" t="s">
        <v>96</v>
      </c>
      <c r="BD623" s="18" t="s">
        <v>10048</v>
      </c>
      <c r="BE623" s="7" t="s">
        <v>8638</v>
      </c>
      <c r="BF623" s="7" t="s">
        <v>247</v>
      </c>
      <c r="BG623" s="7"/>
      <c r="BH623" s="7" t="s">
        <v>10049</v>
      </c>
      <c r="BI623" s="19"/>
      <c r="BJ623" s="20">
        <v>10000000</v>
      </c>
      <c r="BK623" s="21" t="s">
        <v>10050</v>
      </c>
      <c r="BL623" s="7" t="s">
        <v>10051</v>
      </c>
      <c r="BM623" s="22" t="s">
        <v>10052</v>
      </c>
      <c r="BN623" s="8" t="s">
        <v>395</v>
      </c>
      <c r="BO623" s="17" t="s">
        <v>10053</v>
      </c>
      <c r="BP623" s="17"/>
      <c r="BQ623" s="18" t="s">
        <v>10054</v>
      </c>
      <c r="BR623" s="7" t="s">
        <v>8638</v>
      </c>
      <c r="BS623" s="7" t="s">
        <v>126</v>
      </c>
      <c r="BT623" s="7"/>
      <c r="BU623" s="8"/>
      <c r="BV623" s="23"/>
      <c r="BW623" s="24"/>
      <c r="BX623" s="21" t="s">
        <v>10055</v>
      </c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N623" s="85"/>
      <c r="CO623" s="85"/>
      <c r="CP623" s="85"/>
      <c r="CQ623" s="85"/>
      <c r="CR623" s="85"/>
      <c r="CS623" s="86"/>
    </row>
    <row r="624" spans="1:97" s="27" customFormat="1" ht="23.25" customHeight="1">
      <c r="A624" s="4">
        <v>517</v>
      </c>
      <c r="B624" s="6"/>
      <c r="C624" s="6"/>
      <c r="D624" s="6"/>
      <c r="E624" s="6"/>
      <c r="F624" s="6"/>
      <c r="G624" s="6"/>
      <c r="H624" s="5"/>
      <c r="I624" s="6"/>
      <c r="J624" s="7" t="s">
        <v>8430</v>
      </c>
      <c r="K624" s="7" t="s">
        <v>10477</v>
      </c>
      <c r="L624" s="8"/>
      <c r="M624" s="5">
        <v>1636</v>
      </c>
      <c r="N624" s="5">
        <v>3141758143</v>
      </c>
      <c r="O624" s="9" t="s">
        <v>1431</v>
      </c>
      <c r="P624" s="10" t="s">
        <v>10478</v>
      </c>
      <c r="Q624" s="389" t="s">
        <v>10479</v>
      </c>
      <c r="R624" s="8" t="s">
        <v>11299</v>
      </c>
      <c r="S624" s="212" t="s">
        <v>13586</v>
      </c>
      <c r="T624" s="8" t="s">
        <v>10480</v>
      </c>
      <c r="U624" s="11" t="s">
        <v>172</v>
      </c>
      <c r="V624" s="12" t="s">
        <v>94</v>
      </c>
      <c r="W624" s="13">
        <v>41801</v>
      </c>
      <c r="X624" s="5" t="str">
        <f t="shared" ref="X624:X642" ca="1" si="26">""&amp;DATEDIF(W624,TODAY(),"y")&amp;" Th, "&amp;DATEDIF(W624,TODAY(),"ym")&amp;" Bln"</f>
        <v>12 Th, 3 Bln</v>
      </c>
      <c r="Y624" s="5"/>
      <c r="Z624" s="14"/>
      <c r="AA624" s="5" t="s">
        <v>96</v>
      </c>
      <c r="AB624" s="5"/>
      <c r="AC624" s="7" t="s">
        <v>10481</v>
      </c>
      <c r="AD624" s="131"/>
      <c r="AE624" s="131"/>
      <c r="AF624" s="7" t="s">
        <v>241</v>
      </c>
      <c r="AG624" s="7" t="s">
        <v>241</v>
      </c>
      <c r="AH624" s="7" t="s">
        <v>241</v>
      </c>
      <c r="AI624" s="7"/>
      <c r="AJ624" s="7" t="s">
        <v>103</v>
      </c>
      <c r="AK624" s="7"/>
      <c r="AL624" s="7"/>
      <c r="AM624" s="15">
        <v>0</v>
      </c>
      <c r="AN624" s="15"/>
      <c r="AO624" s="8">
        <v>2</v>
      </c>
      <c r="AP624" s="8"/>
      <c r="AQ624" s="8"/>
      <c r="AR624" s="8"/>
      <c r="AS624" s="132" t="s">
        <v>2206</v>
      </c>
      <c r="AT624" s="131" t="s">
        <v>2550</v>
      </c>
      <c r="AU624" s="132"/>
      <c r="AV624" s="16"/>
      <c r="AW624" s="56"/>
      <c r="AX624" s="56"/>
      <c r="AY624" s="7" t="s">
        <v>10482</v>
      </c>
      <c r="AZ624" s="10" t="s">
        <v>1441</v>
      </c>
      <c r="BA624" s="7" t="s">
        <v>94</v>
      </c>
      <c r="BB624" s="17">
        <v>31008</v>
      </c>
      <c r="BC624" s="17"/>
      <c r="BD624" s="18">
        <v>2147483647</v>
      </c>
      <c r="BE624" s="7" t="s">
        <v>118</v>
      </c>
      <c r="BF624" s="7" t="s">
        <v>10483</v>
      </c>
      <c r="BG624" s="7" t="s">
        <v>327</v>
      </c>
      <c r="BH624" s="7" t="s">
        <v>971</v>
      </c>
      <c r="BI624" s="19" t="s">
        <v>10484</v>
      </c>
      <c r="BJ624" s="20">
        <v>15000000</v>
      </c>
      <c r="BK624" s="21" t="s">
        <v>1448</v>
      </c>
      <c r="BL624" s="7" t="s">
        <v>10485</v>
      </c>
      <c r="BM624" s="22" t="s">
        <v>10486</v>
      </c>
      <c r="BN624" s="8" t="s">
        <v>1442</v>
      </c>
      <c r="BO624" s="17">
        <v>30556</v>
      </c>
      <c r="BP624" s="17"/>
      <c r="BQ624" s="18" t="s">
        <v>9517</v>
      </c>
      <c r="BR624" s="7" t="s">
        <v>118</v>
      </c>
      <c r="BS624" s="7" t="s">
        <v>471</v>
      </c>
      <c r="BT624" s="7" t="s">
        <v>10487</v>
      </c>
      <c r="BU624" s="8" t="s">
        <v>10488</v>
      </c>
      <c r="BV624" s="23" t="s">
        <v>10489</v>
      </c>
      <c r="BW624" s="24">
        <v>3200000</v>
      </c>
      <c r="BX624" s="21" t="s">
        <v>1454</v>
      </c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N624" s="25"/>
      <c r="CO624" s="25"/>
      <c r="CP624" s="25"/>
      <c r="CQ624" s="25"/>
      <c r="CR624" s="25"/>
      <c r="CS624" s="26"/>
    </row>
    <row r="625" spans="1:97" s="27" customFormat="1" ht="23.25" customHeight="1">
      <c r="A625" s="4">
        <v>518</v>
      </c>
      <c r="B625" s="6"/>
      <c r="C625" s="6"/>
      <c r="D625" s="6"/>
      <c r="E625" s="6"/>
      <c r="F625" s="6"/>
      <c r="G625" s="6"/>
      <c r="H625" s="5"/>
      <c r="I625" s="6"/>
      <c r="J625" s="7" t="s">
        <v>10490</v>
      </c>
      <c r="K625" s="7" t="s">
        <v>1993</v>
      </c>
      <c r="L625" s="8"/>
      <c r="M625" s="5">
        <v>1637</v>
      </c>
      <c r="N625" s="5" t="s">
        <v>10491</v>
      </c>
      <c r="O625" s="9" t="s">
        <v>10492</v>
      </c>
      <c r="P625" s="10" t="s">
        <v>10493</v>
      </c>
      <c r="Q625" s="389" t="s">
        <v>10494</v>
      </c>
      <c r="R625" s="8" t="s">
        <v>11299</v>
      </c>
      <c r="S625" s="212" t="s">
        <v>13586</v>
      </c>
      <c r="T625" s="8" t="s">
        <v>10495</v>
      </c>
      <c r="U625" s="11" t="s">
        <v>172</v>
      </c>
      <c r="V625" s="12" t="s">
        <v>653</v>
      </c>
      <c r="W625" s="13">
        <v>42142</v>
      </c>
      <c r="X625" s="5" t="str">
        <f t="shared" ca="1" si="26"/>
        <v>11 Th, 3 Bln</v>
      </c>
      <c r="Y625" s="5"/>
      <c r="Z625" s="14"/>
      <c r="AA625" s="5" t="s">
        <v>96</v>
      </c>
      <c r="AB625" s="5"/>
      <c r="AC625" s="7" t="s">
        <v>10496</v>
      </c>
      <c r="AD625" s="131"/>
      <c r="AE625" s="131"/>
      <c r="AF625" s="7" t="s">
        <v>615</v>
      </c>
      <c r="AG625" s="7" t="s">
        <v>178</v>
      </c>
      <c r="AH625" s="7" t="s">
        <v>178</v>
      </c>
      <c r="AI625" s="7"/>
      <c r="AJ625" s="7" t="s">
        <v>103</v>
      </c>
      <c r="AK625" s="7"/>
      <c r="AL625" s="7"/>
      <c r="AM625" s="15"/>
      <c r="AN625" s="15"/>
      <c r="AO625" s="8">
        <v>1</v>
      </c>
      <c r="AP625" s="8"/>
      <c r="AQ625" s="8"/>
      <c r="AR625" s="8"/>
      <c r="AS625" s="132" t="s">
        <v>10497</v>
      </c>
      <c r="AT625" s="131" t="s">
        <v>7421</v>
      </c>
      <c r="AU625" s="132"/>
      <c r="AV625" s="16"/>
      <c r="AW625" s="56"/>
      <c r="AX625" s="56"/>
      <c r="AY625" s="7" t="s">
        <v>10498</v>
      </c>
      <c r="AZ625" s="10" t="s">
        <v>1049</v>
      </c>
      <c r="BA625" s="7" t="s">
        <v>1050</v>
      </c>
      <c r="BB625" s="17">
        <v>30926</v>
      </c>
      <c r="BC625" s="17"/>
      <c r="BD625" s="18" t="s">
        <v>1047</v>
      </c>
      <c r="BE625" s="7" t="s">
        <v>118</v>
      </c>
      <c r="BF625" s="7" t="s">
        <v>471</v>
      </c>
      <c r="BG625" s="7" t="s">
        <v>10499</v>
      </c>
      <c r="BH625" s="7" t="s">
        <v>10500</v>
      </c>
      <c r="BI625" s="19" t="s">
        <v>10501</v>
      </c>
      <c r="BJ625" s="20">
        <v>20000000</v>
      </c>
      <c r="BK625" s="21" t="s">
        <v>10502</v>
      </c>
      <c r="BL625" s="7" t="s">
        <v>10503</v>
      </c>
      <c r="BM625" s="22" t="s">
        <v>1058</v>
      </c>
      <c r="BN625" s="8" t="s">
        <v>653</v>
      </c>
      <c r="BO625" s="17">
        <v>30617</v>
      </c>
      <c r="BP625" s="17"/>
      <c r="BQ625" s="18" t="s">
        <v>1047</v>
      </c>
      <c r="BR625" s="7" t="s">
        <v>118</v>
      </c>
      <c r="BS625" s="7" t="s">
        <v>119</v>
      </c>
      <c r="BT625" s="7" t="s">
        <v>1059</v>
      </c>
      <c r="BU625" s="8" t="s">
        <v>10504</v>
      </c>
      <c r="BV625" s="23" t="s">
        <v>10505</v>
      </c>
      <c r="BW625" s="24">
        <v>10500000</v>
      </c>
      <c r="BX625" s="21" t="s">
        <v>1062</v>
      </c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N625" s="25"/>
      <c r="CO625" s="25"/>
      <c r="CP625" s="25"/>
      <c r="CQ625" s="25"/>
      <c r="CR625" s="25"/>
      <c r="CS625" s="26"/>
    </row>
    <row r="626" spans="1:97" s="27" customFormat="1" ht="23.25" customHeight="1">
      <c r="A626" s="4">
        <v>493</v>
      </c>
      <c r="B626" s="6"/>
      <c r="C626" s="6"/>
      <c r="D626" s="6"/>
      <c r="E626" s="6"/>
      <c r="F626" s="6"/>
      <c r="G626" s="6"/>
      <c r="H626" s="5"/>
      <c r="I626" s="6"/>
      <c r="J626" s="7" t="s">
        <v>513</v>
      </c>
      <c r="K626" s="7" t="s">
        <v>10123</v>
      </c>
      <c r="L626" s="8"/>
      <c r="M626" s="5">
        <v>1639</v>
      </c>
      <c r="N626" s="5" t="s">
        <v>10124</v>
      </c>
      <c r="O626" s="9" t="s">
        <v>1531</v>
      </c>
      <c r="P626" s="10" t="s">
        <v>10125</v>
      </c>
      <c r="Q626" s="389" t="s">
        <v>10126</v>
      </c>
      <c r="R626" s="8" t="s">
        <v>11299</v>
      </c>
      <c r="S626" s="212" t="s">
        <v>13586</v>
      </c>
      <c r="T626" s="8" t="s">
        <v>10127</v>
      </c>
      <c r="U626" s="11" t="s">
        <v>172</v>
      </c>
      <c r="V626" s="12" t="s">
        <v>94</v>
      </c>
      <c r="W626" s="13">
        <v>41872</v>
      </c>
      <c r="X626" s="5" t="str">
        <f t="shared" ca="1" si="26"/>
        <v>12 Th, 0 Bln</v>
      </c>
      <c r="Y626" s="5"/>
      <c r="Z626" s="14"/>
      <c r="AA626" s="5" t="s">
        <v>96</v>
      </c>
      <c r="AB626" s="5"/>
      <c r="AC626" s="7" t="s">
        <v>10128</v>
      </c>
      <c r="AD626" s="131"/>
      <c r="AE626" s="131"/>
      <c r="AF626" s="7" t="s">
        <v>521</v>
      </c>
      <c r="AG626" s="7" t="s">
        <v>178</v>
      </c>
      <c r="AH626" s="7" t="s">
        <v>178</v>
      </c>
      <c r="AI626" s="7"/>
      <c r="AJ626" s="7" t="s">
        <v>103</v>
      </c>
      <c r="AK626" s="7"/>
      <c r="AL626" s="7"/>
      <c r="AM626" s="15"/>
      <c r="AN626" s="15"/>
      <c r="AO626" s="8">
        <v>1</v>
      </c>
      <c r="AP626" s="8"/>
      <c r="AQ626" s="8"/>
      <c r="AR626" s="8"/>
      <c r="AS626" s="132" t="s">
        <v>3290</v>
      </c>
      <c r="AT626" s="131" t="s">
        <v>2780</v>
      </c>
      <c r="AU626" s="132"/>
      <c r="AV626" s="16"/>
      <c r="AW626" s="56"/>
      <c r="AX626" s="56"/>
      <c r="AY626" s="7" t="s">
        <v>10129</v>
      </c>
      <c r="AZ626" s="10" t="s">
        <v>1540</v>
      </c>
      <c r="BA626" s="7" t="s">
        <v>603</v>
      </c>
      <c r="BB626" s="17">
        <v>30730</v>
      </c>
      <c r="BC626" s="17"/>
      <c r="BD626" s="18" t="s">
        <v>10130</v>
      </c>
      <c r="BE626" s="7" t="s">
        <v>153</v>
      </c>
      <c r="BF626" s="7" t="s">
        <v>188</v>
      </c>
      <c r="BG626" s="7" t="s">
        <v>10131</v>
      </c>
      <c r="BH626" s="7" t="s">
        <v>10132</v>
      </c>
      <c r="BI626" s="19" t="s">
        <v>10133</v>
      </c>
      <c r="BJ626" s="20">
        <v>8500000</v>
      </c>
      <c r="BK626" s="21" t="s">
        <v>1545</v>
      </c>
      <c r="BL626" s="7" t="s">
        <v>10134</v>
      </c>
      <c r="BM626" s="22" t="s">
        <v>1547</v>
      </c>
      <c r="BN626" s="8" t="s">
        <v>603</v>
      </c>
      <c r="BO626" s="17">
        <v>30876</v>
      </c>
      <c r="BP626" s="17"/>
      <c r="BQ626" s="18" t="s">
        <v>1536</v>
      </c>
      <c r="BR626" s="7" t="s">
        <v>118</v>
      </c>
      <c r="BS626" s="7" t="s">
        <v>126</v>
      </c>
      <c r="BT626" s="7" t="s">
        <v>126</v>
      </c>
      <c r="BU626" s="8" t="s">
        <v>10135</v>
      </c>
      <c r="BV626" s="23" t="s">
        <v>1536</v>
      </c>
      <c r="BW626" s="24"/>
      <c r="BX626" s="21" t="s">
        <v>10136</v>
      </c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N626" s="25"/>
      <c r="CO626" s="25"/>
      <c r="CP626" s="25"/>
      <c r="CQ626" s="25"/>
      <c r="CR626" s="25"/>
      <c r="CS626" s="26"/>
    </row>
    <row r="627" spans="1:97" s="27" customFormat="1" ht="23.25" customHeight="1">
      <c r="A627" s="4">
        <v>495</v>
      </c>
      <c r="B627" s="6"/>
      <c r="C627" s="6"/>
      <c r="D627" s="6"/>
      <c r="E627" s="6"/>
      <c r="F627" s="6"/>
      <c r="G627" s="6"/>
      <c r="H627" s="5"/>
      <c r="I627" s="6"/>
      <c r="J627" s="7" t="s">
        <v>166</v>
      </c>
      <c r="K627" s="7" t="s">
        <v>10153</v>
      </c>
      <c r="L627" s="8"/>
      <c r="M627" s="5">
        <v>1643</v>
      </c>
      <c r="N627" s="5" t="s">
        <v>10154</v>
      </c>
      <c r="O627" s="9" t="s">
        <v>10155</v>
      </c>
      <c r="P627" s="10" t="s">
        <v>10156</v>
      </c>
      <c r="Q627" s="389" t="s">
        <v>10157</v>
      </c>
      <c r="R627" s="8" t="s">
        <v>11299</v>
      </c>
      <c r="S627" s="212" t="s">
        <v>13586</v>
      </c>
      <c r="T627" s="8" t="s">
        <v>7493</v>
      </c>
      <c r="U627" s="11" t="s">
        <v>172</v>
      </c>
      <c r="V627" s="12" t="s">
        <v>94</v>
      </c>
      <c r="W627" s="13">
        <v>42120</v>
      </c>
      <c r="X627" s="5" t="str">
        <f t="shared" ca="1" si="26"/>
        <v>11 Th, 4 Bln</v>
      </c>
      <c r="Y627" s="5"/>
      <c r="Z627" s="14"/>
      <c r="AA627" s="5" t="s">
        <v>96</v>
      </c>
      <c r="AB627" s="5"/>
      <c r="AC627" s="7" t="s">
        <v>10158</v>
      </c>
      <c r="AD627" s="131"/>
      <c r="AE627" s="131"/>
      <c r="AF627" s="7" t="s">
        <v>295</v>
      </c>
      <c r="AG627" s="7" t="s">
        <v>178</v>
      </c>
      <c r="AH627" s="7" t="s">
        <v>178</v>
      </c>
      <c r="AI627" s="7"/>
      <c r="AJ627" s="7" t="s">
        <v>103</v>
      </c>
      <c r="AK627" s="7"/>
      <c r="AL627" s="7"/>
      <c r="AM627" s="15"/>
      <c r="AN627" s="15"/>
      <c r="AO627" s="8">
        <v>3</v>
      </c>
      <c r="AP627" s="8"/>
      <c r="AQ627" s="8"/>
      <c r="AR627" s="8"/>
      <c r="AS627" s="132" t="s">
        <v>833</v>
      </c>
      <c r="AT627" s="131" t="s">
        <v>2937</v>
      </c>
      <c r="AU627" s="132"/>
      <c r="AV627" s="16"/>
      <c r="AW627" s="56"/>
      <c r="AX627" s="56"/>
      <c r="AY627" s="7" t="s">
        <v>10159</v>
      </c>
      <c r="AZ627" s="10" t="s">
        <v>10160</v>
      </c>
      <c r="BA627" s="7" t="s">
        <v>6188</v>
      </c>
      <c r="BB627" s="17">
        <v>28410</v>
      </c>
      <c r="BC627" s="17"/>
      <c r="BD627" s="18" t="s">
        <v>10161</v>
      </c>
      <c r="BE627" s="7" t="s">
        <v>4783</v>
      </c>
      <c r="BF627" s="7" t="s">
        <v>247</v>
      </c>
      <c r="BG627" s="7" t="s">
        <v>10162</v>
      </c>
      <c r="BH627" s="7" t="s">
        <v>10163</v>
      </c>
      <c r="BI627" s="19" t="s">
        <v>10161</v>
      </c>
      <c r="BJ627" s="20">
        <v>10000000</v>
      </c>
      <c r="BK627" s="21" t="s">
        <v>10164</v>
      </c>
      <c r="BL627" s="7" t="s">
        <v>10165</v>
      </c>
      <c r="BM627" s="22" t="s">
        <v>10166</v>
      </c>
      <c r="BN627" s="8" t="s">
        <v>94</v>
      </c>
      <c r="BO627" s="17">
        <v>29304</v>
      </c>
      <c r="BP627" s="17"/>
      <c r="BQ627" s="18" t="s">
        <v>10161</v>
      </c>
      <c r="BR627" s="7" t="s">
        <v>10167</v>
      </c>
      <c r="BS627" s="7" t="s">
        <v>10167</v>
      </c>
      <c r="BT627" s="7" t="s">
        <v>10168</v>
      </c>
      <c r="BU627" s="8" t="s">
        <v>10169</v>
      </c>
      <c r="BV627" s="23" t="s">
        <v>10170</v>
      </c>
      <c r="BW627" s="24">
        <v>10000000</v>
      </c>
      <c r="BX627" s="21" t="s">
        <v>10164</v>
      </c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N627" s="25"/>
      <c r="CO627" s="25"/>
      <c r="CP627" s="25"/>
      <c r="CQ627" s="25"/>
      <c r="CR627" s="25"/>
      <c r="CS627" s="26"/>
    </row>
    <row r="628" spans="1:97" s="27" customFormat="1" ht="21" customHeight="1">
      <c r="A628" s="4">
        <v>546</v>
      </c>
      <c r="B628" s="6"/>
      <c r="C628" s="6"/>
      <c r="D628" s="6"/>
      <c r="E628" s="6"/>
      <c r="F628" s="6"/>
      <c r="G628" s="6"/>
      <c r="H628" s="5"/>
      <c r="I628" s="6"/>
      <c r="J628" s="7" t="s">
        <v>10938</v>
      </c>
      <c r="K628" s="7" t="s">
        <v>10939</v>
      </c>
      <c r="L628" s="8"/>
      <c r="M628" s="5">
        <v>1644</v>
      </c>
      <c r="N628" s="5">
        <v>3144409913</v>
      </c>
      <c r="O628" s="9" t="s">
        <v>10940</v>
      </c>
      <c r="P628" s="10" t="s">
        <v>10941</v>
      </c>
      <c r="Q628" s="389" t="s">
        <v>10942</v>
      </c>
      <c r="R628" s="8" t="s">
        <v>11299</v>
      </c>
      <c r="S628" s="212" t="s">
        <v>13586</v>
      </c>
      <c r="T628" s="8" t="s">
        <v>7373</v>
      </c>
      <c r="U628" s="11" t="s">
        <v>172</v>
      </c>
      <c r="V628" s="12" t="s">
        <v>971</v>
      </c>
      <c r="W628" s="13">
        <v>41918</v>
      </c>
      <c r="X628" s="5" t="str">
        <f t="shared" ca="1" si="26"/>
        <v>11 Th, 11 Bln</v>
      </c>
      <c r="Y628" s="5"/>
      <c r="Z628" s="14"/>
      <c r="AA628" s="5" t="s">
        <v>96</v>
      </c>
      <c r="AB628" s="5"/>
      <c r="AC628" s="7" t="s">
        <v>10943</v>
      </c>
      <c r="AD628" s="131"/>
      <c r="AE628" s="131"/>
      <c r="AF628" s="7" t="s">
        <v>10944</v>
      </c>
      <c r="AG628" s="7" t="s">
        <v>4057</v>
      </c>
      <c r="AH628" s="7" t="s">
        <v>141</v>
      </c>
      <c r="AI628" s="7"/>
      <c r="AJ628" s="7" t="s">
        <v>519</v>
      </c>
      <c r="AK628" s="7"/>
      <c r="AL628" s="7"/>
      <c r="AM628" s="15" t="s">
        <v>10945</v>
      </c>
      <c r="AN628" s="15"/>
      <c r="AO628" s="8">
        <v>1</v>
      </c>
      <c r="AP628" s="8"/>
      <c r="AQ628" s="8"/>
      <c r="AR628" s="8"/>
      <c r="AS628" s="132" t="s">
        <v>10946</v>
      </c>
      <c r="AT628" s="131" t="s">
        <v>3608</v>
      </c>
      <c r="AU628" s="132"/>
      <c r="AV628" s="16"/>
      <c r="AW628" s="56"/>
      <c r="AX628" s="56"/>
      <c r="AY628" s="7" t="s">
        <v>10947</v>
      </c>
      <c r="AZ628" s="10" t="s">
        <v>10948</v>
      </c>
      <c r="BA628" s="7" t="s">
        <v>4399</v>
      </c>
      <c r="BB628" s="17">
        <v>28530</v>
      </c>
      <c r="BC628" s="17"/>
      <c r="BD628" s="18" t="s">
        <v>10949</v>
      </c>
      <c r="BE628" s="7" t="s">
        <v>118</v>
      </c>
      <c r="BF628" s="7" t="s">
        <v>327</v>
      </c>
      <c r="BG628" s="7" t="s">
        <v>10950</v>
      </c>
      <c r="BH628" s="7" t="s">
        <v>395</v>
      </c>
      <c r="BI628" s="19" t="s">
        <v>10949</v>
      </c>
      <c r="BJ628" s="20">
        <v>30000000</v>
      </c>
      <c r="BK628" s="21" t="s">
        <v>10951</v>
      </c>
      <c r="BL628" s="7" t="s">
        <v>10952</v>
      </c>
      <c r="BM628" s="22" t="s">
        <v>10953</v>
      </c>
      <c r="BN628" s="8" t="s">
        <v>4399</v>
      </c>
      <c r="BO628" s="17">
        <v>32988</v>
      </c>
      <c r="BP628" s="17"/>
      <c r="BQ628" s="18" t="s">
        <v>10945</v>
      </c>
      <c r="BR628" s="7" t="s">
        <v>4811</v>
      </c>
      <c r="BS628" s="7" t="s">
        <v>126</v>
      </c>
      <c r="BT628" s="7" t="s">
        <v>127</v>
      </c>
      <c r="BU628" s="8" t="s">
        <v>127</v>
      </c>
      <c r="BV628" s="23" t="s">
        <v>127</v>
      </c>
      <c r="BW628" s="24" t="s">
        <v>127</v>
      </c>
      <c r="BX628" s="21" t="s">
        <v>10954</v>
      </c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N628" s="25"/>
      <c r="CO628" s="25"/>
      <c r="CP628" s="25"/>
      <c r="CQ628" s="25"/>
      <c r="CR628" s="25"/>
      <c r="CS628" s="26"/>
    </row>
    <row r="629" spans="1:97" s="27" customFormat="1" ht="23.25" customHeight="1">
      <c r="A629" s="4">
        <v>467</v>
      </c>
      <c r="B629" s="6"/>
      <c r="C629" s="6"/>
      <c r="D629" s="6"/>
      <c r="E629" s="6"/>
      <c r="F629" s="6"/>
      <c r="G629" s="6"/>
      <c r="H629" s="5"/>
      <c r="I629" s="6"/>
      <c r="J629" s="7" t="s">
        <v>3682</v>
      </c>
      <c r="K629" s="7" t="s">
        <v>9706</v>
      </c>
      <c r="L629" s="8"/>
      <c r="M629" s="5">
        <v>1649</v>
      </c>
      <c r="N629" s="5">
        <v>3154569004</v>
      </c>
      <c r="O629" s="9" t="s">
        <v>9707</v>
      </c>
      <c r="P629" s="10" t="s">
        <v>9708</v>
      </c>
      <c r="Q629" s="389" t="s">
        <v>9709</v>
      </c>
      <c r="R629" s="8" t="s">
        <v>11299</v>
      </c>
      <c r="S629" s="212" t="s">
        <v>13586</v>
      </c>
      <c r="T629" s="8" t="s">
        <v>9710</v>
      </c>
      <c r="U629" s="11" t="s">
        <v>93</v>
      </c>
      <c r="V629" s="12" t="s">
        <v>94</v>
      </c>
      <c r="W629" s="13">
        <v>42033</v>
      </c>
      <c r="X629" s="5" t="str">
        <f t="shared" ca="1" si="26"/>
        <v>11 Th, 7 Bln</v>
      </c>
      <c r="Y629" s="5"/>
      <c r="Z629" s="14"/>
      <c r="AA629" s="5" t="s">
        <v>96</v>
      </c>
      <c r="AB629" s="5"/>
      <c r="AC629" s="7" t="s">
        <v>9711</v>
      </c>
      <c r="AD629" s="131">
        <v>7</v>
      </c>
      <c r="AE629" s="131">
        <v>5</v>
      </c>
      <c r="AF629" s="7" t="s">
        <v>139</v>
      </c>
      <c r="AG629" s="7" t="s">
        <v>140</v>
      </c>
      <c r="AH629" s="7" t="s">
        <v>141</v>
      </c>
      <c r="AI629" s="7"/>
      <c r="AJ629" s="7" t="s">
        <v>142</v>
      </c>
      <c r="AK629" s="7"/>
      <c r="AL629" s="7"/>
      <c r="AM629" s="15"/>
      <c r="AN629" s="15"/>
      <c r="AO629" s="8">
        <v>2</v>
      </c>
      <c r="AP629" s="8"/>
      <c r="AQ629" s="8"/>
      <c r="AR629" s="8"/>
      <c r="AS629" s="132" t="s">
        <v>800</v>
      </c>
      <c r="AT629" s="131" t="s">
        <v>3526</v>
      </c>
      <c r="AU629" s="132"/>
      <c r="AV629" s="16"/>
      <c r="AW629" s="56"/>
      <c r="AX629" s="56"/>
      <c r="AY629" s="7" t="s">
        <v>9712</v>
      </c>
      <c r="AZ629" s="10" t="s">
        <v>4613</v>
      </c>
      <c r="BA629" s="7" t="s">
        <v>222</v>
      </c>
      <c r="BB629" s="17">
        <v>30517</v>
      </c>
      <c r="BC629" s="17"/>
      <c r="BD629" s="18" t="s">
        <v>4610</v>
      </c>
      <c r="BE629" s="7" t="s">
        <v>153</v>
      </c>
      <c r="BF629" s="7" t="s">
        <v>554</v>
      </c>
      <c r="BG629" s="7" t="s">
        <v>9713</v>
      </c>
      <c r="BH629" s="7" t="s">
        <v>4620</v>
      </c>
      <c r="BI629" s="19" t="s">
        <v>9714</v>
      </c>
      <c r="BJ629" s="20">
        <v>5000000</v>
      </c>
      <c r="BK629" s="21" t="s">
        <v>4617</v>
      </c>
      <c r="BL629" s="7" t="s">
        <v>9715</v>
      </c>
      <c r="BM629" s="22" t="s">
        <v>4619</v>
      </c>
      <c r="BN629" s="8" t="s">
        <v>395</v>
      </c>
      <c r="BO629" s="17">
        <v>30943</v>
      </c>
      <c r="BP629" s="17"/>
      <c r="BQ629" s="18" t="s">
        <v>4610</v>
      </c>
      <c r="BR629" s="7" t="s">
        <v>153</v>
      </c>
      <c r="BS629" s="7" t="s">
        <v>554</v>
      </c>
      <c r="BT629" s="7" t="s">
        <v>9713</v>
      </c>
      <c r="BU629" s="8" t="s">
        <v>9716</v>
      </c>
      <c r="BV629" s="23" t="s">
        <v>9714</v>
      </c>
      <c r="BW629" s="24">
        <v>5000000</v>
      </c>
      <c r="BX629" s="21" t="s">
        <v>9717</v>
      </c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N629" s="25"/>
      <c r="CO629" s="25"/>
      <c r="CP629" s="25"/>
      <c r="CQ629" s="25"/>
      <c r="CR629" s="25"/>
      <c r="CS629" s="26"/>
    </row>
    <row r="630" spans="1:97" s="27" customFormat="1" ht="23.25" customHeight="1">
      <c r="A630" s="4">
        <v>523</v>
      </c>
      <c r="B630" s="6"/>
      <c r="C630" s="6"/>
      <c r="D630" s="6"/>
      <c r="E630" s="6"/>
      <c r="F630" s="6"/>
      <c r="G630" s="6"/>
      <c r="H630" s="5"/>
      <c r="I630" s="6"/>
      <c r="J630" s="7" t="s">
        <v>513</v>
      </c>
      <c r="K630" s="7" t="s">
        <v>10557</v>
      </c>
      <c r="L630" s="8"/>
      <c r="M630" s="5">
        <v>1652</v>
      </c>
      <c r="N630" s="5" t="s">
        <v>10558</v>
      </c>
      <c r="O630" s="9" t="s">
        <v>10559</v>
      </c>
      <c r="P630" s="10" t="s">
        <v>10560</v>
      </c>
      <c r="Q630" s="389" t="s">
        <v>10561</v>
      </c>
      <c r="R630" s="8" t="s">
        <v>11299</v>
      </c>
      <c r="S630" s="212" t="s">
        <v>13586</v>
      </c>
      <c r="T630" s="8" t="s">
        <v>10562</v>
      </c>
      <c r="U630" s="11" t="s">
        <v>93</v>
      </c>
      <c r="V630" s="12" t="s">
        <v>94</v>
      </c>
      <c r="W630" s="13">
        <v>42157</v>
      </c>
      <c r="X630" s="5" t="str">
        <f t="shared" ca="1" si="26"/>
        <v>11 Th, 3 Bln</v>
      </c>
      <c r="Y630" s="5"/>
      <c r="Z630" s="14"/>
      <c r="AA630" s="5" t="s">
        <v>96</v>
      </c>
      <c r="AB630" s="5"/>
      <c r="AC630" s="7" t="s">
        <v>10563</v>
      </c>
      <c r="AD630" s="131">
        <v>2</v>
      </c>
      <c r="AE630" s="131">
        <v>1</v>
      </c>
      <c r="AF630" s="7" t="s">
        <v>5959</v>
      </c>
      <c r="AG630" s="7" t="s">
        <v>140</v>
      </c>
      <c r="AH630" s="7" t="s">
        <v>141</v>
      </c>
      <c r="AI630" s="7"/>
      <c r="AJ630" s="7" t="s">
        <v>142</v>
      </c>
      <c r="AK630" s="7"/>
      <c r="AL630" s="7"/>
      <c r="AM630" s="15"/>
      <c r="AN630" s="15"/>
      <c r="AO630" s="8"/>
      <c r="AP630" s="8"/>
      <c r="AQ630" s="8"/>
      <c r="AR630" s="8"/>
      <c r="AS630" s="132" t="s">
        <v>108</v>
      </c>
      <c r="AT630" s="131" t="s">
        <v>108</v>
      </c>
      <c r="AU630" s="132"/>
      <c r="AV630" s="16"/>
      <c r="AW630" s="56"/>
      <c r="AX630" s="56"/>
      <c r="AY630" s="7" t="s">
        <v>10564</v>
      </c>
      <c r="AZ630" s="10" t="s">
        <v>10565</v>
      </c>
      <c r="BA630" s="7" t="s">
        <v>94</v>
      </c>
      <c r="BB630" s="17">
        <v>29929</v>
      </c>
      <c r="BC630" s="17"/>
      <c r="BD630" s="18"/>
      <c r="BE630" s="7" t="s">
        <v>118</v>
      </c>
      <c r="BF630" s="7" t="s">
        <v>10566</v>
      </c>
      <c r="BG630" s="7" t="s">
        <v>108</v>
      </c>
      <c r="BH630" s="7" t="s">
        <v>108</v>
      </c>
      <c r="BI630" s="19"/>
      <c r="BJ630" s="20"/>
      <c r="BK630" s="21"/>
      <c r="BL630" s="7" t="s">
        <v>10567</v>
      </c>
      <c r="BM630" s="22" t="s">
        <v>10568</v>
      </c>
      <c r="BN630" s="8" t="s">
        <v>94</v>
      </c>
      <c r="BO630" s="17">
        <v>29787</v>
      </c>
      <c r="BP630" s="17"/>
      <c r="BQ630" s="18"/>
      <c r="BR630" s="7" t="s">
        <v>118</v>
      </c>
      <c r="BS630" s="7" t="s">
        <v>276</v>
      </c>
      <c r="BT630" s="7" t="s">
        <v>108</v>
      </c>
      <c r="BU630" s="8" t="s">
        <v>108</v>
      </c>
      <c r="BV630" s="23"/>
      <c r="BW630" s="24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N630" s="25"/>
      <c r="CO630" s="25"/>
      <c r="CP630" s="25"/>
      <c r="CQ630" s="25"/>
      <c r="CR630" s="25"/>
      <c r="CS630" s="26"/>
    </row>
    <row r="631" spans="1:97" s="27" customFormat="1" ht="21" customHeight="1">
      <c r="A631" s="4">
        <v>549</v>
      </c>
      <c r="B631" s="6"/>
      <c r="C631" s="6"/>
      <c r="D631" s="6"/>
      <c r="E631" s="6"/>
      <c r="F631" s="6"/>
      <c r="G631" s="6"/>
      <c r="H631" s="5"/>
      <c r="I631" s="6"/>
      <c r="J631" s="7" t="s">
        <v>10981</v>
      </c>
      <c r="K631" s="7" t="s">
        <v>10982</v>
      </c>
      <c r="L631" s="8"/>
      <c r="M631" s="5">
        <v>1654</v>
      </c>
      <c r="N631" s="5">
        <v>3155037616</v>
      </c>
      <c r="O631" s="9" t="s">
        <v>10983</v>
      </c>
      <c r="P631" s="10" t="s">
        <v>10984</v>
      </c>
      <c r="Q631" s="389" t="s">
        <v>10985</v>
      </c>
      <c r="R631" s="8" t="s">
        <v>11299</v>
      </c>
      <c r="S631" s="212" t="s">
        <v>13586</v>
      </c>
      <c r="T631" s="8" t="s">
        <v>7154</v>
      </c>
      <c r="U631" s="11" t="s">
        <v>93</v>
      </c>
      <c r="V631" s="12" t="s">
        <v>94</v>
      </c>
      <c r="W631" s="13">
        <v>42027</v>
      </c>
      <c r="X631" s="5" t="str">
        <f t="shared" ca="1" si="26"/>
        <v>11 Th, 7 Bln</v>
      </c>
      <c r="Y631" s="5"/>
      <c r="Z631" s="14"/>
      <c r="AA631" s="5" t="s">
        <v>96</v>
      </c>
      <c r="AB631" s="5"/>
      <c r="AC631" s="7" t="s">
        <v>10986</v>
      </c>
      <c r="AD631" s="131">
        <v>39</v>
      </c>
      <c r="AE631" s="131">
        <v>8</v>
      </c>
      <c r="AF631" s="7" t="s">
        <v>1155</v>
      </c>
      <c r="AG631" s="7" t="s">
        <v>140</v>
      </c>
      <c r="AH631" s="7" t="s">
        <v>141</v>
      </c>
      <c r="AI631" s="7"/>
      <c r="AJ631" s="7" t="s">
        <v>142</v>
      </c>
      <c r="AK631" s="7"/>
      <c r="AL631" s="7"/>
      <c r="AM631" s="15">
        <v>2147483647</v>
      </c>
      <c r="AN631" s="15"/>
      <c r="AO631" s="8">
        <v>1</v>
      </c>
      <c r="AP631" s="8"/>
      <c r="AQ631" s="8"/>
      <c r="AR631" s="8"/>
      <c r="AS631" s="132" t="s">
        <v>2508</v>
      </c>
      <c r="AT631" s="131" t="s">
        <v>2550</v>
      </c>
      <c r="AU631" s="132"/>
      <c r="AV631" s="16"/>
      <c r="AW631" s="56"/>
      <c r="AX631" s="56"/>
      <c r="AY631" s="7" t="s">
        <v>10987</v>
      </c>
      <c r="AZ631" s="10" t="s">
        <v>10988</v>
      </c>
      <c r="BA631" s="7" t="s">
        <v>3183</v>
      </c>
      <c r="BB631" s="17">
        <v>31667</v>
      </c>
      <c r="BC631" s="17"/>
      <c r="BD631" s="18">
        <v>2147483647</v>
      </c>
      <c r="BE631" s="7" t="s">
        <v>10989</v>
      </c>
      <c r="BF631" s="7" t="s">
        <v>10990</v>
      </c>
      <c r="BG631" s="7" t="s">
        <v>10991</v>
      </c>
      <c r="BH631" s="7" t="s">
        <v>10992</v>
      </c>
      <c r="BI631" s="19" t="s">
        <v>10993</v>
      </c>
      <c r="BJ631" s="20">
        <v>20000000</v>
      </c>
      <c r="BK631" s="21" t="s">
        <v>10994</v>
      </c>
      <c r="BL631" s="7" t="s">
        <v>10995</v>
      </c>
      <c r="BM631" s="22" t="s">
        <v>10996</v>
      </c>
      <c r="BN631" s="8" t="s">
        <v>519</v>
      </c>
      <c r="BO631" s="17">
        <v>31501</v>
      </c>
      <c r="BP631" s="17"/>
      <c r="BQ631" s="18">
        <v>2147483647</v>
      </c>
      <c r="BR631" s="7" t="s">
        <v>4783</v>
      </c>
      <c r="BS631" s="7" t="s">
        <v>2493</v>
      </c>
      <c r="BT631" s="7" t="s">
        <v>10997</v>
      </c>
      <c r="BU631" s="8" t="s">
        <v>10998</v>
      </c>
      <c r="BV631" s="23" t="s">
        <v>10999</v>
      </c>
      <c r="BW631" s="24">
        <v>5000000</v>
      </c>
      <c r="BX631" s="21" t="s">
        <v>11000</v>
      </c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N631" s="25"/>
      <c r="CO631" s="25"/>
      <c r="CP631" s="25"/>
      <c r="CQ631" s="25"/>
      <c r="CR631" s="25"/>
      <c r="CS631" s="26"/>
    </row>
    <row r="632" spans="1:97" s="27" customFormat="1" ht="23.25" customHeight="1">
      <c r="A632" s="4">
        <v>552</v>
      </c>
      <c r="B632" s="6"/>
      <c r="C632" s="6"/>
      <c r="D632" s="6"/>
      <c r="E632" s="6"/>
      <c r="F632" s="6"/>
      <c r="G632" s="6"/>
      <c r="H632" s="5"/>
      <c r="I632" s="6"/>
      <c r="J632" s="7" t="s">
        <v>11033</v>
      </c>
      <c r="K632" s="7" t="s">
        <v>11034</v>
      </c>
      <c r="L632" s="8"/>
      <c r="M632" s="5">
        <v>1660</v>
      </c>
      <c r="N632" s="5">
        <v>3158279700</v>
      </c>
      <c r="O632" s="9" t="s">
        <v>11035</v>
      </c>
      <c r="P632" s="10" t="s">
        <v>11036</v>
      </c>
      <c r="Q632" s="389" t="s">
        <v>11037</v>
      </c>
      <c r="R632" s="8" t="s">
        <v>11299</v>
      </c>
      <c r="S632" s="212" t="s">
        <v>13586</v>
      </c>
      <c r="T632" s="8" t="s">
        <v>11038</v>
      </c>
      <c r="U632" s="11" t="s">
        <v>93</v>
      </c>
      <c r="V632" s="12" t="s">
        <v>94</v>
      </c>
      <c r="W632" s="13">
        <v>42028</v>
      </c>
      <c r="X632" s="5" t="str">
        <f t="shared" ca="1" si="26"/>
        <v>11 Th, 7 Bln</v>
      </c>
      <c r="Y632" s="5"/>
      <c r="Z632" s="14"/>
      <c r="AA632" s="5" t="s">
        <v>96</v>
      </c>
      <c r="AB632" s="5"/>
      <c r="AC632" s="7" t="s">
        <v>11039</v>
      </c>
      <c r="AD632" s="131">
        <v>1</v>
      </c>
      <c r="AE632" s="131">
        <v>2</v>
      </c>
      <c r="AF632" s="7" t="s">
        <v>11040</v>
      </c>
      <c r="AG632" s="7" t="s">
        <v>410</v>
      </c>
      <c r="AH632" s="7" t="s">
        <v>141</v>
      </c>
      <c r="AI632" s="7"/>
      <c r="AJ632" s="7" t="s">
        <v>142</v>
      </c>
      <c r="AK632" s="7"/>
      <c r="AL632" s="7"/>
      <c r="AM632" s="15">
        <v>2147483647</v>
      </c>
      <c r="AN632" s="15"/>
      <c r="AO632" s="8">
        <v>1</v>
      </c>
      <c r="AP632" s="8"/>
      <c r="AQ632" s="8"/>
      <c r="AR632" s="8"/>
      <c r="AS632" s="132" t="s">
        <v>3880</v>
      </c>
      <c r="AT632" s="131" t="s">
        <v>3022</v>
      </c>
      <c r="AU632" s="132"/>
      <c r="AV632" s="16"/>
      <c r="AW632" s="56"/>
      <c r="AX632" s="56"/>
      <c r="AY632" s="7" t="s">
        <v>11041</v>
      </c>
      <c r="AZ632" s="10" t="s">
        <v>11042</v>
      </c>
      <c r="BA632" s="7" t="s">
        <v>94</v>
      </c>
      <c r="BB632" s="17">
        <v>33823</v>
      </c>
      <c r="BC632" s="17"/>
      <c r="BD632" s="18">
        <v>2147483647</v>
      </c>
      <c r="BE632" s="7" t="s">
        <v>118</v>
      </c>
      <c r="BF632" s="7" t="s">
        <v>10273</v>
      </c>
      <c r="BG632" s="7" t="s">
        <v>11043</v>
      </c>
      <c r="BH632" s="7" t="s">
        <v>11044</v>
      </c>
      <c r="BI632" s="19" t="s">
        <v>9517</v>
      </c>
      <c r="BJ632" s="20" t="s">
        <v>11045</v>
      </c>
      <c r="BK632" s="21" t="s">
        <v>11046</v>
      </c>
      <c r="BL632" s="7" t="s">
        <v>11047</v>
      </c>
      <c r="BM632" s="22" t="s">
        <v>11048</v>
      </c>
      <c r="BN632" s="8" t="s">
        <v>94</v>
      </c>
      <c r="BO632" s="17">
        <v>35220</v>
      </c>
      <c r="BP632" s="17"/>
      <c r="BQ632" s="18" t="s">
        <v>9517</v>
      </c>
      <c r="BR632" s="7" t="s">
        <v>2193</v>
      </c>
      <c r="BS632" s="7" t="s">
        <v>247</v>
      </c>
      <c r="BT632" s="7" t="s">
        <v>11043</v>
      </c>
      <c r="BU632" s="8" t="s">
        <v>11049</v>
      </c>
      <c r="BV632" s="23" t="s">
        <v>9517</v>
      </c>
      <c r="BW632" s="24" t="s">
        <v>11045</v>
      </c>
      <c r="BX632" s="21" t="s">
        <v>11050</v>
      </c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N632" s="25"/>
      <c r="CO632" s="25"/>
      <c r="CP632" s="25"/>
      <c r="CQ632" s="25"/>
      <c r="CR632" s="25"/>
      <c r="CS632" s="26"/>
    </row>
    <row r="633" spans="1:97" s="27" customFormat="1" ht="23.25" customHeight="1">
      <c r="A633" s="4">
        <v>470</v>
      </c>
      <c r="B633" s="6"/>
      <c r="C633" s="6"/>
      <c r="D633" s="6"/>
      <c r="E633" s="6"/>
      <c r="F633" s="6"/>
      <c r="G633" s="6"/>
      <c r="H633" s="5"/>
      <c r="I633" s="6"/>
      <c r="J633" s="7" t="s">
        <v>166</v>
      </c>
      <c r="K633" s="7" t="s">
        <v>9748</v>
      </c>
      <c r="L633" s="8"/>
      <c r="M633" s="5">
        <v>1666</v>
      </c>
      <c r="N633" s="5" t="s">
        <v>9749</v>
      </c>
      <c r="O633" s="9" t="s">
        <v>9750</v>
      </c>
      <c r="P633" s="10" t="s">
        <v>9751</v>
      </c>
      <c r="Q633" s="389" t="s">
        <v>9752</v>
      </c>
      <c r="R633" s="8" t="s">
        <v>11299</v>
      </c>
      <c r="S633" s="212" t="s">
        <v>13586</v>
      </c>
      <c r="T633" s="8" t="s">
        <v>9753</v>
      </c>
      <c r="U633" s="11" t="s">
        <v>172</v>
      </c>
      <c r="V633" s="12" t="s">
        <v>2004</v>
      </c>
      <c r="W633" s="13">
        <v>41812</v>
      </c>
      <c r="X633" s="5" t="str">
        <f t="shared" ca="1" si="26"/>
        <v>12 Th, 2 Bln</v>
      </c>
      <c r="Y633" s="5"/>
      <c r="Z633" s="14"/>
      <c r="AA633" s="5" t="s">
        <v>96</v>
      </c>
      <c r="AB633" s="5"/>
      <c r="AC633" s="7" t="s">
        <v>9754</v>
      </c>
      <c r="AD633" s="131"/>
      <c r="AE633" s="131"/>
      <c r="AF633" s="7" t="s">
        <v>139</v>
      </c>
      <c r="AG633" s="7" t="s">
        <v>140</v>
      </c>
      <c r="AH633" s="7" t="s">
        <v>141</v>
      </c>
      <c r="AI633" s="7"/>
      <c r="AJ633" s="7" t="s">
        <v>142</v>
      </c>
      <c r="AK633" s="7"/>
      <c r="AL633" s="7"/>
      <c r="AM633" s="15"/>
      <c r="AN633" s="15"/>
      <c r="AO633" s="8">
        <v>1</v>
      </c>
      <c r="AP633" s="8"/>
      <c r="AQ633" s="8"/>
      <c r="AR633" s="8"/>
      <c r="AS633" s="132" t="s">
        <v>2829</v>
      </c>
      <c r="AT633" s="131" t="s">
        <v>9755</v>
      </c>
      <c r="AU633" s="132"/>
      <c r="AV633" s="16"/>
      <c r="AW633" s="56"/>
      <c r="AX633" s="56"/>
      <c r="AY633" s="7" t="s">
        <v>9756</v>
      </c>
      <c r="AZ633" s="10" t="s">
        <v>9757</v>
      </c>
      <c r="BA633" s="7" t="s">
        <v>444</v>
      </c>
      <c r="BB633" s="17">
        <v>31005</v>
      </c>
      <c r="BC633" s="17"/>
      <c r="BD633" s="18" t="s">
        <v>9758</v>
      </c>
      <c r="BE633" s="7" t="s">
        <v>9759</v>
      </c>
      <c r="BF633" s="7" t="s">
        <v>154</v>
      </c>
      <c r="BG633" s="7" t="s">
        <v>155</v>
      </c>
      <c r="BH633" s="7" t="s">
        <v>9760</v>
      </c>
      <c r="BI633" s="19" t="s">
        <v>9761</v>
      </c>
      <c r="BJ633" s="20">
        <v>8500000</v>
      </c>
      <c r="BK633" s="21" t="s">
        <v>9762</v>
      </c>
      <c r="BL633" s="7" t="s">
        <v>9763</v>
      </c>
      <c r="BM633" s="22" t="s">
        <v>9764</v>
      </c>
      <c r="BN633" s="8" t="s">
        <v>2004</v>
      </c>
      <c r="BO633" s="17">
        <v>31332</v>
      </c>
      <c r="BP633" s="17"/>
      <c r="BQ633" s="18" t="s">
        <v>9758</v>
      </c>
      <c r="BR633" s="7" t="s">
        <v>9765</v>
      </c>
      <c r="BS633" s="7" t="s">
        <v>9766</v>
      </c>
      <c r="BT633" s="7" t="s">
        <v>9767</v>
      </c>
      <c r="BU633" s="8" t="s">
        <v>9768</v>
      </c>
      <c r="BV633" s="23" t="s">
        <v>9758</v>
      </c>
      <c r="BW633" s="24">
        <v>5600000</v>
      </c>
      <c r="BX633" s="21" t="s">
        <v>9769</v>
      </c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N633" s="25"/>
      <c r="CO633" s="25"/>
      <c r="CP633" s="25"/>
      <c r="CQ633" s="25"/>
      <c r="CR633" s="25"/>
      <c r="CS633" s="26"/>
    </row>
    <row r="634" spans="1:97" s="27" customFormat="1" ht="23.25" customHeight="1">
      <c r="A634" s="4">
        <v>473</v>
      </c>
      <c r="B634" s="6"/>
      <c r="C634" s="6"/>
      <c r="D634" s="6"/>
      <c r="E634" s="6"/>
      <c r="F634" s="6"/>
      <c r="G634" s="6"/>
      <c r="H634" s="5"/>
      <c r="I634" s="6"/>
      <c r="J634" s="7" t="s">
        <v>9800</v>
      </c>
      <c r="K634" s="7" t="s">
        <v>9801</v>
      </c>
      <c r="L634" s="8"/>
      <c r="M634" s="5">
        <v>1672</v>
      </c>
      <c r="N634" s="5">
        <v>3142530377</v>
      </c>
      <c r="O634" s="9" t="s">
        <v>7000</v>
      </c>
      <c r="P634" s="10" t="s">
        <v>9802</v>
      </c>
      <c r="Q634" s="389" t="s">
        <v>9803</v>
      </c>
      <c r="R634" s="8" t="s">
        <v>11299</v>
      </c>
      <c r="S634" s="212" t="s">
        <v>13586</v>
      </c>
      <c r="T634" s="8" t="s">
        <v>9804</v>
      </c>
      <c r="U634" s="11" t="s">
        <v>172</v>
      </c>
      <c r="V634" s="12" t="s">
        <v>94</v>
      </c>
      <c r="W634" s="13">
        <v>41824</v>
      </c>
      <c r="X634" s="5" t="str">
        <f t="shared" ca="1" si="26"/>
        <v>12 Th, 2 Bln</v>
      </c>
      <c r="Y634" s="5"/>
      <c r="Z634" s="14"/>
      <c r="AA634" s="5" t="s">
        <v>96</v>
      </c>
      <c r="AB634" s="5"/>
      <c r="AC634" s="7" t="s">
        <v>9805</v>
      </c>
      <c r="AD634" s="131">
        <v>5</v>
      </c>
      <c r="AE634" s="131">
        <v>15</v>
      </c>
      <c r="AF634" s="7" t="s">
        <v>139</v>
      </c>
      <c r="AG634" s="7" t="s">
        <v>140</v>
      </c>
      <c r="AH634" s="7" t="s">
        <v>141</v>
      </c>
      <c r="AI634" s="7"/>
      <c r="AJ634" s="7" t="s">
        <v>142</v>
      </c>
      <c r="AK634" s="7"/>
      <c r="AL634" s="7"/>
      <c r="AM634" s="15"/>
      <c r="AN634" s="15"/>
      <c r="AO634" s="8">
        <v>1</v>
      </c>
      <c r="AP634" s="8"/>
      <c r="AQ634" s="8"/>
      <c r="AR634" s="8"/>
      <c r="AS634" s="132" t="s">
        <v>9806</v>
      </c>
      <c r="AT634" s="131" t="s">
        <v>2483</v>
      </c>
      <c r="AU634" s="132"/>
      <c r="AV634" s="16"/>
      <c r="AW634" s="56"/>
      <c r="AX634" s="56"/>
      <c r="AY634" s="7" t="s">
        <v>7006</v>
      </c>
      <c r="AZ634" s="10" t="s">
        <v>7007</v>
      </c>
      <c r="BA634" s="7" t="s">
        <v>2916</v>
      </c>
      <c r="BB634" s="17">
        <v>31562</v>
      </c>
      <c r="BC634" s="17"/>
      <c r="BD634" s="18" t="s">
        <v>7005</v>
      </c>
      <c r="BE634" s="7" t="s">
        <v>118</v>
      </c>
      <c r="BF634" s="7" t="s">
        <v>9807</v>
      </c>
      <c r="BG634" s="7" t="s">
        <v>9808</v>
      </c>
      <c r="BH634" s="7" t="s">
        <v>9809</v>
      </c>
      <c r="BI634" s="19" t="s">
        <v>9810</v>
      </c>
      <c r="BJ634" s="20">
        <v>9000000</v>
      </c>
      <c r="BK634" s="21" t="s">
        <v>7011</v>
      </c>
      <c r="BL634" s="7" t="s">
        <v>7012</v>
      </c>
      <c r="BM634" s="22" t="s">
        <v>7013</v>
      </c>
      <c r="BN634" s="8" t="s">
        <v>94</v>
      </c>
      <c r="BO634" s="17">
        <v>31606</v>
      </c>
      <c r="BP634" s="17"/>
      <c r="BQ634" s="18" t="s">
        <v>7005</v>
      </c>
      <c r="BR634" s="7" t="s">
        <v>118</v>
      </c>
      <c r="BS634" s="7" t="s">
        <v>119</v>
      </c>
      <c r="BT634" s="7" t="s">
        <v>9811</v>
      </c>
      <c r="BU634" s="8" t="s">
        <v>9812</v>
      </c>
      <c r="BV634" s="23" t="s">
        <v>9813</v>
      </c>
      <c r="BW634" s="24">
        <v>9000000</v>
      </c>
      <c r="BX634" s="21" t="s">
        <v>7016</v>
      </c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N634" s="25"/>
      <c r="CO634" s="25"/>
      <c r="CP634" s="25"/>
      <c r="CQ634" s="25"/>
      <c r="CR634" s="25"/>
      <c r="CS634" s="26"/>
    </row>
    <row r="635" spans="1:97" s="27" customFormat="1" ht="23.25" customHeight="1">
      <c r="A635" s="4">
        <v>474</v>
      </c>
      <c r="B635" s="6"/>
      <c r="C635" s="6"/>
      <c r="D635" s="6"/>
      <c r="E635" s="6"/>
      <c r="F635" s="6"/>
      <c r="G635" s="6"/>
      <c r="H635" s="5"/>
      <c r="I635" s="6"/>
      <c r="J635" s="7" t="s">
        <v>9814</v>
      </c>
      <c r="K635" s="7" t="s">
        <v>9815</v>
      </c>
      <c r="L635" s="8"/>
      <c r="M635" s="5">
        <v>1674</v>
      </c>
      <c r="N635" s="5" t="s">
        <v>9816</v>
      </c>
      <c r="O635" s="9" t="s">
        <v>9817</v>
      </c>
      <c r="P635" s="10" t="s">
        <v>9818</v>
      </c>
      <c r="Q635" s="389" t="s">
        <v>9819</v>
      </c>
      <c r="R635" s="8" t="s">
        <v>11299</v>
      </c>
      <c r="S635" s="212" t="s">
        <v>13586</v>
      </c>
      <c r="T635" s="8" t="s">
        <v>9820</v>
      </c>
      <c r="U635" s="11" t="s">
        <v>172</v>
      </c>
      <c r="V635" s="12" t="s">
        <v>94</v>
      </c>
      <c r="W635" s="13">
        <v>42055</v>
      </c>
      <c r="X635" s="5" t="str">
        <f t="shared" ca="1" si="26"/>
        <v>11 Th, 6 Bln</v>
      </c>
      <c r="Y635" s="5"/>
      <c r="Z635" s="14"/>
      <c r="AA635" s="5" t="s">
        <v>96</v>
      </c>
      <c r="AB635" s="5"/>
      <c r="AC635" s="7" t="s">
        <v>9821</v>
      </c>
      <c r="AD635" s="131">
        <v>4</v>
      </c>
      <c r="AE635" s="131">
        <v>3</v>
      </c>
      <c r="AF635" s="7" t="s">
        <v>2359</v>
      </c>
      <c r="AG635" s="7" t="s">
        <v>241</v>
      </c>
      <c r="AH635" s="7" t="s">
        <v>241</v>
      </c>
      <c r="AI635" s="7"/>
      <c r="AJ635" s="7" t="s">
        <v>103</v>
      </c>
      <c r="AK635" s="7"/>
      <c r="AL635" s="7"/>
      <c r="AM635" s="15" t="s">
        <v>9822</v>
      </c>
      <c r="AN635" s="15"/>
      <c r="AO635" s="8">
        <v>2</v>
      </c>
      <c r="AP635" s="8"/>
      <c r="AQ635" s="8"/>
      <c r="AR635" s="8"/>
      <c r="AS635" s="132" t="s">
        <v>4110</v>
      </c>
      <c r="AT635" s="131" t="s">
        <v>3150</v>
      </c>
      <c r="AU635" s="132"/>
      <c r="AV635" s="16"/>
      <c r="AW635" s="56"/>
      <c r="AX635" s="56"/>
      <c r="AY635" s="7" t="s">
        <v>9823</v>
      </c>
      <c r="AZ635" s="10" t="s">
        <v>9824</v>
      </c>
      <c r="BA635" s="7" t="s">
        <v>94</v>
      </c>
      <c r="BB635" s="17">
        <v>29852</v>
      </c>
      <c r="BC635" s="17"/>
      <c r="BD635" s="18" t="s">
        <v>9825</v>
      </c>
      <c r="BE635" s="7" t="s">
        <v>9826</v>
      </c>
      <c r="BF635" s="7" t="s">
        <v>596</v>
      </c>
      <c r="BG635" s="7" t="s">
        <v>9827</v>
      </c>
      <c r="BH635" s="7" t="s">
        <v>9828</v>
      </c>
      <c r="BI635" s="19" t="s">
        <v>9829</v>
      </c>
      <c r="BJ635" s="20">
        <v>5000000</v>
      </c>
      <c r="BK635" s="21" t="s">
        <v>9830</v>
      </c>
      <c r="BL635" s="7" t="s">
        <v>9831</v>
      </c>
      <c r="BM635" s="22" t="s">
        <v>9832</v>
      </c>
      <c r="BN635" s="8" t="s">
        <v>713</v>
      </c>
      <c r="BO635" s="17">
        <v>30566</v>
      </c>
      <c r="BP635" s="17"/>
      <c r="BQ635" s="18" t="s">
        <v>9825</v>
      </c>
      <c r="BR635" s="7" t="s">
        <v>9826</v>
      </c>
      <c r="BS635" s="7" t="s">
        <v>154</v>
      </c>
      <c r="BT635" s="7" t="s">
        <v>9833</v>
      </c>
      <c r="BU635" s="8" t="s">
        <v>9834</v>
      </c>
      <c r="BV635" s="23" t="s">
        <v>9835</v>
      </c>
      <c r="BW635" s="24">
        <v>4000000</v>
      </c>
      <c r="BX635" s="21" t="s">
        <v>9836</v>
      </c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N635" s="25"/>
      <c r="CO635" s="25"/>
      <c r="CP635" s="25"/>
      <c r="CQ635" s="25"/>
      <c r="CR635" s="25"/>
      <c r="CS635" s="26"/>
    </row>
    <row r="636" spans="1:97" s="27" customFormat="1" ht="23.25" customHeight="1">
      <c r="A636" s="4">
        <v>527</v>
      </c>
      <c r="B636" s="6"/>
      <c r="C636" s="6"/>
      <c r="D636" s="6"/>
      <c r="E636" s="6"/>
      <c r="F636" s="6"/>
      <c r="G636" s="6"/>
      <c r="H636" s="5"/>
      <c r="I636" s="6"/>
      <c r="J636" s="7" t="s">
        <v>10614</v>
      </c>
      <c r="K636" s="7" t="s">
        <v>10615</v>
      </c>
      <c r="L636" s="8"/>
      <c r="M636" s="5">
        <v>1675</v>
      </c>
      <c r="N636" s="5" t="s">
        <v>10616</v>
      </c>
      <c r="O636" s="9" t="s">
        <v>10617</v>
      </c>
      <c r="P636" s="10" t="s">
        <v>10618</v>
      </c>
      <c r="Q636" s="389" t="s">
        <v>10619</v>
      </c>
      <c r="R636" s="8" t="s">
        <v>11299</v>
      </c>
      <c r="S636" s="212" t="s">
        <v>13586</v>
      </c>
      <c r="T636" s="8" t="s">
        <v>6378</v>
      </c>
      <c r="U636" s="11" t="s">
        <v>172</v>
      </c>
      <c r="V636" s="12" t="s">
        <v>94</v>
      </c>
      <c r="W636" s="13">
        <v>41835</v>
      </c>
      <c r="X636" s="5" t="str">
        <f t="shared" ca="1" si="26"/>
        <v>12 Th, 2 Bln</v>
      </c>
      <c r="Y636" s="5"/>
      <c r="Z636" s="14"/>
      <c r="AA636" s="5" t="s">
        <v>96</v>
      </c>
      <c r="AB636" s="5"/>
      <c r="AC636" s="7" t="s">
        <v>10620</v>
      </c>
      <c r="AD636" s="131">
        <v>3</v>
      </c>
      <c r="AE636" s="131">
        <v>10</v>
      </c>
      <c r="AF636" s="7" t="s">
        <v>139</v>
      </c>
      <c r="AG636" s="7" t="s">
        <v>140</v>
      </c>
      <c r="AH636" s="7" t="s">
        <v>141</v>
      </c>
      <c r="AI636" s="7"/>
      <c r="AJ636" s="7" t="s">
        <v>142</v>
      </c>
      <c r="AK636" s="7"/>
      <c r="AL636" s="7"/>
      <c r="AM636" s="15">
        <v>2147483647</v>
      </c>
      <c r="AN636" s="15"/>
      <c r="AO636" s="8">
        <v>1</v>
      </c>
      <c r="AP636" s="8"/>
      <c r="AQ636" s="8"/>
      <c r="AR636" s="8"/>
      <c r="AS636" s="132" t="s">
        <v>3629</v>
      </c>
      <c r="AT636" s="131" t="s">
        <v>10621</v>
      </c>
      <c r="AU636" s="132"/>
      <c r="AV636" s="16"/>
      <c r="AW636" s="56"/>
      <c r="AX636" s="56"/>
      <c r="AY636" s="7" t="s">
        <v>10622</v>
      </c>
      <c r="AZ636" s="10" t="s">
        <v>10623</v>
      </c>
      <c r="BA636" s="7" t="s">
        <v>713</v>
      </c>
      <c r="BB636" s="17">
        <v>33279</v>
      </c>
      <c r="BC636" s="17"/>
      <c r="BD636" s="18">
        <v>2147483647</v>
      </c>
      <c r="BE636" s="7" t="s">
        <v>8617</v>
      </c>
      <c r="BF636" s="7" t="s">
        <v>10624</v>
      </c>
      <c r="BG636" s="7" t="s">
        <v>10625</v>
      </c>
      <c r="BH636" s="7" t="s">
        <v>10626</v>
      </c>
      <c r="BI636" s="19" t="s">
        <v>9517</v>
      </c>
      <c r="BJ636" s="20">
        <v>7000000</v>
      </c>
      <c r="BK636" s="21" t="s">
        <v>10627</v>
      </c>
      <c r="BL636" s="7" t="s">
        <v>10628</v>
      </c>
      <c r="BM636" s="22" t="s">
        <v>10629</v>
      </c>
      <c r="BN636" s="8" t="s">
        <v>511</v>
      </c>
      <c r="BO636" s="17">
        <v>33224</v>
      </c>
      <c r="BP636" s="17"/>
      <c r="BQ636" s="18" t="s">
        <v>9517</v>
      </c>
      <c r="BR636" s="7" t="s">
        <v>10293</v>
      </c>
      <c r="BS636" s="7" t="s">
        <v>126</v>
      </c>
      <c r="BT636" s="7" t="s">
        <v>127</v>
      </c>
      <c r="BU636" s="8" t="s">
        <v>127</v>
      </c>
      <c r="BV636" s="23">
        <v>0</v>
      </c>
      <c r="BW636" s="24" t="s">
        <v>127</v>
      </c>
      <c r="BX636" s="21" t="s">
        <v>10630</v>
      </c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N636" s="25"/>
      <c r="CO636" s="25"/>
      <c r="CP636" s="25"/>
      <c r="CQ636" s="25"/>
      <c r="CR636" s="25"/>
      <c r="CS636" s="26"/>
    </row>
    <row r="637" spans="1:97" s="27" customFormat="1" ht="23.25" customHeight="1">
      <c r="A637" s="4">
        <v>559</v>
      </c>
      <c r="B637" s="6"/>
      <c r="C637" s="6"/>
      <c r="D637" s="6"/>
      <c r="E637" s="6"/>
      <c r="F637" s="6"/>
      <c r="G637" s="6"/>
      <c r="H637" s="5"/>
      <c r="I637" s="6"/>
      <c r="J637" s="7" t="s">
        <v>513</v>
      </c>
      <c r="K637" s="7" t="s">
        <v>11170</v>
      </c>
      <c r="L637" s="8"/>
      <c r="M637" s="5">
        <v>1680</v>
      </c>
      <c r="N637" s="5" t="s">
        <v>11171</v>
      </c>
      <c r="O637" s="9" t="s">
        <v>11172</v>
      </c>
      <c r="P637" s="10" t="s">
        <v>11173</v>
      </c>
      <c r="Q637" s="389" t="s">
        <v>11174</v>
      </c>
      <c r="R637" s="8" t="s">
        <v>11299</v>
      </c>
      <c r="S637" s="212" t="s">
        <v>13586</v>
      </c>
      <c r="T637" s="8" t="s">
        <v>11175</v>
      </c>
      <c r="U637" s="11" t="s">
        <v>172</v>
      </c>
      <c r="V637" s="12" t="s">
        <v>971</v>
      </c>
      <c r="W637" s="13">
        <v>41954</v>
      </c>
      <c r="X637" s="5" t="str">
        <f t="shared" ca="1" si="26"/>
        <v>11 Th, 10 Bln</v>
      </c>
      <c r="Y637" s="5"/>
      <c r="Z637" s="14"/>
      <c r="AA637" s="5" t="s">
        <v>96</v>
      </c>
      <c r="AB637" s="5"/>
      <c r="AC637" s="7" t="s">
        <v>11176</v>
      </c>
      <c r="AD637" s="131">
        <v>2</v>
      </c>
      <c r="AE637" s="131">
        <v>7</v>
      </c>
      <c r="AF637" s="7" t="s">
        <v>1395</v>
      </c>
      <c r="AG637" s="7" t="s">
        <v>140</v>
      </c>
      <c r="AH637" s="7" t="s">
        <v>141</v>
      </c>
      <c r="AI637" s="7"/>
      <c r="AJ637" s="7" t="s">
        <v>142</v>
      </c>
      <c r="AK637" s="7"/>
      <c r="AL637" s="7"/>
      <c r="AM637" s="15">
        <v>0</v>
      </c>
      <c r="AN637" s="15"/>
      <c r="AO637" s="8">
        <v>2</v>
      </c>
      <c r="AP637" s="8"/>
      <c r="AQ637" s="8"/>
      <c r="AR637" s="8"/>
      <c r="AS637" s="132" t="s">
        <v>11177</v>
      </c>
      <c r="AT637" s="131" t="s">
        <v>11178</v>
      </c>
      <c r="AU637" s="132"/>
      <c r="AV637" s="16"/>
      <c r="AW637" s="56"/>
      <c r="AX637" s="56"/>
      <c r="AY637" s="7" t="s">
        <v>11179</v>
      </c>
      <c r="AZ637" s="10" t="s">
        <v>11180</v>
      </c>
      <c r="BA637" s="7" t="s">
        <v>971</v>
      </c>
      <c r="BB637" s="17">
        <v>27646</v>
      </c>
      <c r="BC637" s="17"/>
      <c r="BD637" s="18">
        <v>2147483647</v>
      </c>
      <c r="BE637" s="7" t="s">
        <v>11181</v>
      </c>
      <c r="BF637" s="7" t="s">
        <v>11182</v>
      </c>
      <c r="BG637" s="7" t="s">
        <v>327</v>
      </c>
      <c r="BH637" s="7" t="s">
        <v>11183</v>
      </c>
      <c r="BI637" s="19" t="s">
        <v>11184</v>
      </c>
      <c r="BJ637" s="20">
        <v>12000000</v>
      </c>
      <c r="BK637" s="21" t="s">
        <v>11185</v>
      </c>
      <c r="BL637" s="7" t="s">
        <v>11186</v>
      </c>
      <c r="BM637" s="22" t="s">
        <v>11187</v>
      </c>
      <c r="BN637" s="8" t="s">
        <v>94</v>
      </c>
      <c r="BO637" s="17">
        <v>31467</v>
      </c>
      <c r="BP637" s="17"/>
      <c r="BQ637" s="18" t="s">
        <v>9517</v>
      </c>
      <c r="BR637" s="7" t="s">
        <v>11188</v>
      </c>
      <c r="BS637" s="7" t="s">
        <v>11189</v>
      </c>
      <c r="BT637" s="7" t="s">
        <v>327</v>
      </c>
      <c r="BU637" s="8" t="s">
        <v>11190</v>
      </c>
      <c r="BV637" s="23" t="s">
        <v>9517</v>
      </c>
      <c r="BW637" s="24">
        <v>500000</v>
      </c>
      <c r="BX637" s="21" t="s">
        <v>11191</v>
      </c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N637" s="25"/>
      <c r="CO637" s="25"/>
      <c r="CP637" s="25"/>
      <c r="CQ637" s="25"/>
      <c r="CR637" s="25"/>
      <c r="CS637" s="26"/>
    </row>
    <row r="638" spans="1:97" s="27" customFormat="1" ht="23.25" customHeight="1">
      <c r="A638" s="4">
        <v>530</v>
      </c>
      <c r="B638" s="6"/>
      <c r="C638" s="6"/>
      <c r="D638" s="6"/>
      <c r="E638" s="6"/>
      <c r="F638" s="6"/>
      <c r="G638" s="6"/>
      <c r="H638" s="5"/>
      <c r="I638" s="6"/>
      <c r="J638" s="7" t="s">
        <v>6684</v>
      </c>
      <c r="K638" s="7" t="s">
        <v>10674</v>
      </c>
      <c r="L638" s="8"/>
      <c r="M638" s="5">
        <v>1681</v>
      </c>
      <c r="N638" s="5" t="s">
        <v>10675</v>
      </c>
      <c r="O638" s="9" t="s">
        <v>10676</v>
      </c>
      <c r="P638" s="10" t="s">
        <v>10677</v>
      </c>
      <c r="Q638" s="389" t="s">
        <v>10678</v>
      </c>
      <c r="R638" s="8" t="s">
        <v>11299</v>
      </c>
      <c r="S638" s="212" t="s">
        <v>13586</v>
      </c>
      <c r="T638" s="8" t="s">
        <v>6754</v>
      </c>
      <c r="U638" s="11" t="s">
        <v>172</v>
      </c>
      <c r="V638" s="12" t="s">
        <v>94</v>
      </c>
      <c r="W638" s="13">
        <v>41972</v>
      </c>
      <c r="X638" s="5" t="str">
        <f t="shared" ca="1" si="26"/>
        <v>11 Th, 9 Bln</v>
      </c>
      <c r="Y638" s="5"/>
      <c r="Z638" s="14"/>
      <c r="AA638" s="5" t="s">
        <v>96</v>
      </c>
      <c r="AB638" s="5"/>
      <c r="AC638" s="7" t="s">
        <v>10679</v>
      </c>
      <c r="AD638" s="131">
        <v>4</v>
      </c>
      <c r="AE638" s="131">
        <v>10</v>
      </c>
      <c r="AF638" s="7" t="s">
        <v>921</v>
      </c>
      <c r="AG638" s="7" t="s">
        <v>687</v>
      </c>
      <c r="AH638" s="7" t="s">
        <v>141</v>
      </c>
      <c r="AI638" s="7"/>
      <c r="AJ638" s="7" t="s">
        <v>142</v>
      </c>
      <c r="AK638" s="7"/>
      <c r="AL638" s="7"/>
      <c r="AM638" s="15" t="s">
        <v>127</v>
      </c>
      <c r="AN638" s="15"/>
      <c r="AO638" s="8">
        <v>1</v>
      </c>
      <c r="AP638" s="8"/>
      <c r="AQ638" s="8"/>
      <c r="AR638" s="8"/>
      <c r="AS638" s="132" t="s">
        <v>3290</v>
      </c>
      <c r="AT638" s="131" t="s">
        <v>10268</v>
      </c>
      <c r="AU638" s="132"/>
      <c r="AV638" s="16"/>
      <c r="AW638" s="56"/>
      <c r="AX638" s="56"/>
      <c r="AY638" s="7" t="s">
        <v>10680</v>
      </c>
      <c r="AZ638" s="10" t="s">
        <v>10681</v>
      </c>
      <c r="BA638" s="7" t="s">
        <v>94</v>
      </c>
      <c r="BB638" s="17">
        <v>32506</v>
      </c>
      <c r="BC638" s="17"/>
      <c r="BD638" s="18" t="s">
        <v>10682</v>
      </c>
      <c r="BE638" s="7" t="s">
        <v>9759</v>
      </c>
      <c r="BF638" s="7" t="s">
        <v>154</v>
      </c>
      <c r="BG638" s="7" t="s">
        <v>10683</v>
      </c>
      <c r="BH638" s="7" t="s">
        <v>10684</v>
      </c>
      <c r="BI638" s="19" t="s">
        <v>10685</v>
      </c>
      <c r="BJ638" s="20">
        <v>4000000</v>
      </c>
      <c r="BK638" s="21" t="s">
        <v>10686</v>
      </c>
      <c r="BL638" s="7" t="s">
        <v>10687</v>
      </c>
      <c r="BM638" s="22" t="s">
        <v>10688</v>
      </c>
      <c r="BN638" s="8" t="s">
        <v>94</v>
      </c>
      <c r="BO638" s="17">
        <v>32114</v>
      </c>
      <c r="BP638" s="17"/>
      <c r="BQ638" s="18" t="s">
        <v>10689</v>
      </c>
      <c r="BR638" s="7" t="s">
        <v>118</v>
      </c>
      <c r="BS638" s="7" t="s">
        <v>126</v>
      </c>
      <c r="BT638" s="7" t="s">
        <v>127</v>
      </c>
      <c r="BU638" s="8" t="s">
        <v>127</v>
      </c>
      <c r="BV638" s="23" t="s">
        <v>127</v>
      </c>
      <c r="BW638" s="24" t="s">
        <v>127</v>
      </c>
      <c r="BX638" s="21" t="s">
        <v>10690</v>
      </c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N638" s="25"/>
      <c r="CO638" s="25"/>
      <c r="CP638" s="25"/>
      <c r="CQ638" s="25"/>
      <c r="CR638" s="25"/>
      <c r="CS638" s="26"/>
    </row>
    <row r="639" spans="1:97" s="27" customFormat="1" ht="23.25" customHeight="1">
      <c r="A639" s="4">
        <v>475</v>
      </c>
      <c r="B639" s="6"/>
      <c r="C639" s="6"/>
      <c r="D639" s="6"/>
      <c r="E639" s="6"/>
      <c r="F639" s="6"/>
      <c r="G639" s="6"/>
      <c r="H639" s="5"/>
      <c r="I639" s="6"/>
      <c r="J639" s="7" t="s">
        <v>2083</v>
      </c>
      <c r="K639" s="7" t="s">
        <v>9837</v>
      </c>
      <c r="L639" s="8"/>
      <c r="M639" s="5">
        <v>1682</v>
      </c>
      <c r="N639" s="5" t="s">
        <v>9838</v>
      </c>
      <c r="O639" s="9" t="s">
        <v>1219</v>
      </c>
      <c r="P639" s="10" t="s">
        <v>9839</v>
      </c>
      <c r="Q639" s="389" t="s">
        <v>9840</v>
      </c>
      <c r="R639" s="8" t="s">
        <v>11299</v>
      </c>
      <c r="S639" s="212" t="s">
        <v>13586</v>
      </c>
      <c r="T639" s="8" t="s">
        <v>9841</v>
      </c>
      <c r="U639" s="11" t="s">
        <v>93</v>
      </c>
      <c r="V639" s="12" t="s">
        <v>94</v>
      </c>
      <c r="W639" s="13">
        <v>42118</v>
      </c>
      <c r="X639" s="5" t="str">
        <f t="shared" ca="1" si="26"/>
        <v>11 Th, 4 Bln</v>
      </c>
      <c r="Y639" s="5"/>
      <c r="Z639" s="14"/>
      <c r="AA639" s="5" t="s">
        <v>96</v>
      </c>
      <c r="AB639" s="5"/>
      <c r="AC639" s="7" t="s">
        <v>9842</v>
      </c>
      <c r="AD639" s="131">
        <v>1</v>
      </c>
      <c r="AE639" s="131">
        <v>8</v>
      </c>
      <c r="AF639" s="7" t="s">
        <v>240</v>
      </c>
      <c r="AG639" s="7" t="s">
        <v>241</v>
      </c>
      <c r="AH639" s="7" t="s">
        <v>241</v>
      </c>
      <c r="AI639" s="7"/>
      <c r="AJ639" s="7" t="s">
        <v>103</v>
      </c>
      <c r="AK639" s="7"/>
      <c r="AL639" s="7"/>
      <c r="AM639" s="15">
        <v>0</v>
      </c>
      <c r="AN639" s="15"/>
      <c r="AO639" s="8">
        <v>1</v>
      </c>
      <c r="AP639" s="8"/>
      <c r="AQ639" s="8"/>
      <c r="AR639" s="8"/>
      <c r="AS639" s="132" t="s">
        <v>9843</v>
      </c>
      <c r="AT639" s="131" t="s">
        <v>2593</v>
      </c>
      <c r="AU639" s="132"/>
      <c r="AV639" s="16"/>
      <c r="AW639" s="56"/>
      <c r="AX639" s="56"/>
      <c r="AY639" s="7" t="s">
        <v>9844</v>
      </c>
      <c r="AZ639" s="10" t="s">
        <v>1228</v>
      </c>
      <c r="BA639" s="7" t="s">
        <v>94</v>
      </c>
      <c r="BB639" s="17">
        <v>32057</v>
      </c>
      <c r="BC639" s="17"/>
      <c r="BD639" s="18">
        <v>2147483647</v>
      </c>
      <c r="BE639" s="7" t="s">
        <v>9845</v>
      </c>
      <c r="BF639" s="7" t="s">
        <v>925</v>
      </c>
      <c r="BG639" s="7" t="s">
        <v>1229</v>
      </c>
      <c r="BH639" s="7" t="s">
        <v>9846</v>
      </c>
      <c r="BI639" s="19">
        <v>0</v>
      </c>
      <c r="BJ639" s="20">
        <v>8000000</v>
      </c>
      <c r="BK639" s="21" t="s">
        <v>9847</v>
      </c>
      <c r="BL639" s="7" t="s">
        <v>9848</v>
      </c>
      <c r="BM639" s="22" t="s">
        <v>9849</v>
      </c>
      <c r="BN639" s="8" t="s">
        <v>94</v>
      </c>
      <c r="BO639" s="17">
        <v>32675</v>
      </c>
      <c r="BP639" s="17"/>
      <c r="BQ639" s="18" t="s">
        <v>9517</v>
      </c>
      <c r="BR639" s="7" t="s">
        <v>4783</v>
      </c>
      <c r="BS639" s="7" t="s">
        <v>126</v>
      </c>
      <c r="BT639" s="7" t="s">
        <v>147</v>
      </c>
      <c r="BU639" s="8" t="s">
        <v>147</v>
      </c>
      <c r="BV639" s="23">
        <v>0</v>
      </c>
      <c r="BW639" s="24">
        <v>0</v>
      </c>
      <c r="BX639" s="21" t="s">
        <v>1236</v>
      </c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N639" s="25"/>
      <c r="CO639" s="25"/>
      <c r="CP639" s="25"/>
      <c r="CQ639" s="25"/>
      <c r="CR639" s="25"/>
      <c r="CS639" s="26"/>
    </row>
    <row r="640" spans="1:97" s="27" customFormat="1">
      <c r="A640" s="4">
        <v>502</v>
      </c>
      <c r="B640" s="6"/>
      <c r="C640" s="6"/>
      <c r="D640" s="6"/>
      <c r="E640" s="6"/>
      <c r="F640" s="6"/>
      <c r="G640" s="6"/>
      <c r="H640" s="5"/>
      <c r="I640" s="6"/>
      <c r="J640" s="7" t="s">
        <v>985</v>
      </c>
      <c r="K640" s="7" t="s">
        <v>10242</v>
      </c>
      <c r="L640" s="8"/>
      <c r="M640" s="5">
        <v>1685</v>
      </c>
      <c r="N640" s="5" t="s">
        <v>10243</v>
      </c>
      <c r="O640" s="9" t="s">
        <v>10244</v>
      </c>
      <c r="P640" s="10" t="s">
        <v>10245</v>
      </c>
      <c r="Q640" s="389" t="s">
        <v>10246</v>
      </c>
      <c r="R640" s="8" t="s">
        <v>11299</v>
      </c>
      <c r="S640" s="212" t="s">
        <v>13586</v>
      </c>
      <c r="T640" s="8" t="s">
        <v>10247</v>
      </c>
      <c r="U640" s="11" t="s">
        <v>93</v>
      </c>
      <c r="V640" s="12" t="s">
        <v>94</v>
      </c>
      <c r="W640" s="13">
        <v>41870</v>
      </c>
      <c r="X640" s="5" t="str">
        <f t="shared" ca="1" si="26"/>
        <v>12 Th, 0 Bln</v>
      </c>
      <c r="Y640" s="5"/>
      <c r="Z640" s="14"/>
      <c r="AA640" s="5" t="s">
        <v>96</v>
      </c>
      <c r="AB640" s="5"/>
      <c r="AC640" s="7" t="s">
        <v>10248</v>
      </c>
      <c r="AD640" s="131">
        <v>5</v>
      </c>
      <c r="AE640" s="131">
        <v>1</v>
      </c>
      <c r="AF640" s="7" t="s">
        <v>921</v>
      </c>
      <c r="AG640" s="7" t="s">
        <v>687</v>
      </c>
      <c r="AH640" s="7" t="s">
        <v>141</v>
      </c>
      <c r="AI640" s="7"/>
      <c r="AJ640" s="7" t="s">
        <v>103</v>
      </c>
      <c r="AK640" s="7"/>
      <c r="AL640" s="7"/>
      <c r="AM640" s="15" t="s">
        <v>10249</v>
      </c>
      <c r="AN640" s="15"/>
      <c r="AO640" s="8">
        <v>2</v>
      </c>
      <c r="AP640" s="8"/>
      <c r="AQ640" s="8"/>
      <c r="AR640" s="8"/>
      <c r="AS640" s="132" t="s">
        <v>3290</v>
      </c>
      <c r="AT640" s="131" t="s">
        <v>2530</v>
      </c>
      <c r="AU640" s="132"/>
      <c r="AV640" s="16"/>
      <c r="AW640" s="56"/>
      <c r="AX640" s="56"/>
      <c r="AY640" s="7" t="s">
        <v>10250</v>
      </c>
      <c r="AZ640" s="10" t="s">
        <v>10251</v>
      </c>
      <c r="BA640" s="7" t="s">
        <v>94</v>
      </c>
      <c r="BB640" s="17">
        <v>31672</v>
      </c>
      <c r="BC640" s="17"/>
      <c r="BD640" s="18">
        <v>2147483647</v>
      </c>
      <c r="BE640" s="7" t="s">
        <v>118</v>
      </c>
      <c r="BF640" s="7" t="s">
        <v>3965</v>
      </c>
      <c r="BG640" s="7" t="s">
        <v>3965</v>
      </c>
      <c r="BH640" s="7" t="s">
        <v>10252</v>
      </c>
      <c r="BI640" s="19">
        <v>0</v>
      </c>
      <c r="BJ640" s="20">
        <v>7000000</v>
      </c>
      <c r="BK640" s="21" t="s">
        <v>10253</v>
      </c>
      <c r="BL640" s="7" t="s">
        <v>10254</v>
      </c>
      <c r="BM640" s="22" t="s">
        <v>10255</v>
      </c>
      <c r="BN640" s="8" t="s">
        <v>713</v>
      </c>
      <c r="BO640" s="17">
        <v>31997</v>
      </c>
      <c r="BP640" s="17"/>
      <c r="BQ640" s="18" t="s">
        <v>9517</v>
      </c>
      <c r="BR640" s="7" t="s">
        <v>118</v>
      </c>
      <c r="BS640" s="7" t="s">
        <v>471</v>
      </c>
      <c r="BT640" s="7" t="s">
        <v>10256</v>
      </c>
      <c r="BU640" s="8" t="s">
        <v>10257</v>
      </c>
      <c r="BV640" s="23" t="s">
        <v>10258</v>
      </c>
      <c r="BW640" s="24">
        <v>6000000</v>
      </c>
      <c r="BX640" s="21" t="s">
        <v>10259</v>
      </c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N640" s="25"/>
      <c r="CO640" s="25"/>
      <c r="CP640" s="25"/>
      <c r="CQ640" s="25"/>
      <c r="CR640" s="25"/>
      <c r="CS640" s="26"/>
    </row>
    <row r="641" spans="1:97" s="27" customFormat="1" ht="23.25" customHeight="1">
      <c r="A641" s="4">
        <v>504</v>
      </c>
      <c r="B641" s="6"/>
      <c r="C641" s="6"/>
      <c r="D641" s="6"/>
      <c r="E641" s="6"/>
      <c r="F641" s="6"/>
      <c r="G641" s="6"/>
      <c r="H641" s="5"/>
      <c r="I641" s="6"/>
      <c r="J641" s="7" t="s">
        <v>9814</v>
      </c>
      <c r="K641" s="7" t="s">
        <v>10284</v>
      </c>
      <c r="L641" s="8"/>
      <c r="M641" s="5">
        <v>1691</v>
      </c>
      <c r="N641" s="5" t="s">
        <v>10285</v>
      </c>
      <c r="O641" s="9" t="s">
        <v>10286</v>
      </c>
      <c r="P641" s="10" t="s">
        <v>10287</v>
      </c>
      <c r="Q641" s="389" t="s">
        <v>10288</v>
      </c>
      <c r="R641" s="8" t="s">
        <v>11299</v>
      </c>
      <c r="S641" s="212" t="s">
        <v>13586</v>
      </c>
      <c r="T641" s="8" t="s">
        <v>4913</v>
      </c>
      <c r="U641" s="11" t="s">
        <v>172</v>
      </c>
      <c r="V641" s="12" t="s">
        <v>94</v>
      </c>
      <c r="W641" s="13">
        <v>42032</v>
      </c>
      <c r="X641" s="5" t="str">
        <f t="shared" ca="1" si="26"/>
        <v>11 Th, 7 Bln</v>
      </c>
      <c r="Y641" s="5"/>
      <c r="Z641" s="14"/>
      <c r="AA641" s="5" t="s">
        <v>96</v>
      </c>
      <c r="AB641" s="5"/>
      <c r="AC641" s="7" t="s">
        <v>10289</v>
      </c>
      <c r="AD641" s="131"/>
      <c r="AE641" s="131"/>
      <c r="AF641" s="7" t="s">
        <v>871</v>
      </c>
      <c r="AG641" s="7" t="s">
        <v>410</v>
      </c>
      <c r="AH641" s="7" t="s">
        <v>141</v>
      </c>
      <c r="AI641" s="7"/>
      <c r="AJ641" s="7" t="s">
        <v>142</v>
      </c>
      <c r="AK641" s="7"/>
      <c r="AL641" s="7"/>
      <c r="AM641" s="15"/>
      <c r="AN641" s="15"/>
      <c r="AO641" s="8">
        <v>1</v>
      </c>
      <c r="AP641" s="8"/>
      <c r="AQ641" s="8"/>
      <c r="AR641" s="8"/>
      <c r="AS641" s="132" t="s">
        <v>1906</v>
      </c>
      <c r="AT641" s="131" t="s">
        <v>2894</v>
      </c>
      <c r="AU641" s="132"/>
      <c r="AV641" s="16"/>
      <c r="AW641" s="56"/>
      <c r="AX641" s="56"/>
      <c r="AY641" s="7" t="s">
        <v>10290</v>
      </c>
      <c r="AZ641" s="10" t="s">
        <v>10291</v>
      </c>
      <c r="BA641" s="7" t="s">
        <v>1892</v>
      </c>
      <c r="BB641" s="17">
        <v>32140</v>
      </c>
      <c r="BC641" s="17"/>
      <c r="BD641" s="18" t="s">
        <v>10292</v>
      </c>
      <c r="BE641" s="7" t="s">
        <v>10293</v>
      </c>
      <c r="BF641" s="7" t="s">
        <v>596</v>
      </c>
      <c r="BG641" s="7" t="s">
        <v>596</v>
      </c>
      <c r="BH641" s="7" t="s">
        <v>10294</v>
      </c>
      <c r="BI641" s="19" t="s">
        <v>10295</v>
      </c>
      <c r="BJ641" s="20">
        <v>8000000</v>
      </c>
      <c r="BK641" s="21" t="s">
        <v>10296</v>
      </c>
      <c r="BL641" s="7" t="s">
        <v>10297</v>
      </c>
      <c r="BM641" s="22" t="s">
        <v>10298</v>
      </c>
      <c r="BN641" s="8" t="s">
        <v>94</v>
      </c>
      <c r="BO641" s="17">
        <v>32822</v>
      </c>
      <c r="BP641" s="17"/>
      <c r="BQ641" s="18" t="s">
        <v>10299</v>
      </c>
      <c r="BR641" s="7" t="s">
        <v>10293</v>
      </c>
      <c r="BS641" s="7" t="s">
        <v>126</v>
      </c>
      <c r="BT641" s="7" t="s">
        <v>1216</v>
      </c>
      <c r="BU641" s="8" t="s">
        <v>10300</v>
      </c>
      <c r="BV641" s="23" t="s">
        <v>10292</v>
      </c>
      <c r="BW641" s="24">
        <v>8000000</v>
      </c>
      <c r="BX641" s="21" t="s">
        <v>10301</v>
      </c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N641" s="25"/>
      <c r="CO641" s="25"/>
      <c r="CP641" s="25"/>
      <c r="CQ641" s="25"/>
      <c r="CR641" s="25"/>
      <c r="CS641" s="26"/>
    </row>
    <row r="642" spans="1:97" s="27" customFormat="1" ht="23.25" customHeight="1">
      <c r="A642" s="4">
        <v>535</v>
      </c>
      <c r="B642" s="6"/>
      <c r="C642" s="6"/>
      <c r="D642" s="6"/>
      <c r="E642" s="6"/>
      <c r="F642" s="6"/>
      <c r="G642" s="6"/>
      <c r="H642" s="5"/>
      <c r="I642" s="6"/>
      <c r="J642" s="7" t="s">
        <v>10752</v>
      </c>
      <c r="K642" s="7" t="s">
        <v>10753</v>
      </c>
      <c r="L642" s="8"/>
      <c r="M642" s="5">
        <v>1693</v>
      </c>
      <c r="N642" s="5" t="s">
        <v>10754</v>
      </c>
      <c r="O642" s="9" t="s">
        <v>10755</v>
      </c>
      <c r="P642" s="10" t="s">
        <v>10756</v>
      </c>
      <c r="Q642" s="389" t="s">
        <v>10757</v>
      </c>
      <c r="R642" s="8" t="s">
        <v>11299</v>
      </c>
      <c r="S642" s="212" t="s">
        <v>13586</v>
      </c>
      <c r="T642" s="8" t="s">
        <v>10758</v>
      </c>
      <c r="U642" s="11" t="s">
        <v>172</v>
      </c>
      <c r="V642" s="12" t="s">
        <v>94</v>
      </c>
      <c r="W642" s="13">
        <v>41821</v>
      </c>
      <c r="X642" s="5" t="str">
        <f t="shared" ca="1" si="26"/>
        <v>12 Th, 2 Bln</v>
      </c>
      <c r="Y642" s="5"/>
      <c r="Z642" s="14"/>
      <c r="AA642" s="5" t="s">
        <v>96</v>
      </c>
      <c r="AB642" s="5"/>
      <c r="AC642" s="7" t="s">
        <v>7444</v>
      </c>
      <c r="AD642" s="131">
        <v>15</v>
      </c>
      <c r="AE642" s="131">
        <v>5</v>
      </c>
      <c r="AF642" s="7" t="s">
        <v>4569</v>
      </c>
      <c r="AG642" s="7" t="s">
        <v>140</v>
      </c>
      <c r="AH642" s="7" t="s">
        <v>141</v>
      </c>
      <c r="AI642" s="7"/>
      <c r="AJ642" s="7" t="s">
        <v>142</v>
      </c>
      <c r="AK642" s="7"/>
      <c r="AL642" s="7"/>
      <c r="AM642" s="15"/>
      <c r="AN642" s="15"/>
      <c r="AO642" s="8">
        <v>1</v>
      </c>
      <c r="AP642" s="8"/>
      <c r="AQ642" s="8"/>
      <c r="AR642" s="8"/>
      <c r="AS642" s="132" t="s">
        <v>2508</v>
      </c>
      <c r="AT642" s="131" t="s">
        <v>2780</v>
      </c>
      <c r="AU642" s="132"/>
      <c r="AV642" s="16"/>
      <c r="AW642" s="56"/>
      <c r="AX642" s="56"/>
      <c r="AY642" s="7" t="s">
        <v>10759</v>
      </c>
      <c r="AZ642" s="10" t="s">
        <v>10760</v>
      </c>
      <c r="BA642" s="7" t="s">
        <v>94</v>
      </c>
      <c r="BB642" s="17">
        <v>32798</v>
      </c>
      <c r="BC642" s="17"/>
      <c r="BD642" s="18" t="s">
        <v>7448</v>
      </c>
      <c r="BE642" s="7" t="s">
        <v>118</v>
      </c>
      <c r="BF642" s="7" t="s">
        <v>276</v>
      </c>
      <c r="BG642" s="7" t="s">
        <v>10761</v>
      </c>
      <c r="BH642" s="7" t="s">
        <v>511</v>
      </c>
      <c r="BI642" s="19" t="s">
        <v>10762</v>
      </c>
      <c r="BJ642" s="20">
        <v>5000000</v>
      </c>
      <c r="BK642" s="21" t="s">
        <v>10763</v>
      </c>
      <c r="BL642" s="7" t="s">
        <v>10764</v>
      </c>
      <c r="BM642" s="22" t="s">
        <v>10765</v>
      </c>
      <c r="BN642" s="8" t="s">
        <v>94</v>
      </c>
      <c r="BO642" s="17">
        <v>33028</v>
      </c>
      <c r="BP642" s="17"/>
      <c r="BQ642" s="18" t="s">
        <v>7448</v>
      </c>
      <c r="BR642" s="7" t="s">
        <v>8638</v>
      </c>
      <c r="BS642" s="7" t="s">
        <v>1731</v>
      </c>
      <c r="BT642" s="7" t="s">
        <v>10766</v>
      </c>
      <c r="BU642" s="8" t="s">
        <v>94</v>
      </c>
      <c r="BV642" s="23" t="s">
        <v>10767</v>
      </c>
      <c r="BW642" s="24">
        <v>1500000</v>
      </c>
      <c r="BX642" s="21" t="s">
        <v>7450</v>
      </c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N642" s="25"/>
      <c r="CO642" s="25"/>
      <c r="CP642" s="25"/>
      <c r="CQ642" s="25"/>
      <c r="CR642" s="25"/>
      <c r="CS642" s="26"/>
    </row>
    <row r="643" spans="1:97" s="87" customFormat="1" ht="23.25" customHeight="1">
      <c r="A643" s="175">
        <v>479</v>
      </c>
      <c r="B643" s="61"/>
      <c r="C643" s="61"/>
      <c r="D643" s="61"/>
      <c r="E643" s="61"/>
      <c r="F643" s="61"/>
      <c r="G643" s="61"/>
      <c r="H643" s="69">
        <v>45834</v>
      </c>
      <c r="I643" s="61" t="s">
        <v>4774</v>
      </c>
      <c r="J643" s="63" t="s">
        <v>11388</v>
      </c>
      <c r="K643" s="63" t="s">
        <v>11389</v>
      </c>
      <c r="L643" s="64"/>
      <c r="M643" s="178">
        <v>2213</v>
      </c>
      <c r="N643" s="62">
        <v>3140681269</v>
      </c>
      <c r="O643" s="65" t="s">
        <v>11390</v>
      </c>
      <c r="P643" s="66" t="s">
        <v>11453</v>
      </c>
      <c r="Q643" s="391" t="s">
        <v>4589</v>
      </c>
      <c r="R643" s="8" t="s">
        <v>11299</v>
      </c>
      <c r="S643" s="212" t="s">
        <v>13586</v>
      </c>
      <c r="T643" s="64" t="s">
        <v>4589</v>
      </c>
      <c r="U643" s="67" t="s">
        <v>93</v>
      </c>
      <c r="V643" s="68" t="s">
        <v>11398</v>
      </c>
      <c r="W643" s="69">
        <v>42002</v>
      </c>
      <c r="X643" s="62" t="s">
        <v>11405</v>
      </c>
      <c r="Y643" s="62" t="s">
        <v>95</v>
      </c>
      <c r="Z643" s="14"/>
      <c r="AA643" s="62" t="s">
        <v>96</v>
      </c>
      <c r="AB643" s="178" t="s">
        <v>97</v>
      </c>
      <c r="AC643" s="70" t="s">
        <v>11393</v>
      </c>
      <c r="AD643" s="133"/>
      <c r="AE643" s="64"/>
      <c r="AF643" s="63" t="s">
        <v>11394</v>
      </c>
      <c r="AG643" s="63" t="s">
        <v>4829</v>
      </c>
      <c r="AH643" s="63" t="s">
        <v>141</v>
      </c>
      <c r="AI643" s="63"/>
      <c r="AJ643" s="63" t="s">
        <v>142</v>
      </c>
      <c r="AK643" s="63"/>
      <c r="AL643" s="177"/>
      <c r="AM643" s="71"/>
      <c r="AN643" s="63" t="s">
        <v>11395</v>
      </c>
      <c r="AO643" s="64"/>
      <c r="AP643" s="64"/>
      <c r="AQ643" s="64"/>
      <c r="AR643" s="64"/>
      <c r="AS643" s="134"/>
      <c r="AT643" s="133"/>
      <c r="AU643" s="134"/>
      <c r="AV643" s="73"/>
      <c r="AW643" s="135"/>
      <c r="AX643" s="135"/>
      <c r="AY643" s="74" t="s">
        <v>11396</v>
      </c>
      <c r="AZ643" s="179" t="s">
        <v>11397</v>
      </c>
      <c r="BA643" s="75" t="s">
        <v>11398</v>
      </c>
      <c r="BB643" s="75">
        <v>30610</v>
      </c>
      <c r="BC643" s="76" t="s">
        <v>96</v>
      </c>
      <c r="BD643" s="77"/>
      <c r="BE643" s="63"/>
      <c r="BF643" s="63"/>
      <c r="BG643" s="63"/>
      <c r="BH643" s="78"/>
      <c r="BI643" s="79"/>
      <c r="BJ643" s="80"/>
      <c r="BK643" s="81"/>
      <c r="BL643" s="82" t="s">
        <v>11399</v>
      </c>
      <c r="BM643" s="77" t="s">
        <v>11400</v>
      </c>
      <c r="BN643" s="145" t="s">
        <v>511</v>
      </c>
      <c r="BO643" s="75">
        <v>34090</v>
      </c>
      <c r="BP643" s="76" t="s">
        <v>96</v>
      </c>
      <c r="BQ643" s="76"/>
      <c r="BR643" s="63"/>
      <c r="BS643" s="63"/>
      <c r="BT643" s="63"/>
      <c r="BU643" s="64"/>
      <c r="BV643" s="98"/>
      <c r="BW643" s="79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N643" s="85"/>
      <c r="CO643" s="85"/>
      <c r="CP643" s="85"/>
      <c r="CQ643" s="85"/>
      <c r="CR643" s="85"/>
      <c r="CS643" s="86"/>
    </row>
    <row r="644" spans="1:97" s="27" customFormat="1" ht="23.25" customHeight="1">
      <c r="A644" s="4">
        <v>506</v>
      </c>
      <c r="B644" s="6"/>
      <c r="C644" s="6"/>
      <c r="D644" s="6"/>
      <c r="E644" s="6"/>
      <c r="F644" s="6"/>
      <c r="G644" s="6"/>
      <c r="H644" s="5"/>
      <c r="I644" s="6"/>
      <c r="J644" s="7" t="s">
        <v>10319</v>
      </c>
      <c r="K644" s="7" t="s">
        <v>10320</v>
      </c>
      <c r="L644" s="8"/>
      <c r="M644" s="5">
        <v>1699</v>
      </c>
      <c r="N644" s="5">
        <v>3151487105</v>
      </c>
      <c r="O644" s="9" t="s">
        <v>6184</v>
      </c>
      <c r="P644" s="10" t="s">
        <v>10321</v>
      </c>
      <c r="Q644" s="389" t="s">
        <v>10322</v>
      </c>
      <c r="R644" s="8" t="s">
        <v>11299</v>
      </c>
      <c r="S644" s="212" t="s">
        <v>13586</v>
      </c>
      <c r="T644" s="8" t="s">
        <v>10323</v>
      </c>
      <c r="U644" s="11" t="s">
        <v>172</v>
      </c>
      <c r="V644" s="12" t="s">
        <v>6188</v>
      </c>
      <c r="W644" s="13">
        <v>42162</v>
      </c>
      <c r="X644" s="5" t="str">
        <f t="shared" ref="X644:X650" ca="1" si="27">""&amp;DATEDIF(W644,TODAY(),"y")&amp;" Th, "&amp;DATEDIF(W644,TODAY(),"ym")&amp;" Bln"</f>
        <v>11 Th, 3 Bln</v>
      </c>
      <c r="Y644" s="5"/>
      <c r="Z644" s="14"/>
      <c r="AA644" s="5" t="s">
        <v>96</v>
      </c>
      <c r="AB644" s="5"/>
      <c r="AC644" s="7" t="s">
        <v>10324</v>
      </c>
      <c r="AD644" s="131"/>
      <c r="AE644" s="131"/>
      <c r="AF644" s="7" t="s">
        <v>10325</v>
      </c>
      <c r="AG644" s="7" t="s">
        <v>2159</v>
      </c>
      <c r="AH644" s="7" t="s">
        <v>2159</v>
      </c>
      <c r="AI644" s="7"/>
      <c r="AJ644" s="7" t="s">
        <v>103</v>
      </c>
      <c r="AK644" s="7"/>
      <c r="AL644" s="7"/>
      <c r="AM644" s="15" t="s">
        <v>127</v>
      </c>
      <c r="AN644" s="15"/>
      <c r="AO644" s="8">
        <v>1</v>
      </c>
      <c r="AP644" s="8"/>
      <c r="AQ644" s="8"/>
      <c r="AR644" s="8"/>
      <c r="AS644" s="132" t="s">
        <v>10326</v>
      </c>
      <c r="AT644" s="131" t="s">
        <v>10327</v>
      </c>
      <c r="AU644" s="132"/>
      <c r="AV644" s="16"/>
      <c r="AW644" s="56"/>
      <c r="AX644" s="56"/>
      <c r="AY644" s="7" t="s">
        <v>6192</v>
      </c>
      <c r="AZ644" s="10" t="s">
        <v>6193</v>
      </c>
      <c r="BA644" s="7" t="s">
        <v>10328</v>
      </c>
      <c r="BB644" s="17">
        <v>32234</v>
      </c>
      <c r="BC644" s="17"/>
      <c r="BD644" s="18" t="s">
        <v>6195</v>
      </c>
      <c r="BE644" s="7" t="s">
        <v>118</v>
      </c>
      <c r="BF644" s="7" t="s">
        <v>247</v>
      </c>
      <c r="BG644" s="7" t="s">
        <v>127</v>
      </c>
      <c r="BH644" s="7" t="s">
        <v>127</v>
      </c>
      <c r="BI644" s="19" t="s">
        <v>127</v>
      </c>
      <c r="BJ644" s="20">
        <v>10000000</v>
      </c>
      <c r="BK644" s="21" t="s">
        <v>10329</v>
      </c>
      <c r="BL644" s="7" t="s">
        <v>6197</v>
      </c>
      <c r="BM644" s="22" t="s">
        <v>6198</v>
      </c>
      <c r="BN644" s="8" t="s">
        <v>10330</v>
      </c>
      <c r="BO644" s="17">
        <v>32194</v>
      </c>
      <c r="BP644" s="17"/>
      <c r="BQ644" s="18" t="s">
        <v>6200</v>
      </c>
      <c r="BR644" s="7" t="s">
        <v>10331</v>
      </c>
      <c r="BS644" s="7" t="s">
        <v>2493</v>
      </c>
      <c r="BT644" s="7" t="s">
        <v>127</v>
      </c>
      <c r="BU644" s="8" t="s">
        <v>127</v>
      </c>
      <c r="BV644" s="23" t="s">
        <v>127</v>
      </c>
      <c r="BW644" s="24">
        <v>10000000</v>
      </c>
      <c r="BX644" s="21" t="s">
        <v>10332</v>
      </c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N644" s="25"/>
      <c r="CO644" s="25"/>
      <c r="CP644" s="25"/>
      <c r="CQ644" s="25"/>
      <c r="CR644" s="25"/>
      <c r="CS644" s="26"/>
    </row>
    <row r="645" spans="1:97" s="27" customFormat="1" ht="23.25" customHeight="1">
      <c r="A645" s="4">
        <v>510</v>
      </c>
      <c r="B645" s="6"/>
      <c r="C645" s="6"/>
      <c r="D645" s="6"/>
      <c r="E645" s="6"/>
      <c r="F645" s="6"/>
      <c r="G645" s="6"/>
      <c r="H645" s="5"/>
      <c r="I645" s="6"/>
      <c r="J645" s="7" t="s">
        <v>10372</v>
      </c>
      <c r="K645" s="7" t="s">
        <v>10373</v>
      </c>
      <c r="L645" s="8"/>
      <c r="M645" s="5">
        <v>1711</v>
      </c>
      <c r="N645" s="5" t="s">
        <v>10374</v>
      </c>
      <c r="O645" s="9" t="s">
        <v>10375</v>
      </c>
      <c r="P645" s="10" t="s">
        <v>10376</v>
      </c>
      <c r="Q645" s="389" t="s">
        <v>10377</v>
      </c>
      <c r="R645" s="8" t="s">
        <v>11300</v>
      </c>
      <c r="S645" s="212" t="s">
        <v>13587</v>
      </c>
      <c r="T645" s="8"/>
      <c r="U645" s="11" t="s">
        <v>93</v>
      </c>
      <c r="V645" s="12" t="s">
        <v>10378</v>
      </c>
      <c r="W645" s="13" t="s">
        <v>10379</v>
      </c>
      <c r="X645" s="5" t="e">
        <f t="shared" ca="1" si="27"/>
        <v>#VALUE!</v>
      </c>
      <c r="Y645" s="5"/>
      <c r="Z645" s="14"/>
      <c r="AA645" s="5" t="s">
        <v>96</v>
      </c>
      <c r="AB645" s="5"/>
      <c r="AC645" s="7" t="s">
        <v>10380</v>
      </c>
      <c r="AD645" s="131">
        <v>31</v>
      </c>
      <c r="AE645" s="131" t="s">
        <v>127</v>
      </c>
      <c r="AF645" s="7" t="s">
        <v>10381</v>
      </c>
      <c r="AG645" s="7" t="s">
        <v>10382</v>
      </c>
      <c r="AH645" s="7" t="s">
        <v>141</v>
      </c>
      <c r="AI645" s="7"/>
      <c r="AJ645" s="7" t="s">
        <v>10383</v>
      </c>
      <c r="AK645" s="7"/>
      <c r="AL645" s="7"/>
      <c r="AM645" s="15"/>
      <c r="AN645" s="15"/>
      <c r="AO645" s="8">
        <v>1</v>
      </c>
      <c r="AP645" s="8"/>
      <c r="AQ645" s="8"/>
      <c r="AR645" s="8"/>
      <c r="AS645" s="132"/>
      <c r="AT645" s="131"/>
      <c r="AU645" s="132"/>
      <c r="AV645" s="16"/>
      <c r="AW645" s="56"/>
      <c r="AX645" s="56"/>
      <c r="AY645" s="7" t="s">
        <v>10384</v>
      </c>
      <c r="AZ645" s="10" t="s">
        <v>10385</v>
      </c>
      <c r="BA645" s="7" t="s">
        <v>94</v>
      </c>
      <c r="BB645" s="17" t="s">
        <v>10386</v>
      </c>
      <c r="BC645" s="17"/>
      <c r="BD645" s="18"/>
      <c r="BE645" s="7"/>
      <c r="BF645" s="7" t="s">
        <v>276</v>
      </c>
      <c r="BG645" s="7" t="s">
        <v>10387</v>
      </c>
      <c r="BH645" s="7"/>
      <c r="BI645" s="19"/>
      <c r="BJ645" s="20"/>
      <c r="BK645" s="21"/>
      <c r="BL645" s="7" t="s">
        <v>10388</v>
      </c>
      <c r="BM645" s="22" t="s">
        <v>10389</v>
      </c>
      <c r="BN645" s="8" t="s">
        <v>10390</v>
      </c>
      <c r="BO645" s="17" t="s">
        <v>10391</v>
      </c>
      <c r="BP645" s="17"/>
      <c r="BQ645" s="18"/>
      <c r="BR645" s="7"/>
      <c r="BS645" s="7" t="s">
        <v>126</v>
      </c>
      <c r="BT645" s="7"/>
      <c r="BU645" s="8"/>
      <c r="BV645" s="23"/>
      <c r="BW645" s="24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N645" s="25"/>
      <c r="CO645" s="25"/>
      <c r="CP645" s="25"/>
      <c r="CQ645" s="25"/>
      <c r="CR645" s="25"/>
      <c r="CS645" s="26"/>
    </row>
    <row r="646" spans="1:97" s="27" customFormat="1" ht="23.25" customHeight="1">
      <c r="A646" s="4">
        <v>454</v>
      </c>
      <c r="B646" s="6"/>
      <c r="C646" s="6"/>
      <c r="D646" s="6"/>
      <c r="E646" s="6"/>
      <c r="F646" s="6"/>
      <c r="G646" s="6"/>
      <c r="H646" s="5"/>
      <c r="I646" s="6"/>
      <c r="J646" s="7" t="s">
        <v>402</v>
      </c>
      <c r="K646" s="7" t="s">
        <v>9457</v>
      </c>
      <c r="L646" s="8"/>
      <c r="M646" s="5">
        <v>1607</v>
      </c>
      <c r="N646" s="5" t="s">
        <v>9458</v>
      </c>
      <c r="O646" s="9" t="s">
        <v>9459</v>
      </c>
      <c r="P646" s="10" t="s">
        <v>9460</v>
      </c>
      <c r="Q646" s="389" t="s">
        <v>9461</v>
      </c>
      <c r="R646" s="8" t="s">
        <v>11300</v>
      </c>
      <c r="S646" s="212" t="s">
        <v>13587</v>
      </c>
      <c r="T646" s="8" t="s">
        <v>9462</v>
      </c>
      <c r="U646" s="11" t="s">
        <v>93</v>
      </c>
      <c r="V646" s="12" t="s">
        <v>94</v>
      </c>
      <c r="W646" s="13">
        <v>42073</v>
      </c>
      <c r="X646" s="5" t="str">
        <f t="shared" ca="1" si="27"/>
        <v>11 Th, 6 Bln</v>
      </c>
      <c r="Y646" s="5"/>
      <c r="Z646" s="14"/>
      <c r="AA646" s="5" t="s">
        <v>96</v>
      </c>
      <c r="AB646" s="5"/>
      <c r="AC646" s="7" t="s">
        <v>4526</v>
      </c>
      <c r="AD646" s="131"/>
      <c r="AE646" s="131"/>
      <c r="AF646" s="7" t="s">
        <v>942</v>
      </c>
      <c r="AG646" s="7" t="s">
        <v>178</v>
      </c>
      <c r="AH646" s="7" t="s">
        <v>178</v>
      </c>
      <c r="AI646" s="7"/>
      <c r="AJ646" s="7" t="s">
        <v>103</v>
      </c>
      <c r="AK646" s="7"/>
      <c r="AL646" s="7"/>
      <c r="AM646" s="15"/>
      <c r="AN646" s="15"/>
      <c r="AO646" s="8">
        <v>1</v>
      </c>
      <c r="AP646" s="8"/>
      <c r="AQ646" s="8"/>
      <c r="AR646" s="8"/>
      <c r="AS646" s="132" t="s">
        <v>9463</v>
      </c>
      <c r="AT646" s="131" t="s">
        <v>2593</v>
      </c>
      <c r="AU646" s="132"/>
      <c r="AV646" s="16"/>
      <c r="AW646" s="56"/>
      <c r="AX646" s="56"/>
      <c r="AY646" s="7" t="s">
        <v>4530</v>
      </c>
      <c r="AZ646" s="10" t="s">
        <v>4531</v>
      </c>
      <c r="BA646" s="7" t="s">
        <v>94</v>
      </c>
      <c r="BB646" s="17">
        <v>31274</v>
      </c>
      <c r="BC646" s="17"/>
      <c r="BD646" s="18" t="s">
        <v>4528</v>
      </c>
      <c r="BE646" s="7" t="s">
        <v>118</v>
      </c>
      <c r="BF646" s="7" t="s">
        <v>554</v>
      </c>
      <c r="BG646" s="7" t="s">
        <v>9464</v>
      </c>
      <c r="BH646" s="7" t="s">
        <v>9465</v>
      </c>
      <c r="BI646" s="19" t="s">
        <v>9466</v>
      </c>
      <c r="BJ646" s="20">
        <v>3000000</v>
      </c>
      <c r="BK646" s="21" t="s">
        <v>4537</v>
      </c>
      <c r="BL646" s="7" t="s">
        <v>4538</v>
      </c>
      <c r="BM646" s="22" t="s">
        <v>4539</v>
      </c>
      <c r="BN646" s="8" t="s">
        <v>435</v>
      </c>
      <c r="BO646" s="17">
        <v>31502</v>
      </c>
      <c r="BP646" s="17"/>
      <c r="BQ646" s="18" t="s">
        <v>4528</v>
      </c>
      <c r="BR646" s="7" t="s">
        <v>118</v>
      </c>
      <c r="BS646" s="7" t="s">
        <v>9242</v>
      </c>
      <c r="BT646" s="7" t="s">
        <v>9467</v>
      </c>
      <c r="BU646" s="8" t="s">
        <v>9468</v>
      </c>
      <c r="BV646" s="23" t="s">
        <v>9244</v>
      </c>
      <c r="BW646" s="24">
        <v>8400000</v>
      </c>
      <c r="BX646" s="21" t="s">
        <v>4544</v>
      </c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N646" s="25"/>
      <c r="CO646" s="25"/>
      <c r="CP646" s="25"/>
      <c r="CQ646" s="25"/>
      <c r="CR646" s="25"/>
      <c r="CS646" s="26"/>
    </row>
    <row r="647" spans="1:97" s="87" customFormat="1" ht="23.25" customHeight="1">
      <c r="A647" s="175">
        <v>512</v>
      </c>
      <c r="B647" s="61"/>
      <c r="C647" s="61"/>
      <c r="D647" s="61"/>
      <c r="E647" s="61"/>
      <c r="F647" s="61"/>
      <c r="G647" s="61"/>
      <c r="H647" s="69"/>
      <c r="I647" s="61"/>
      <c r="J647" s="63" t="s">
        <v>11489</v>
      </c>
      <c r="K647" s="63" t="s">
        <v>11490</v>
      </c>
      <c r="L647" s="64"/>
      <c r="M647" s="178">
        <v>2216</v>
      </c>
      <c r="N647" s="62" t="s">
        <v>11477</v>
      </c>
      <c r="O647" s="65" t="s">
        <v>11478</v>
      </c>
      <c r="P647" s="66" t="s">
        <v>11479</v>
      </c>
      <c r="Q647" s="391" t="s">
        <v>11480</v>
      </c>
      <c r="R647" s="8" t="s">
        <v>11300</v>
      </c>
      <c r="S647" s="212" t="s">
        <v>13587</v>
      </c>
      <c r="T647" s="64" t="s">
        <v>1392</v>
      </c>
      <c r="U647" s="67" t="s">
        <v>172</v>
      </c>
      <c r="V647" s="68" t="s">
        <v>444</v>
      </c>
      <c r="W647" s="69">
        <v>41915</v>
      </c>
      <c r="X647" s="62" t="str">
        <f t="shared" ca="1" si="27"/>
        <v>11 Th, 11 Bln</v>
      </c>
      <c r="Y647" s="62"/>
      <c r="Z647" s="14"/>
      <c r="AA647" s="62" t="s">
        <v>96</v>
      </c>
      <c r="AB647" s="178"/>
      <c r="AC647" s="70" t="s">
        <v>11481</v>
      </c>
      <c r="AD647" s="133">
        <v>2</v>
      </c>
      <c r="AE647" s="64">
        <v>2</v>
      </c>
      <c r="AF647" s="63" t="s">
        <v>11482</v>
      </c>
      <c r="AG647" s="63" t="s">
        <v>4057</v>
      </c>
      <c r="AH647" s="63" t="s">
        <v>519</v>
      </c>
      <c r="AI647" s="63"/>
      <c r="AJ647" s="63" t="s">
        <v>519</v>
      </c>
      <c r="AK647" s="63"/>
      <c r="AL647" s="177"/>
      <c r="AM647" s="71"/>
      <c r="AN647" s="63"/>
      <c r="AO647" s="64">
        <v>3</v>
      </c>
      <c r="AP647" s="64">
        <v>2</v>
      </c>
      <c r="AQ647" s="64"/>
      <c r="AR647" s="64"/>
      <c r="AS647" s="134">
        <v>45</v>
      </c>
      <c r="AT647" s="133">
        <v>155</v>
      </c>
      <c r="AU647" s="134" t="s">
        <v>498</v>
      </c>
      <c r="AV647" s="73"/>
      <c r="AW647" s="135"/>
      <c r="AX647" s="135"/>
      <c r="AY647" s="74" t="s">
        <v>11483</v>
      </c>
      <c r="AZ647" s="179" t="s">
        <v>11484</v>
      </c>
      <c r="BA647" s="75" t="s">
        <v>519</v>
      </c>
      <c r="BB647" s="75">
        <v>28952</v>
      </c>
      <c r="BC647" s="76" t="s">
        <v>96</v>
      </c>
      <c r="BD647" s="77"/>
      <c r="BE647" s="63" t="s">
        <v>118</v>
      </c>
      <c r="BF647" s="63" t="s">
        <v>11301</v>
      </c>
      <c r="BG647" s="63"/>
      <c r="BH647" s="78" t="s">
        <v>11485</v>
      </c>
      <c r="BI647" s="79"/>
      <c r="BJ647" s="80">
        <v>100000000</v>
      </c>
      <c r="BK647" s="81"/>
      <c r="BL647" s="82" t="s">
        <v>11486</v>
      </c>
      <c r="BM647" s="77" t="s">
        <v>11487</v>
      </c>
      <c r="BN647" s="145" t="s">
        <v>395</v>
      </c>
      <c r="BO647" s="75">
        <v>29726</v>
      </c>
      <c r="BP647" s="76"/>
      <c r="BQ647" s="76" t="s">
        <v>11488</v>
      </c>
      <c r="BR647" s="63" t="s">
        <v>2193</v>
      </c>
      <c r="BS647" s="63" t="s">
        <v>126</v>
      </c>
      <c r="BT647" s="63"/>
      <c r="BU647" s="64"/>
      <c r="BV647" s="98"/>
      <c r="BW647" s="79"/>
      <c r="BX647" s="90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N647" s="85"/>
      <c r="CO647" s="85"/>
      <c r="CP647" s="85"/>
      <c r="CQ647" s="85"/>
      <c r="CR647" s="85"/>
      <c r="CS647" s="86"/>
    </row>
    <row r="648" spans="1:97" s="27" customFormat="1" ht="23.25" customHeight="1">
      <c r="A648" s="4">
        <v>457</v>
      </c>
      <c r="B648" s="6"/>
      <c r="C648" s="6"/>
      <c r="D648" s="6"/>
      <c r="E648" s="6"/>
      <c r="F648" s="6"/>
      <c r="G648" s="6"/>
      <c r="H648" s="5"/>
      <c r="I648" s="6"/>
      <c r="J648" s="7" t="s">
        <v>166</v>
      </c>
      <c r="K648" s="7" t="s">
        <v>9506</v>
      </c>
      <c r="L648" s="8"/>
      <c r="M648" s="5">
        <v>1615</v>
      </c>
      <c r="N648" s="5" t="s">
        <v>9507</v>
      </c>
      <c r="O648" s="9" t="s">
        <v>9508</v>
      </c>
      <c r="P648" s="10" t="s">
        <v>9509</v>
      </c>
      <c r="Q648" s="389" t="s">
        <v>9510</v>
      </c>
      <c r="R648" s="8" t="s">
        <v>11300</v>
      </c>
      <c r="S648" s="212" t="s">
        <v>13587</v>
      </c>
      <c r="T648" s="8" t="s">
        <v>9511</v>
      </c>
      <c r="U648" s="11" t="s">
        <v>172</v>
      </c>
      <c r="V648" s="12" t="s">
        <v>94</v>
      </c>
      <c r="W648" s="13">
        <v>42152</v>
      </c>
      <c r="X648" s="5" t="str">
        <f t="shared" ca="1" si="27"/>
        <v>11 Th, 3 Bln</v>
      </c>
      <c r="Y648" s="5"/>
      <c r="Z648" s="14"/>
      <c r="AA648" s="5" t="s">
        <v>96</v>
      </c>
      <c r="AB648" s="5"/>
      <c r="AC648" s="7" t="s">
        <v>9512</v>
      </c>
      <c r="AD648" s="131">
        <v>12</v>
      </c>
      <c r="AE648" s="131">
        <v>2</v>
      </c>
      <c r="AF648" s="7" t="s">
        <v>240</v>
      </c>
      <c r="AG648" s="7" t="s">
        <v>241</v>
      </c>
      <c r="AH648" s="7" t="s">
        <v>241</v>
      </c>
      <c r="AI648" s="7"/>
      <c r="AJ648" s="7" t="s">
        <v>103</v>
      </c>
      <c r="AK648" s="7"/>
      <c r="AL648" s="7"/>
      <c r="AM648" s="15">
        <v>408831</v>
      </c>
      <c r="AN648" s="15"/>
      <c r="AO648" s="8">
        <v>2</v>
      </c>
      <c r="AP648" s="8"/>
      <c r="AQ648" s="8"/>
      <c r="AR648" s="8"/>
      <c r="AS648" s="132" t="s">
        <v>9513</v>
      </c>
      <c r="AT648" s="131" t="s">
        <v>9514</v>
      </c>
      <c r="AU648" s="132"/>
      <c r="AV648" s="16"/>
      <c r="AW648" s="56"/>
      <c r="AX648" s="56"/>
      <c r="AY648" s="7" t="s">
        <v>9515</v>
      </c>
      <c r="AZ648" s="10" t="s">
        <v>9516</v>
      </c>
      <c r="BA648" s="7" t="s">
        <v>519</v>
      </c>
      <c r="BB648" s="17">
        <v>31545</v>
      </c>
      <c r="BC648" s="17"/>
      <c r="BD648" s="18" t="s">
        <v>9517</v>
      </c>
      <c r="BE648" s="7" t="s">
        <v>118</v>
      </c>
      <c r="BF648" s="7" t="s">
        <v>9518</v>
      </c>
      <c r="BG648" s="7" t="s">
        <v>9519</v>
      </c>
      <c r="BH648" s="7" t="s">
        <v>9520</v>
      </c>
      <c r="BI648" s="19" t="s">
        <v>9521</v>
      </c>
      <c r="BJ648" s="20">
        <v>17000000</v>
      </c>
      <c r="BK648" s="21" t="s">
        <v>9522</v>
      </c>
      <c r="BL648" s="7" t="s">
        <v>9523</v>
      </c>
      <c r="BM648" s="22" t="s">
        <v>9524</v>
      </c>
      <c r="BN648" s="8" t="s">
        <v>395</v>
      </c>
      <c r="BO648" s="17">
        <v>31318</v>
      </c>
      <c r="BP648" s="17"/>
      <c r="BQ648" s="18">
        <v>2147483647</v>
      </c>
      <c r="BR648" s="7" t="s">
        <v>118</v>
      </c>
      <c r="BS648" s="7" t="s">
        <v>126</v>
      </c>
      <c r="BT648" s="7" t="s">
        <v>127</v>
      </c>
      <c r="BU648" s="8" t="s">
        <v>127</v>
      </c>
      <c r="BV648" s="23">
        <v>0</v>
      </c>
      <c r="BW648" s="24" t="s">
        <v>127</v>
      </c>
      <c r="BX648" s="21" t="s">
        <v>9525</v>
      </c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N648" s="25"/>
      <c r="CO648" s="25"/>
      <c r="CP648" s="25"/>
      <c r="CQ648" s="25"/>
      <c r="CR648" s="25"/>
      <c r="CS648" s="26"/>
    </row>
    <row r="649" spans="1:97" s="27" customFormat="1" ht="23.25" customHeight="1">
      <c r="A649" s="4">
        <v>485</v>
      </c>
      <c r="B649" s="6"/>
      <c r="C649" s="6"/>
      <c r="D649" s="6"/>
      <c r="E649" s="6"/>
      <c r="F649" s="6"/>
      <c r="G649" s="6"/>
      <c r="H649" s="5"/>
      <c r="I649" s="6"/>
      <c r="J649" s="7" t="s">
        <v>166</v>
      </c>
      <c r="K649" s="7" t="s">
        <v>9989</v>
      </c>
      <c r="L649" s="8"/>
      <c r="M649" s="5">
        <v>1617</v>
      </c>
      <c r="N649" s="5" t="s">
        <v>9990</v>
      </c>
      <c r="O649" s="9" t="s">
        <v>6253</v>
      </c>
      <c r="P649" s="10" t="s">
        <v>9991</v>
      </c>
      <c r="Q649" s="389" t="s">
        <v>9992</v>
      </c>
      <c r="R649" s="8" t="s">
        <v>11300</v>
      </c>
      <c r="S649" s="212" t="s">
        <v>13587</v>
      </c>
      <c r="T649" s="8" t="s">
        <v>9993</v>
      </c>
      <c r="U649" s="11" t="s">
        <v>172</v>
      </c>
      <c r="V649" s="12" t="s">
        <v>94</v>
      </c>
      <c r="W649" s="13">
        <v>42143</v>
      </c>
      <c r="X649" s="5" t="str">
        <f t="shared" ca="1" si="27"/>
        <v>11 Th, 3 Bln</v>
      </c>
      <c r="Y649" s="5"/>
      <c r="Z649" s="14"/>
      <c r="AA649" s="5" t="s">
        <v>96</v>
      </c>
      <c r="AB649" s="5"/>
      <c r="AC649" s="7" t="s">
        <v>9994</v>
      </c>
      <c r="AD649" s="131">
        <v>16</v>
      </c>
      <c r="AE649" s="131">
        <v>4</v>
      </c>
      <c r="AF649" s="7" t="s">
        <v>1070</v>
      </c>
      <c r="AG649" s="7" t="s">
        <v>994</v>
      </c>
      <c r="AH649" s="7" t="s">
        <v>141</v>
      </c>
      <c r="AI649" s="7"/>
      <c r="AJ649" s="7" t="s">
        <v>2024</v>
      </c>
      <c r="AK649" s="7"/>
      <c r="AL649" s="7"/>
      <c r="AM649" s="15" t="s">
        <v>127</v>
      </c>
      <c r="AN649" s="15"/>
      <c r="AO649" s="8">
        <v>1</v>
      </c>
      <c r="AP649" s="8"/>
      <c r="AQ649" s="8"/>
      <c r="AR649" s="8"/>
      <c r="AS649" s="132" t="s">
        <v>2694</v>
      </c>
      <c r="AT649" s="131" t="s">
        <v>2574</v>
      </c>
      <c r="AU649" s="132"/>
      <c r="AV649" s="16"/>
      <c r="AW649" s="56"/>
      <c r="AX649" s="56"/>
      <c r="AY649" s="7" t="s">
        <v>9995</v>
      </c>
      <c r="AZ649" s="10" t="s">
        <v>6259</v>
      </c>
      <c r="BA649" s="7" t="s">
        <v>94</v>
      </c>
      <c r="BB649" s="17">
        <v>32560</v>
      </c>
      <c r="BC649" s="17"/>
      <c r="BD649" s="18" t="s">
        <v>9996</v>
      </c>
      <c r="BE649" s="7" t="s">
        <v>4783</v>
      </c>
      <c r="BF649" s="7" t="s">
        <v>188</v>
      </c>
      <c r="BG649" s="7" t="s">
        <v>9997</v>
      </c>
      <c r="BH649" s="7" t="s">
        <v>9998</v>
      </c>
      <c r="BI649" s="19" t="s">
        <v>9999</v>
      </c>
      <c r="BJ649" s="20">
        <v>7000000</v>
      </c>
      <c r="BK649" s="21" t="s">
        <v>10000</v>
      </c>
      <c r="BL649" s="7" t="s">
        <v>10001</v>
      </c>
      <c r="BM649" s="22" t="s">
        <v>6266</v>
      </c>
      <c r="BN649" s="8" t="s">
        <v>94</v>
      </c>
      <c r="BO649" s="17">
        <v>32199</v>
      </c>
      <c r="BP649" s="17"/>
      <c r="BQ649" s="18" t="s">
        <v>9996</v>
      </c>
      <c r="BR649" s="7" t="s">
        <v>4783</v>
      </c>
      <c r="BS649" s="7" t="s">
        <v>276</v>
      </c>
      <c r="BT649" s="7" t="s">
        <v>10002</v>
      </c>
      <c r="BU649" s="8" t="s">
        <v>10003</v>
      </c>
      <c r="BV649" s="23" t="s">
        <v>10004</v>
      </c>
      <c r="BW649" s="24">
        <v>10000000</v>
      </c>
      <c r="BX649" s="21" t="s">
        <v>6267</v>
      </c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N649" s="25"/>
      <c r="CO649" s="25"/>
      <c r="CP649" s="25"/>
      <c r="CQ649" s="25"/>
      <c r="CR649" s="25"/>
      <c r="CS649" s="26"/>
    </row>
    <row r="650" spans="1:97" s="27" customFormat="1" ht="23.25" customHeight="1">
      <c r="A650" s="4">
        <v>539</v>
      </c>
      <c r="B650" s="6"/>
      <c r="C650" s="6"/>
      <c r="D650" s="6"/>
      <c r="E650" s="6"/>
      <c r="F650" s="6"/>
      <c r="G650" s="6"/>
      <c r="H650" s="5"/>
      <c r="I650" s="6"/>
      <c r="J650" s="7" t="s">
        <v>5953</v>
      </c>
      <c r="K650" s="7" t="s">
        <v>10834</v>
      </c>
      <c r="L650" s="8"/>
      <c r="M650" s="5">
        <v>1622</v>
      </c>
      <c r="N650" s="5" t="s">
        <v>10835</v>
      </c>
      <c r="O650" s="9" t="s">
        <v>10836</v>
      </c>
      <c r="P650" s="10" t="s">
        <v>10837</v>
      </c>
      <c r="Q650" s="389" t="s">
        <v>10838</v>
      </c>
      <c r="R650" s="8" t="s">
        <v>11300</v>
      </c>
      <c r="S650" s="212" t="s">
        <v>13587</v>
      </c>
      <c r="T650" s="8" t="s">
        <v>1464</v>
      </c>
      <c r="U650" s="11" t="s">
        <v>93</v>
      </c>
      <c r="V650" s="12" t="s">
        <v>444</v>
      </c>
      <c r="W650" s="13">
        <v>41830</v>
      </c>
      <c r="X650" s="5" t="str">
        <f t="shared" ca="1" si="27"/>
        <v>12 Th, 2 Bln</v>
      </c>
      <c r="Y650" s="5"/>
      <c r="Z650" s="14"/>
      <c r="AA650" s="5" t="s">
        <v>96</v>
      </c>
      <c r="AB650" s="5"/>
      <c r="AC650" s="7" t="s">
        <v>10839</v>
      </c>
      <c r="AD650" s="131">
        <v>36</v>
      </c>
      <c r="AE650" s="131">
        <v>9</v>
      </c>
      <c r="AF650" s="7" t="s">
        <v>1070</v>
      </c>
      <c r="AG650" s="7" t="s">
        <v>994</v>
      </c>
      <c r="AH650" s="7" t="s">
        <v>141</v>
      </c>
      <c r="AI650" s="7"/>
      <c r="AJ650" s="7" t="s">
        <v>2024</v>
      </c>
      <c r="AK650" s="7"/>
      <c r="AL650" s="7"/>
      <c r="AM650" s="15"/>
      <c r="AN650" s="15"/>
      <c r="AO650" s="8">
        <v>1</v>
      </c>
      <c r="AP650" s="8"/>
      <c r="AQ650" s="8"/>
      <c r="AR650" s="8"/>
      <c r="AS650" s="132" t="s">
        <v>2720</v>
      </c>
      <c r="AT650" s="131" t="s">
        <v>10840</v>
      </c>
      <c r="AU650" s="132"/>
      <c r="AV650" s="16"/>
      <c r="AW650" s="56"/>
      <c r="AX650" s="56"/>
      <c r="AY650" s="7" t="s">
        <v>10841</v>
      </c>
      <c r="AZ650" s="10" t="s">
        <v>10842</v>
      </c>
      <c r="BA650" s="7" t="s">
        <v>1892</v>
      </c>
      <c r="BB650" s="17">
        <v>30345</v>
      </c>
      <c r="BC650" s="17"/>
      <c r="BD650" s="18" t="s">
        <v>10843</v>
      </c>
      <c r="BE650" s="7" t="s">
        <v>153</v>
      </c>
      <c r="BF650" s="7" t="s">
        <v>154</v>
      </c>
      <c r="BG650" s="7" t="s">
        <v>761</v>
      </c>
      <c r="BH650" s="7" t="s">
        <v>10844</v>
      </c>
      <c r="BI650" s="19" t="s">
        <v>10845</v>
      </c>
      <c r="BJ650" s="20">
        <v>8000000</v>
      </c>
      <c r="BK650" s="21" t="s">
        <v>10846</v>
      </c>
      <c r="BL650" s="7" t="s">
        <v>10847</v>
      </c>
      <c r="BM650" s="22" t="s">
        <v>10848</v>
      </c>
      <c r="BN650" s="8" t="s">
        <v>1892</v>
      </c>
      <c r="BO650" s="17">
        <v>31923</v>
      </c>
      <c r="BP650" s="17"/>
      <c r="BQ650" s="18" t="s">
        <v>10849</v>
      </c>
      <c r="BR650" s="7" t="s">
        <v>118</v>
      </c>
      <c r="BS650" s="7" t="s">
        <v>126</v>
      </c>
      <c r="BT650" s="7" t="s">
        <v>127</v>
      </c>
      <c r="BU650" s="8" t="s">
        <v>127</v>
      </c>
      <c r="BV650" s="23" t="s">
        <v>127</v>
      </c>
      <c r="BW650" s="24" t="s">
        <v>127</v>
      </c>
      <c r="BX650" s="21" t="s">
        <v>10850</v>
      </c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N650" s="25"/>
      <c r="CO650" s="25"/>
      <c r="CP650" s="25"/>
      <c r="CQ650" s="25"/>
      <c r="CR650" s="25"/>
      <c r="CS650" s="26"/>
    </row>
    <row r="651" spans="1:97" s="27" customFormat="1" ht="23.25" customHeight="1">
      <c r="A651" s="4">
        <v>460</v>
      </c>
      <c r="B651" s="6"/>
      <c r="C651" s="6"/>
      <c r="D651" s="6"/>
      <c r="E651" s="6"/>
      <c r="F651" s="6"/>
      <c r="G651" s="6"/>
      <c r="H651" s="5" t="s">
        <v>9559</v>
      </c>
      <c r="I651" s="6" t="s">
        <v>4774</v>
      </c>
      <c r="J651" s="7" t="s">
        <v>9560</v>
      </c>
      <c r="K651" s="7" t="s">
        <v>9561</v>
      </c>
      <c r="L651" s="8"/>
      <c r="M651" s="5">
        <v>1945</v>
      </c>
      <c r="N651" s="5" t="s">
        <v>9562</v>
      </c>
      <c r="O651" s="9" t="s">
        <v>2195</v>
      </c>
      <c r="P651" s="10" t="s">
        <v>9563</v>
      </c>
      <c r="Q651" s="389" t="s">
        <v>9564</v>
      </c>
      <c r="R651" s="8" t="s">
        <v>11300</v>
      </c>
      <c r="S651" s="212" t="s">
        <v>13587</v>
      </c>
      <c r="T651" s="8" t="s">
        <v>9565</v>
      </c>
      <c r="U651" s="11" t="s">
        <v>93</v>
      </c>
      <c r="V651" s="12" t="s">
        <v>552</v>
      </c>
      <c r="W651" s="13" t="s">
        <v>9566</v>
      </c>
      <c r="X651" s="5" t="s">
        <v>9567</v>
      </c>
      <c r="Y651" s="5"/>
      <c r="Z651" s="14">
        <v>42181</v>
      </c>
      <c r="AA651" s="5" t="s">
        <v>96</v>
      </c>
      <c r="AB651" s="5" t="s">
        <v>7178</v>
      </c>
      <c r="AC651" s="7" t="s">
        <v>9568</v>
      </c>
      <c r="AD651" s="131"/>
      <c r="AE651" s="131"/>
      <c r="AF651" s="7" t="s">
        <v>567</v>
      </c>
      <c r="AG651" s="7" t="s">
        <v>547</v>
      </c>
      <c r="AH651" s="7" t="s">
        <v>178</v>
      </c>
      <c r="AI651" s="7"/>
      <c r="AJ651" s="7" t="s">
        <v>568</v>
      </c>
      <c r="AK651" s="7"/>
      <c r="AL651" s="7"/>
      <c r="AM651" s="15"/>
      <c r="AN651" s="15"/>
      <c r="AO651" s="8">
        <v>1</v>
      </c>
      <c r="AP651" s="8"/>
      <c r="AQ651" s="8"/>
      <c r="AR651" s="8"/>
      <c r="AS651" s="132"/>
      <c r="AT651" s="131"/>
      <c r="AU651" s="132"/>
      <c r="AV651" s="16"/>
      <c r="AW651" s="56"/>
      <c r="AX651" s="56"/>
      <c r="AY651" s="7" t="s">
        <v>9569</v>
      </c>
      <c r="AZ651" s="10" t="s">
        <v>2210</v>
      </c>
      <c r="BA651" s="7" t="s">
        <v>9570</v>
      </c>
      <c r="BB651" s="17" t="s">
        <v>9571</v>
      </c>
      <c r="BC651" s="17"/>
      <c r="BD651" s="18">
        <v>8118753220</v>
      </c>
      <c r="BE651" s="7" t="s">
        <v>9572</v>
      </c>
      <c r="BF651" s="7" t="s">
        <v>6328</v>
      </c>
      <c r="BG651" s="7" t="s">
        <v>9573</v>
      </c>
      <c r="BH651" s="7" t="s">
        <v>9574</v>
      </c>
      <c r="BI651" s="19"/>
      <c r="BJ651" s="20"/>
      <c r="BK651" s="21" t="s">
        <v>9575</v>
      </c>
      <c r="BL651" s="7" t="s">
        <v>9576</v>
      </c>
      <c r="BM651" s="22" t="s">
        <v>2216</v>
      </c>
      <c r="BN651" s="8" t="s">
        <v>4010</v>
      </c>
      <c r="BO651" s="17">
        <v>31738</v>
      </c>
      <c r="BP651" s="17" t="s">
        <v>737</v>
      </c>
      <c r="BQ651" s="18" t="s">
        <v>2218</v>
      </c>
      <c r="BR651" s="7" t="s">
        <v>9577</v>
      </c>
      <c r="BS651" s="7" t="s">
        <v>574</v>
      </c>
      <c r="BT651" s="7"/>
      <c r="BU651" s="8"/>
      <c r="BV651" s="23" t="s">
        <v>108</v>
      </c>
      <c r="BW651" s="24"/>
      <c r="BX651" s="21"/>
      <c r="BY651" s="21" t="s">
        <v>9578</v>
      </c>
      <c r="BZ651" s="21" t="s">
        <v>4010</v>
      </c>
      <c r="CA651" s="21"/>
      <c r="CB651" s="21"/>
      <c r="CC651" s="21" t="s">
        <v>9579</v>
      </c>
      <c r="CD651" s="21" t="s">
        <v>9580</v>
      </c>
      <c r="CE651" s="21" t="s">
        <v>327</v>
      </c>
      <c r="CF651" s="21" t="s">
        <v>737</v>
      </c>
      <c r="CG651" s="21"/>
      <c r="CH651" s="21"/>
      <c r="CI651" s="21"/>
      <c r="CJ651" s="21"/>
      <c r="CK651" s="21"/>
      <c r="CL651" s="21"/>
      <c r="CN651" s="25"/>
      <c r="CO651" s="25"/>
      <c r="CP651" s="25"/>
      <c r="CQ651" s="25"/>
      <c r="CR651" s="25"/>
      <c r="CS651" s="26"/>
    </row>
    <row r="652" spans="1:97" s="27" customFormat="1" ht="21" customHeight="1">
      <c r="A652" s="4">
        <v>542</v>
      </c>
      <c r="B652" s="6"/>
      <c r="C652" s="6"/>
      <c r="D652" s="6"/>
      <c r="E652" s="6"/>
      <c r="F652" s="6"/>
      <c r="G652" s="6"/>
      <c r="H652" s="5"/>
      <c r="I652" s="6"/>
      <c r="J652" s="7" t="s">
        <v>10569</v>
      </c>
      <c r="K652" s="7" t="s">
        <v>10882</v>
      </c>
      <c r="L652" s="8"/>
      <c r="M652" s="5">
        <v>1626</v>
      </c>
      <c r="N652" s="5" t="s">
        <v>10883</v>
      </c>
      <c r="O652" s="9" t="s">
        <v>10884</v>
      </c>
      <c r="P652" s="10" t="s">
        <v>10885</v>
      </c>
      <c r="Q652" s="389" t="s">
        <v>10886</v>
      </c>
      <c r="R652" s="8" t="s">
        <v>11300</v>
      </c>
      <c r="S652" s="212" t="s">
        <v>13587</v>
      </c>
      <c r="T652" s="8" t="s">
        <v>10887</v>
      </c>
      <c r="U652" s="11" t="s">
        <v>93</v>
      </c>
      <c r="V652" s="12" t="s">
        <v>94</v>
      </c>
      <c r="W652" s="13">
        <v>42209</v>
      </c>
      <c r="X652" s="5" t="str">
        <f ca="1">""&amp;DATEDIF(W652,TODAY(),"y")&amp;" Th, "&amp;DATEDIF(W652,TODAY(),"ym")&amp;" Bln"</f>
        <v>11 Th, 1 Bln</v>
      </c>
      <c r="Y652" s="5"/>
      <c r="Z652" s="14"/>
      <c r="AA652" s="5" t="s">
        <v>96</v>
      </c>
      <c r="AB652" s="5"/>
      <c r="AC652" s="7" t="s">
        <v>10888</v>
      </c>
      <c r="AD652" s="131">
        <v>5</v>
      </c>
      <c r="AE652" s="131">
        <v>16</v>
      </c>
      <c r="AF652" s="7" t="s">
        <v>1395</v>
      </c>
      <c r="AG652" s="7" t="s">
        <v>140</v>
      </c>
      <c r="AH652" s="7" t="s">
        <v>141</v>
      </c>
      <c r="AI652" s="7"/>
      <c r="AJ652" s="7" t="s">
        <v>142</v>
      </c>
      <c r="AK652" s="7"/>
      <c r="AL652" s="7"/>
      <c r="AM652" s="15"/>
      <c r="AN652" s="15"/>
      <c r="AO652" s="8">
        <v>1</v>
      </c>
      <c r="AP652" s="8"/>
      <c r="AQ652" s="8"/>
      <c r="AR652" s="8"/>
      <c r="AS652" s="132" t="s">
        <v>2614</v>
      </c>
      <c r="AT652" s="131" t="s">
        <v>10889</v>
      </c>
      <c r="AU652" s="132"/>
      <c r="AV652" s="16"/>
      <c r="AW652" s="56"/>
      <c r="AX652" s="56"/>
      <c r="AY652" s="7" t="s">
        <v>10890</v>
      </c>
      <c r="AZ652" s="10" t="s">
        <v>10891</v>
      </c>
      <c r="BA652" s="7" t="s">
        <v>713</v>
      </c>
      <c r="BB652" s="17">
        <v>31411</v>
      </c>
      <c r="BC652" s="17"/>
      <c r="BD652" s="18" t="s">
        <v>10892</v>
      </c>
      <c r="BE652" s="7" t="s">
        <v>8638</v>
      </c>
      <c r="BF652" s="7" t="s">
        <v>327</v>
      </c>
      <c r="BG652" s="7" t="s">
        <v>10893</v>
      </c>
      <c r="BH652" s="7" t="s">
        <v>10894</v>
      </c>
      <c r="BI652" s="19" t="s">
        <v>10895</v>
      </c>
      <c r="BJ652" s="20">
        <v>7500000</v>
      </c>
      <c r="BK652" s="21" t="s">
        <v>10896</v>
      </c>
      <c r="BL652" s="7" t="s">
        <v>10897</v>
      </c>
      <c r="BM652" s="22" t="s">
        <v>10898</v>
      </c>
      <c r="BN652" s="8" t="s">
        <v>971</v>
      </c>
      <c r="BO652" s="17">
        <v>32612</v>
      </c>
      <c r="BP652" s="17"/>
      <c r="BQ652" s="18" t="s">
        <v>10892</v>
      </c>
      <c r="BR652" s="7" t="s">
        <v>118</v>
      </c>
      <c r="BS652" s="7" t="s">
        <v>126</v>
      </c>
      <c r="BT652" s="7" t="s">
        <v>127</v>
      </c>
      <c r="BU652" s="8" t="s">
        <v>127</v>
      </c>
      <c r="BV652" s="23" t="s">
        <v>127</v>
      </c>
      <c r="BW652" s="24" t="s">
        <v>127</v>
      </c>
      <c r="BX652" s="21" t="s">
        <v>10899</v>
      </c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N652" s="25"/>
      <c r="CO652" s="25"/>
      <c r="CP652" s="25"/>
      <c r="CQ652" s="25"/>
      <c r="CR652" s="25"/>
      <c r="CS652" s="26"/>
    </row>
    <row r="653" spans="1:97" s="27" customFormat="1" ht="23.25" customHeight="1">
      <c r="A653" s="4">
        <v>513</v>
      </c>
      <c r="B653" s="6"/>
      <c r="C653" s="6"/>
      <c r="D653" s="6"/>
      <c r="E653" s="6"/>
      <c r="F653" s="6"/>
      <c r="G653" s="6"/>
      <c r="H653" s="5"/>
      <c r="I653" s="6"/>
      <c r="J653" s="7" t="s">
        <v>10409</v>
      </c>
      <c r="K653" s="7" t="s">
        <v>562</v>
      </c>
      <c r="L653" s="8"/>
      <c r="M653" s="5">
        <v>1627</v>
      </c>
      <c r="N653" s="5" t="s">
        <v>10410</v>
      </c>
      <c r="O653" s="9" t="s">
        <v>10411</v>
      </c>
      <c r="P653" s="10" t="s">
        <v>10412</v>
      </c>
      <c r="Q653" s="389" t="s">
        <v>10413</v>
      </c>
      <c r="R653" s="8" t="s">
        <v>11300</v>
      </c>
      <c r="S653" s="212" t="s">
        <v>13587</v>
      </c>
      <c r="T653" s="8" t="s">
        <v>7332</v>
      </c>
      <c r="U653" s="11" t="s">
        <v>172</v>
      </c>
      <c r="V653" s="12" t="s">
        <v>94</v>
      </c>
      <c r="W653" s="13">
        <v>42033</v>
      </c>
      <c r="X653" s="5" t="str">
        <f ca="1">""&amp;DATEDIF(W653,TODAY(),"y")&amp;" Th, "&amp;DATEDIF(W653,TODAY(),"ym")&amp;" Bln"</f>
        <v>11 Th, 7 Bln</v>
      </c>
      <c r="Y653" s="5"/>
      <c r="Z653" s="14"/>
      <c r="AA653" s="5" t="s">
        <v>96</v>
      </c>
      <c r="AB653" s="5"/>
      <c r="AC653" s="7" t="s">
        <v>10414</v>
      </c>
      <c r="AD653" s="131">
        <v>4</v>
      </c>
      <c r="AE653" s="131">
        <v>3</v>
      </c>
      <c r="AF653" s="7" t="s">
        <v>10415</v>
      </c>
      <c r="AG653" s="7" t="s">
        <v>178</v>
      </c>
      <c r="AH653" s="7" t="s">
        <v>178</v>
      </c>
      <c r="AI653" s="7"/>
      <c r="AJ653" s="7" t="s">
        <v>103</v>
      </c>
      <c r="AK653" s="7"/>
      <c r="AL653" s="7"/>
      <c r="AM653" s="15"/>
      <c r="AN653" s="15"/>
      <c r="AO653" s="8">
        <v>2</v>
      </c>
      <c r="AP653" s="8"/>
      <c r="AQ653" s="8"/>
      <c r="AR653" s="8"/>
      <c r="AS653" s="132" t="s">
        <v>10326</v>
      </c>
      <c r="AT653" s="131" t="s">
        <v>2207</v>
      </c>
      <c r="AU653" s="132"/>
      <c r="AV653" s="16"/>
      <c r="AW653" s="56"/>
      <c r="AX653" s="56"/>
      <c r="AY653" s="7" t="s">
        <v>10416</v>
      </c>
      <c r="AZ653" s="10" t="s">
        <v>10417</v>
      </c>
      <c r="BA653" s="7" t="s">
        <v>2073</v>
      </c>
      <c r="BB653" s="17">
        <v>30054</v>
      </c>
      <c r="BC653" s="17"/>
      <c r="BD653" s="18" t="s">
        <v>10418</v>
      </c>
      <c r="BE653" s="7" t="s">
        <v>10419</v>
      </c>
      <c r="BF653" s="7" t="s">
        <v>10420</v>
      </c>
      <c r="BG653" s="7" t="s">
        <v>10421</v>
      </c>
      <c r="BH653" s="7" t="s">
        <v>10422</v>
      </c>
      <c r="BI653" s="19" t="s">
        <v>10423</v>
      </c>
      <c r="BJ653" s="20" t="s">
        <v>10424</v>
      </c>
      <c r="BK653" s="21" t="s">
        <v>10425</v>
      </c>
      <c r="BL653" s="7" t="s">
        <v>10426</v>
      </c>
      <c r="BM653" s="22" t="s">
        <v>10427</v>
      </c>
      <c r="BN653" s="8" t="s">
        <v>3963</v>
      </c>
      <c r="BO653" s="17">
        <v>29703</v>
      </c>
      <c r="BP653" s="17"/>
      <c r="BQ653" s="18" t="s">
        <v>10418</v>
      </c>
      <c r="BR653" s="7" t="s">
        <v>153</v>
      </c>
      <c r="BS653" s="7" t="s">
        <v>247</v>
      </c>
      <c r="BT653" s="7" t="s">
        <v>10428</v>
      </c>
      <c r="BU653" s="8" t="s">
        <v>10429</v>
      </c>
      <c r="BV653" s="23" t="s">
        <v>10430</v>
      </c>
      <c r="BW653" s="24" t="s">
        <v>10431</v>
      </c>
      <c r="BX653" s="21" t="s">
        <v>10432</v>
      </c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N653" s="25"/>
      <c r="CO653" s="25"/>
      <c r="CP653" s="25"/>
      <c r="CQ653" s="25"/>
      <c r="CR653" s="25"/>
      <c r="CS653" s="26"/>
    </row>
    <row r="654" spans="1:97" s="27" customFormat="1" ht="21" customHeight="1">
      <c r="A654" s="4">
        <v>543</v>
      </c>
      <c r="B654" s="6"/>
      <c r="C654" s="6"/>
      <c r="D654" s="6"/>
      <c r="E654" s="6"/>
      <c r="F654" s="6"/>
      <c r="G654" s="6"/>
      <c r="H654" s="5"/>
      <c r="I654" s="6"/>
      <c r="J654" s="7" t="s">
        <v>311</v>
      </c>
      <c r="K654" s="7" t="s">
        <v>10900</v>
      </c>
      <c r="L654" s="8"/>
      <c r="M654" s="5">
        <v>1629</v>
      </c>
      <c r="N654" s="10" t="s">
        <v>11427</v>
      </c>
      <c r="O654" s="9" t="s">
        <v>10901</v>
      </c>
      <c r="P654" s="10" t="s">
        <v>10902</v>
      </c>
      <c r="Q654" s="389" t="s">
        <v>10903</v>
      </c>
      <c r="R654" s="8" t="s">
        <v>11300</v>
      </c>
      <c r="S654" s="212" t="s">
        <v>13587</v>
      </c>
      <c r="T654" s="8" t="s">
        <v>10904</v>
      </c>
      <c r="U654" s="11" t="s">
        <v>93</v>
      </c>
      <c r="V654" s="12" t="s">
        <v>603</v>
      </c>
      <c r="W654" s="13">
        <v>41762</v>
      </c>
      <c r="X654" s="5" t="str">
        <f ca="1">""&amp;DATEDIF(W654,TODAY(),"y")&amp;" Th, "&amp;DATEDIF(W654,TODAY(),"ym")&amp;" Bln"</f>
        <v>12 Th, 4 Bln</v>
      </c>
      <c r="Y654" s="5"/>
      <c r="Z654" s="14"/>
      <c r="AA654" s="5" t="s">
        <v>96</v>
      </c>
      <c r="AB654" s="5"/>
      <c r="AC654" s="7" t="s">
        <v>10905</v>
      </c>
      <c r="AD654" s="131"/>
      <c r="AE654" s="131"/>
      <c r="AF654" s="7" t="s">
        <v>177</v>
      </c>
      <c r="AG654" s="7" t="s">
        <v>178</v>
      </c>
      <c r="AH654" s="7" t="s">
        <v>178</v>
      </c>
      <c r="AI654" s="7"/>
      <c r="AJ654" s="7" t="s">
        <v>103</v>
      </c>
      <c r="AK654" s="7"/>
      <c r="AL654" s="7"/>
      <c r="AM654" s="15" t="s">
        <v>2000</v>
      </c>
      <c r="AN654" s="15"/>
      <c r="AO654" s="8">
        <v>1</v>
      </c>
      <c r="AP654" s="8"/>
      <c r="AQ654" s="8"/>
      <c r="AR654" s="8"/>
      <c r="AS654" s="132" t="s">
        <v>2694</v>
      </c>
      <c r="AT654" s="131" t="s">
        <v>3150</v>
      </c>
      <c r="AU654" s="132"/>
      <c r="AV654" s="16"/>
      <c r="AW654" s="56"/>
      <c r="AX654" s="56"/>
      <c r="AY654" s="7" t="s">
        <v>10906</v>
      </c>
      <c r="AZ654" s="10" t="s">
        <v>10907</v>
      </c>
      <c r="BA654" s="7" t="s">
        <v>2004</v>
      </c>
      <c r="BB654" s="17">
        <v>31750</v>
      </c>
      <c r="BC654" s="17"/>
      <c r="BD654" s="18" t="s">
        <v>2001</v>
      </c>
      <c r="BE654" s="7" t="s">
        <v>118</v>
      </c>
      <c r="BF654" s="7" t="s">
        <v>276</v>
      </c>
      <c r="BG654" s="7" t="s">
        <v>2006</v>
      </c>
      <c r="BH654" s="7" t="s">
        <v>10908</v>
      </c>
      <c r="BI654" s="19" t="s">
        <v>784</v>
      </c>
      <c r="BJ654" s="20">
        <v>10000000</v>
      </c>
      <c r="BK654" s="21" t="s">
        <v>2009</v>
      </c>
      <c r="BL654" s="7" t="s">
        <v>10909</v>
      </c>
      <c r="BM654" s="22" t="s">
        <v>10910</v>
      </c>
      <c r="BN654" s="8" t="s">
        <v>603</v>
      </c>
      <c r="BO654" s="17">
        <v>31750</v>
      </c>
      <c r="BP654" s="17"/>
      <c r="BQ654" s="18" t="s">
        <v>2001</v>
      </c>
      <c r="BR654" s="7" t="s">
        <v>118</v>
      </c>
      <c r="BS654" s="7" t="s">
        <v>247</v>
      </c>
      <c r="BT654" s="7" t="s">
        <v>10911</v>
      </c>
      <c r="BU654" s="8" t="s">
        <v>10912</v>
      </c>
      <c r="BV654" s="23" t="s">
        <v>10913</v>
      </c>
      <c r="BW654" s="24">
        <v>3000000</v>
      </c>
      <c r="BX654" s="21" t="s">
        <v>2014</v>
      </c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N654" s="25"/>
      <c r="CO654" s="25"/>
      <c r="CP654" s="25"/>
      <c r="CQ654" s="25"/>
      <c r="CR654" s="25"/>
      <c r="CS654" s="26"/>
    </row>
    <row r="655" spans="1:97" s="27" customFormat="1" ht="23.25" customHeight="1">
      <c r="A655" s="180">
        <v>515</v>
      </c>
      <c r="B655" s="181"/>
      <c r="C655" s="181"/>
      <c r="D655" s="181"/>
      <c r="E655" s="181"/>
      <c r="F655" s="181"/>
      <c r="G655" s="181"/>
      <c r="H655" s="99"/>
      <c r="I655" s="181"/>
      <c r="J655" s="182" t="s">
        <v>10449</v>
      </c>
      <c r="K655" s="182" t="s">
        <v>10450</v>
      </c>
      <c r="L655" s="183"/>
      <c r="M655" s="99">
        <v>1630</v>
      </c>
      <c r="N655" s="99" t="s">
        <v>10451</v>
      </c>
      <c r="O655" s="230" t="s">
        <v>4882</v>
      </c>
      <c r="P655" s="184" t="s">
        <v>10452</v>
      </c>
      <c r="Q655" s="393" t="s">
        <v>10453</v>
      </c>
      <c r="R655" s="8" t="s">
        <v>11300</v>
      </c>
      <c r="S655" s="212" t="s">
        <v>13587</v>
      </c>
      <c r="T655" s="183" t="s">
        <v>10454</v>
      </c>
      <c r="U655" s="185" t="s">
        <v>93</v>
      </c>
      <c r="V655" s="186" t="s">
        <v>395</v>
      </c>
      <c r="W655" s="187">
        <v>41957</v>
      </c>
      <c r="X655" s="99" t="str">
        <f ca="1">""&amp;DATEDIF(W655,TODAY(),"y")&amp;" Th, "&amp;DATEDIF(W655,TODAY(),"ym")&amp;" Bln"</f>
        <v>11 Th, 10 Bln</v>
      </c>
      <c r="Y655" s="99"/>
      <c r="Z655" s="188"/>
      <c r="AA655" s="99" t="s">
        <v>96</v>
      </c>
      <c r="AB655" s="99"/>
      <c r="AC655" s="182" t="s">
        <v>10455</v>
      </c>
      <c r="AD655" s="189"/>
      <c r="AE655" s="189"/>
      <c r="AF655" s="182" t="s">
        <v>993</v>
      </c>
      <c r="AG655" s="182" t="s">
        <v>994</v>
      </c>
      <c r="AH655" s="182" t="s">
        <v>141</v>
      </c>
      <c r="AI655" s="182"/>
      <c r="AJ655" s="182" t="s">
        <v>2024</v>
      </c>
      <c r="AK655" s="182"/>
      <c r="AL655" s="182"/>
      <c r="AM655" s="190"/>
      <c r="AN655" s="190"/>
      <c r="AO655" s="183">
        <v>1</v>
      </c>
      <c r="AP655" s="183"/>
      <c r="AQ655" s="183"/>
      <c r="AR655" s="183"/>
      <c r="AS655" s="191" t="s">
        <v>800</v>
      </c>
      <c r="AT655" s="189" t="s">
        <v>7421</v>
      </c>
      <c r="AU655" s="191"/>
      <c r="AV655" s="192"/>
      <c r="AW655" s="193"/>
      <c r="AX655" s="193"/>
      <c r="AY655" s="182" t="s">
        <v>4890</v>
      </c>
      <c r="AZ655" s="184" t="s">
        <v>4891</v>
      </c>
      <c r="BA655" s="182" t="s">
        <v>395</v>
      </c>
      <c r="BB655" s="195">
        <v>32456</v>
      </c>
      <c r="BC655" s="195"/>
      <c r="BD655" s="196" t="s">
        <v>4889</v>
      </c>
      <c r="BE655" s="182" t="s">
        <v>2193</v>
      </c>
      <c r="BF655" s="182" t="s">
        <v>1571</v>
      </c>
      <c r="BG655" s="182" t="s">
        <v>4893</v>
      </c>
      <c r="BH655" s="182" t="s">
        <v>10456</v>
      </c>
      <c r="BI655" s="197" t="s">
        <v>10457</v>
      </c>
      <c r="BJ655" s="198">
        <v>7000000</v>
      </c>
      <c r="BK655" s="199" t="s">
        <v>4895</v>
      </c>
      <c r="BL655" s="182" t="s">
        <v>4896</v>
      </c>
      <c r="BM655" s="200" t="s">
        <v>4897</v>
      </c>
      <c r="BN655" s="183" t="s">
        <v>94</v>
      </c>
      <c r="BO655" s="195">
        <v>33209</v>
      </c>
      <c r="BP655" s="195"/>
      <c r="BQ655" s="196" t="s">
        <v>4889</v>
      </c>
      <c r="BR655" s="182" t="s">
        <v>2193</v>
      </c>
      <c r="BS655" s="182" t="s">
        <v>126</v>
      </c>
      <c r="BT655" s="182" t="s">
        <v>6077</v>
      </c>
      <c r="BU655" s="183" t="s">
        <v>6077</v>
      </c>
      <c r="BV655" s="202" t="s">
        <v>6077</v>
      </c>
      <c r="BW655" s="203" t="s">
        <v>127</v>
      </c>
      <c r="BX655" s="199" t="s">
        <v>4899</v>
      </c>
      <c r="BY655" s="199"/>
      <c r="BZ655" s="199"/>
      <c r="CA655" s="199"/>
      <c r="CB655" s="199"/>
      <c r="CC655" s="199"/>
      <c r="CD655" s="199"/>
      <c r="CE655" s="199"/>
      <c r="CF655" s="199"/>
      <c r="CG655" s="199"/>
      <c r="CH655" s="199"/>
      <c r="CI655" s="199"/>
      <c r="CJ655" s="199"/>
      <c r="CK655" s="199"/>
      <c r="CL655" s="199"/>
      <c r="CN655" s="25"/>
      <c r="CO655" s="25"/>
      <c r="CP655" s="25"/>
      <c r="CQ655" s="25"/>
      <c r="CR655" s="25"/>
      <c r="CS655" s="26"/>
    </row>
    <row r="656" spans="1:97" s="288" customFormat="1" ht="21" customHeight="1">
      <c r="H656" s="304">
        <v>46181</v>
      </c>
      <c r="I656" s="288" t="s">
        <v>4774</v>
      </c>
      <c r="J656" s="288" t="s">
        <v>13266</v>
      </c>
      <c r="K656" s="288" t="s">
        <v>13267</v>
      </c>
      <c r="M656" s="288">
        <v>2329</v>
      </c>
      <c r="N656" s="288">
        <v>3156356993</v>
      </c>
      <c r="O656" s="301" t="s">
        <v>13268</v>
      </c>
      <c r="P656" s="301" t="s">
        <v>13269</v>
      </c>
      <c r="Q656" s="395" t="s">
        <v>12154</v>
      </c>
      <c r="R656" s="48" t="s">
        <v>11300</v>
      </c>
      <c r="S656" s="212" t="s">
        <v>13587</v>
      </c>
      <c r="T656" s="288" t="s">
        <v>13270</v>
      </c>
      <c r="U656" s="288" t="s">
        <v>93</v>
      </c>
      <c r="V656" s="288" t="s">
        <v>13271</v>
      </c>
      <c r="W656" s="304">
        <v>42073</v>
      </c>
      <c r="X656" s="288" t="str">
        <f ca="1">""&amp;DATEDIF(W656,TODAY(),"y")&amp;" Th, "&amp;DATEDIF(W656,TODAY(),"ym")&amp;" Bln"</f>
        <v>11 Th, 6 Bln</v>
      </c>
      <c r="AA656" s="288" t="s">
        <v>13272</v>
      </c>
      <c r="AC656" s="292" t="s">
        <v>13273</v>
      </c>
      <c r="AD656" s="288">
        <v>7</v>
      </c>
      <c r="AE656" s="288">
        <v>10</v>
      </c>
      <c r="AF656" s="288" t="s">
        <v>2359</v>
      </c>
      <c r="AG656" s="288" t="s">
        <v>241</v>
      </c>
      <c r="AH656" s="288" t="s">
        <v>241</v>
      </c>
      <c r="AJ656" s="288" t="s">
        <v>103</v>
      </c>
      <c r="AO656" s="288">
        <v>2</v>
      </c>
      <c r="AY656" s="292" t="s">
        <v>13275</v>
      </c>
      <c r="AZ656" s="301" t="s">
        <v>13274</v>
      </c>
      <c r="BA656" s="288" t="s">
        <v>395</v>
      </c>
      <c r="BB656" s="289">
        <v>29814</v>
      </c>
      <c r="BD656" s="301" t="s">
        <v>13276</v>
      </c>
      <c r="BE656" s="288" t="s">
        <v>153</v>
      </c>
      <c r="BF656" s="288" t="s">
        <v>4134</v>
      </c>
      <c r="BG656" s="288" t="s">
        <v>13277</v>
      </c>
      <c r="BH656" s="288" t="s">
        <v>13278</v>
      </c>
      <c r="BI656" s="301" t="s">
        <v>13276</v>
      </c>
      <c r="BJ656" s="306">
        <v>10000000</v>
      </c>
      <c r="BK656" s="308" t="s">
        <v>13279</v>
      </c>
      <c r="BL656" s="290" t="s">
        <v>13280</v>
      </c>
      <c r="BM656" s="301" t="s">
        <v>13281</v>
      </c>
      <c r="BN656" s="288" t="s">
        <v>13271</v>
      </c>
      <c r="BO656" s="289">
        <v>33373</v>
      </c>
      <c r="BQ656" s="301" t="s">
        <v>13282</v>
      </c>
      <c r="BR656" s="288" t="s">
        <v>216</v>
      </c>
      <c r="BS656" s="292" t="s">
        <v>582</v>
      </c>
    </row>
    <row r="657" spans="1:97" s="27" customFormat="1" ht="23.25" customHeight="1">
      <c r="A657" s="4">
        <v>462</v>
      </c>
      <c r="B657" s="61"/>
      <c r="C657" s="61"/>
      <c r="D657" s="61"/>
      <c r="E657" s="61"/>
      <c r="F657" s="61"/>
      <c r="G657" s="61"/>
      <c r="H657" s="62" t="s">
        <v>5048</v>
      </c>
      <c r="I657" s="61" t="s">
        <v>4774</v>
      </c>
      <c r="J657" s="63" t="s">
        <v>9601</v>
      </c>
      <c r="K657" s="63" t="s">
        <v>9602</v>
      </c>
      <c r="L657" s="64"/>
      <c r="M657" s="62">
        <v>2066</v>
      </c>
      <c r="N657" s="62" t="s">
        <v>9603</v>
      </c>
      <c r="O657" s="65" t="s">
        <v>9604</v>
      </c>
      <c r="P657" s="66" t="s">
        <v>9605</v>
      </c>
      <c r="Q657" s="391" t="s">
        <v>9606</v>
      </c>
      <c r="R657" s="8" t="s">
        <v>11300</v>
      </c>
      <c r="S657" s="212" t="s">
        <v>13587</v>
      </c>
      <c r="T657" s="64" t="s">
        <v>9607</v>
      </c>
      <c r="U657" s="67" t="s">
        <v>172</v>
      </c>
      <c r="V657" s="68" t="s">
        <v>7396</v>
      </c>
      <c r="W657" s="69">
        <v>41580</v>
      </c>
      <c r="X657" s="62" t="str">
        <f ca="1">""&amp;DATEDIF(Z657,TODAY(),"y")&amp;" Th, "&amp;DATEDIF(Z657,TODAY(),"ym")&amp;" Bln"</f>
        <v>12 Th, 10 Bln</v>
      </c>
      <c r="Y657" s="62"/>
      <c r="Z657" s="14">
        <v>41580</v>
      </c>
      <c r="AA657" s="62" t="s">
        <v>96</v>
      </c>
      <c r="AB657" s="62"/>
      <c r="AC657" s="70" t="s">
        <v>9608</v>
      </c>
      <c r="AD657" s="133">
        <v>1</v>
      </c>
      <c r="AE657" s="64">
        <v>11</v>
      </c>
      <c r="AF657" s="63" t="s">
        <v>521</v>
      </c>
      <c r="AG657" s="63" t="s">
        <v>547</v>
      </c>
      <c r="AH657" s="63" t="s">
        <v>178</v>
      </c>
      <c r="AI657" s="63"/>
      <c r="AJ657" s="63" t="s">
        <v>568</v>
      </c>
      <c r="AK657" s="63"/>
      <c r="AL657" s="71">
        <v>2</v>
      </c>
      <c r="AM657" s="71"/>
      <c r="AN657" s="72"/>
      <c r="AO657" s="64">
        <v>2</v>
      </c>
      <c r="AP657" s="64">
        <v>1</v>
      </c>
      <c r="AQ657" s="64"/>
      <c r="AR657" s="134"/>
      <c r="AS657" s="133">
        <v>80</v>
      </c>
      <c r="AT657" s="134">
        <v>125</v>
      </c>
      <c r="AU657" s="134" t="s">
        <v>149</v>
      </c>
      <c r="AV657" s="73"/>
      <c r="AW657" s="135"/>
      <c r="AX657" s="63"/>
      <c r="AY657" s="74" t="s">
        <v>9609</v>
      </c>
      <c r="AZ657" s="63" t="s">
        <v>9610</v>
      </c>
      <c r="BA657" s="75" t="s">
        <v>3883</v>
      </c>
      <c r="BB657" s="75" t="s">
        <v>9611</v>
      </c>
      <c r="BC657" s="76" t="s">
        <v>737</v>
      </c>
      <c r="BD657" s="77" t="s">
        <v>9612</v>
      </c>
      <c r="BE657" s="63" t="s">
        <v>118</v>
      </c>
      <c r="BF657" s="63" t="s">
        <v>6328</v>
      </c>
      <c r="BG657" s="63" t="s">
        <v>9613</v>
      </c>
      <c r="BH657" s="78" t="s">
        <v>9614</v>
      </c>
      <c r="BI657" s="79"/>
      <c r="BJ657" s="80">
        <v>20000000</v>
      </c>
      <c r="BK657" s="81" t="s">
        <v>9615</v>
      </c>
      <c r="BL657" s="82" t="s">
        <v>9616</v>
      </c>
      <c r="BM657" s="77" t="s">
        <v>9617</v>
      </c>
      <c r="BN657" s="145" t="s">
        <v>544</v>
      </c>
      <c r="BO657" s="75" t="s">
        <v>9618</v>
      </c>
      <c r="BP657" s="76" t="s">
        <v>737</v>
      </c>
      <c r="BQ657" s="77" t="s">
        <v>9619</v>
      </c>
      <c r="BR657" s="63" t="s">
        <v>7064</v>
      </c>
      <c r="BS657" s="63" t="s">
        <v>582</v>
      </c>
      <c r="BT657" s="64"/>
      <c r="BU657" s="64"/>
      <c r="BV657" s="79"/>
      <c r="BW657" s="83"/>
      <c r="BX657" s="83" t="s">
        <v>9620</v>
      </c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4"/>
      <c r="CN657" s="25"/>
      <c r="CO657" s="25"/>
      <c r="CP657" s="25"/>
      <c r="CQ657" s="25"/>
      <c r="CR657" s="25"/>
      <c r="CS657" s="26"/>
    </row>
    <row r="658" spans="1:97" s="119" customFormat="1" ht="23.25" customHeight="1">
      <c r="A658" s="4">
        <v>516</v>
      </c>
      <c r="B658" s="6"/>
      <c r="C658" s="6"/>
      <c r="D658" s="6"/>
      <c r="E658" s="6"/>
      <c r="F658" s="6"/>
      <c r="G658" s="6"/>
      <c r="H658" s="5"/>
      <c r="I658" s="6"/>
      <c r="J658" s="7" t="s">
        <v>10458</v>
      </c>
      <c r="K658" s="7" t="s">
        <v>10459</v>
      </c>
      <c r="L658" s="8"/>
      <c r="M658" s="5">
        <v>1634</v>
      </c>
      <c r="N658" s="5" t="s">
        <v>10460</v>
      </c>
      <c r="O658" s="9" t="s">
        <v>10461</v>
      </c>
      <c r="P658" s="10" t="s">
        <v>10462</v>
      </c>
      <c r="Q658" s="389" t="s">
        <v>10463</v>
      </c>
      <c r="R658" s="8" t="s">
        <v>11300</v>
      </c>
      <c r="S658" s="212" t="s">
        <v>13587</v>
      </c>
      <c r="T658" s="8" t="s">
        <v>10464</v>
      </c>
      <c r="U658" s="11" t="s">
        <v>93</v>
      </c>
      <c r="V658" s="12" t="s">
        <v>94</v>
      </c>
      <c r="W658" s="13">
        <v>41915</v>
      </c>
      <c r="X658" s="5" t="str">
        <f t="shared" ref="X658:X665" ca="1" si="28">""&amp;DATEDIF(W658,TODAY(),"y")&amp;" Th, "&amp;DATEDIF(W658,TODAY(),"ym")&amp;" Bln"</f>
        <v>11 Th, 11 Bln</v>
      </c>
      <c r="Y658" s="5"/>
      <c r="Z658" s="14"/>
      <c r="AA658" s="5" t="s">
        <v>96</v>
      </c>
      <c r="AB658" s="5"/>
      <c r="AC658" s="7" t="s">
        <v>10465</v>
      </c>
      <c r="AD658" s="131">
        <v>4</v>
      </c>
      <c r="AE658" s="131">
        <v>6</v>
      </c>
      <c r="AF658" s="7" t="s">
        <v>942</v>
      </c>
      <c r="AG658" s="7" t="s">
        <v>178</v>
      </c>
      <c r="AH658" s="7" t="s">
        <v>178</v>
      </c>
      <c r="AI658" s="7"/>
      <c r="AJ658" s="7" t="s">
        <v>103</v>
      </c>
      <c r="AK658" s="7"/>
      <c r="AL658" s="7"/>
      <c r="AM658" s="15" t="s">
        <v>127</v>
      </c>
      <c r="AN658" s="15"/>
      <c r="AO658" s="8">
        <v>2</v>
      </c>
      <c r="AP658" s="8"/>
      <c r="AQ658" s="8"/>
      <c r="AR658" s="8"/>
      <c r="AS658" s="132" t="s">
        <v>800</v>
      </c>
      <c r="AT658" s="131" t="s">
        <v>4739</v>
      </c>
      <c r="AU658" s="132"/>
      <c r="AV658" s="16"/>
      <c r="AW658" s="56"/>
      <c r="AX658" s="56"/>
      <c r="AY658" s="7" t="s">
        <v>10466</v>
      </c>
      <c r="AZ658" s="10" t="s">
        <v>10467</v>
      </c>
      <c r="BA658" s="7" t="s">
        <v>1892</v>
      </c>
      <c r="BB658" s="17">
        <v>30652</v>
      </c>
      <c r="BC658" s="17"/>
      <c r="BD658" s="18" t="s">
        <v>10468</v>
      </c>
      <c r="BE658" s="7" t="s">
        <v>10469</v>
      </c>
      <c r="BF658" s="7" t="s">
        <v>1525</v>
      </c>
      <c r="BG658" s="7" t="s">
        <v>10470</v>
      </c>
      <c r="BH658" s="7" t="s">
        <v>10471</v>
      </c>
      <c r="BI658" s="19" t="s">
        <v>127</v>
      </c>
      <c r="BJ658" s="20">
        <v>15000000</v>
      </c>
      <c r="BK658" s="21" t="s">
        <v>10472</v>
      </c>
      <c r="BL658" s="7" t="s">
        <v>10473</v>
      </c>
      <c r="BM658" s="22" t="s">
        <v>10474</v>
      </c>
      <c r="BN658" s="8" t="s">
        <v>603</v>
      </c>
      <c r="BO658" s="17">
        <v>30754</v>
      </c>
      <c r="BP658" s="17"/>
      <c r="BQ658" s="18" t="s">
        <v>10475</v>
      </c>
      <c r="BR658" s="7" t="s">
        <v>10469</v>
      </c>
      <c r="BS658" s="7" t="s">
        <v>126</v>
      </c>
      <c r="BT658" s="7" t="s">
        <v>127</v>
      </c>
      <c r="BU658" s="8" t="s">
        <v>127</v>
      </c>
      <c r="BV658" s="23" t="s">
        <v>127</v>
      </c>
      <c r="BW658" s="24" t="s">
        <v>127</v>
      </c>
      <c r="BX658" s="21" t="s">
        <v>10476</v>
      </c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N658" s="117"/>
      <c r="CO658" s="117"/>
      <c r="CP658" s="117"/>
      <c r="CQ658" s="117"/>
      <c r="CR658" s="117"/>
      <c r="CS658" s="118"/>
    </row>
    <row r="659" spans="1:97" s="27" customFormat="1" ht="23.25" customHeight="1">
      <c r="A659" s="4">
        <v>492</v>
      </c>
      <c r="B659" s="6"/>
      <c r="C659" s="6"/>
      <c r="D659" s="6"/>
      <c r="E659" s="6"/>
      <c r="F659" s="6"/>
      <c r="G659" s="6"/>
      <c r="H659" s="5"/>
      <c r="I659" s="6"/>
      <c r="J659" s="7" t="s">
        <v>10111</v>
      </c>
      <c r="K659" s="7" t="s">
        <v>10112</v>
      </c>
      <c r="L659" s="8"/>
      <c r="M659" s="5">
        <v>1635</v>
      </c>
      <c r="N659" s="5">
        <v>3141421881</v>
      </c>
      <c r="O659" s="9" t="s">
        <v>10113</v>
      </c>
      <c r="P659" s="10" t="s">
        <v>10114</v>
      </c>
      <c r="Q659" s="389" t="s">
        <v>10115</v>
      </c>
      <c r="R659" s="8" t="s">
        <v>11300</v>
      </c>
      <c r="S659" s="212" t="s">
        <v>13587</v>
      </c>
      <c r="T659" s="8" t="s">
        <v>10116</v>
      </c>
      <c r="U659" s="11" t="s">
        <v>172</v>
      </c>
      <c r="V659" s="12" t="s">
        <v>94</v>
      </c>
      <c r="W659" s="13">
        <v>41967</v>
      </c>
      <c r="X659" s="5" t="str">
        <f t="shared" ca="1" si="28"/>
        <v>11 Th, 9 Bln</v>
      </c>
      <c r="Y659" s="5"/>
      <c r="Z659" s="14"/>
      <c r="AA659" s="5" t="s">
        <v>96</v>
      </c>
      <c r="AB659" s="5"/>
      <c r="AC659" s="7" t="s">
        <v>10117</v>
      </c>
      <c r="AD659" s="131">
        <v>10</v>
      </c>
      <c r="AE659" s="131">
        <v>15</v>
      </c>
      <c r="AF659" s="7" t="s">
        <v>2826</v>
      </c>
      <c r="AG659" s="7" t="s">
        <v>410</v>
      </c>
      <c r="AH659" s="7" t="s">
        <v>141</v>
      </c>
      <c r="AI659" s="7"/>
      <c r="AJ659" s="7" t="s">
        <v>142</v>
      </c>
      <c r="AK659" s="7"/>
      <c r="AL659" s="7"/>
      <c r="AM659" s="15"/>
      <c r="AN659" s="15"/>
      <c r="AO659" s="8"/>
      <c r="AP659" s="8"/>
      <c r="AQ659" s="8"/>
      <c r="AR659" s="8"/>
      <c r="AS659" s="132" t="s">
        <v>108</v>
      </c>
      <c r="AT659" s="131" t="s">
        <v>108</v>
      </c>
      <c r="AU659" s="132"/>
      <c r="AV659" s="16"/>
      <c r="AW659" s="56"/>
      <c r="AX659" s="56"/>
      <c r="AY659" s="7" t="s">
        <v>10118</v>
      </c>
      <c r="AZ659" s="10"/>
      <c r="BA659" s="7" t="s">
        <v>108</v>
      </c>
      <c r="BB659" s="17"/>
      <c r="BC659" s="17"/>
      <c r="BD659" s="18"/>
      <c r="BE659" s="7" t="s">
        <v>108</v>
      </c>
      <c r="BF659" s="7" t="s">
        <v>108</v>
      </c>
      <c r="BG659" s="7" t="s">
        <v>108</v>
      </c>
      <c r="BH659" s="7" t="s">
        <v>108</v>
      </c>
      <c r="BI659" s="19"/>
      <c r="BJ659" s="20"/>
      <c r="BK659" s="21"/>
      <c r="BL659" s="7" t="s">
        <v>10119</v>
      </c>
      <c r="BM659" s="22" t="s">
        <v>10120</v>
      </c>
      <c r="BN659" s="8" t="s">
        <v>10121</v>
      </c>
      <c r="BO659" s="17">
        <v>32822</v>
      </c>
      <c r="BP659" s="17"/>
      <c r="BQ659" s="18"/>
      <c r="BR659" s="7" t="s">
        <v>10122</v>
      </c>
      <c r="BS659" s="7" t="s">
        <v>6871</v>
      </c>
      <c r="BT659" s="7" t="s">
        <v>108</v>
      </c>
      <c r="BU659" s="8" t="s">
        <v>108</v>
      </c>
      <c r="BV659" s="23"/>
      <c r="BW659" s="24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N659" s="25"/>
      <c r="CO659" s="25"/>
      <c r="CP659" s="25"/>
      <c r="CQ659" s="25"/>
      <c r="CR659" s="25"/>
      <c r="CS659" s="26"/>
    </row>
    <row r="660" spans="1:97" s="27" customFormat="1" ht="21" customHeight="1">
      <c r="A660" s="4">
        <v>545</v>
      </c>
      <c r="B660" s="6"/>
      <c r="C660" s="6"/>
      <c r="D660" s="6"/>
      <c r="E660" s="6"/>
      <c r="F660" s="6"/>
      <c r="G660" s="6"/>
      <c r="H660" s="5"/>
      <c r="I660" s="6"/>
      <c r="J660" s="7" t="s">
        <v>10929</v>
      </c>
      <c r="K660" s="7" t="s">
        <v>10930</v>
      </c>
      <c r="L660" s="8"/>
      <c r="M660" s="5">
        <v>1638</v>
      </c>
      <c r="N660" s="5">
        <v>3144200855</v>
      </c>
      <c r="O660" s="9" t="s">
        <v>5272</v>
      </c>
      <c r="P660" s="10" t="s">
        <v>10931</v>
      </c>
      <c r="Q660" s="389" t="s">
        <v>10932</v>
      </c>
      <c r="R660" s="8" t="s">
        <v>11300</v>
      </c>
      <c r="S660" s="212" t="s">
        <v>13587</v>
      </c>
      <c r="T660" s="8" t="s">
        <v>10933</v>
      </c>
      <c r="U660" s="11" t="s">
        <v>93</v>
      </c>
      <c r="V660" s="12" t="s">
        <v>3761</v>
      </c>
      <c r="W660" s="13">
        <v>41989</v>
      </c>
      <c r="X660" s="5" t="str">
        <f t="shared" ca="1" si="28"/>
        <v>11 Th, 9 Bln</v>
      </c>
      <c r="Y660" s="5"/>
      <c r="Z660" s="14"/>
      <c r="AA660" s="5" t="s">
        <v>96</v>
      </c>
      <c r="AB660" s="5"/>
      <c r="AC660" s="7" t="s">
        <v>10934</v>
      </c>
      <c r="AD660" s="131"/>
      <c r="AE660" s="131"/>
      <c r="AF660" s="7" t="s">
        <v>5277</v>
      </c>
      <c r="AG660" s="7" t="s">
        <v>3503</v>
      </c>
      <c r="AH660" s="7" t="s">
        <v>141</v>
      </c>
      <c r="AI660" s="7"/>
      <c r="AJ660" s="7" t="s">
        <v>142</v>
      </c>
      <c r="AK660" s="7"/>
      <c r="AL660" s="7"/>
      <c r="AM660" s="15"/>
      <c r="AN660" s="15"/>
      <c r="AO660" s="8">
        <v>1</v>
      </c>
      <c r="AP660" s="8"/>
      <c r="AQ660" s="8"/>
      <c r="AR660" s="8"/>
      <c r="AS660" s="132" t="s">
        <v>3998</v>
      </c>
      <c r="AT660" s="131" t="s">
        <v>2894</v>
      </c>
      <c r="AU660" s="132"/>
      <c r="AV660" s="16"/>
      <c r="AW660" s="56"/>
      <c r="AX660" s="56"/>
      <c r="AY660" s="7" t="s">
        <v>5280</v>
      </c>
      <c r="AZ660" s="10" t="s">
        <v>5281</v>
      </c>
      <c r="BA660" s="7" t="s">
        <v>5282</v>
      </c>
      <c r="BB660" s="17">
        <v>31929</v>
      </c>
      <c r="BC660" s="17"/>
      <c r="BD660" s="18" t="s">
        <v>5283</v>
      </c>
      <c r="BE660" s="7" t="s">
        <v>118</v>
      </c>
      <c r="BF660" s="7" t="s">
        <v>119</v>
      </c>
      <c r="BG660" s="7" t="s">
        <v>120</v>
      </c>
      <c r="BH660" s="7" t="s">
        <v>10935</v>
      </c>
      <c r="BI660" s="19" t="s">
        <v>10936</v>
      </c>
      <c r="BJ660" s="20">
        <v>10000000</v>
      </c>
      <c r="BK660" s="21" t="s">
        <v>10937</v>
      </c>
      <c r="BL660" s="7" t="s">
        <v>5287</v>
      </c>
      <c r="BM660" s="22" t="s">
        <v>5288</v>
      </c>
      <c r="BN660" s="8" t="s">
        <v>3761</v>
      </c>
      <c r="BO660" s="17">
        <v>31803</v>
      </c>
      <c r="BP660" s="17"/>
      <c r="BQ660" s="18" t="s">
        <v>5279</v>
      </c>
      <c r="BR660" s="7" t="s">
        <v>118</v>
      </c>
      <c r="BS660" s="7" t="s">
        <v>126</v>
      </c>
      <c r="BT660" s="7" t="s">
        <v>127</v>
      </c>
      <c r="BU660" s="8" t="s">
        <v>127</v>
      </c>
      <c r="BV660" s="23" t="s">
        <v>127</v>
      </c>
      <c r="BW660" s="24" t="s">
        <v>127</v>
      </c>
      <c r="BX660" s="21" t="s">
        <v>5290</v>
      </c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N660" s="25"/>
      <c r="CO660" s="25"/>
      <c r="CP660" s="25"/>
      <c r="CQ660" s="25"/>
      <c r="CR660" s="25"/>
      <c r="CS660" s="26"/>
    </row>
    <row r="661" spans="1:97" s="27" customFormat="1" ht="23.25" customHeight="1">
      <c r="A661" s="4">
        <v>519</v>
      </c>
      <c r="B661" s="6"/>
      <c r="C661" s="6"/>
      <c r="D661" s="6"/>
      <c r="E661" s="6"/>
      <c r="F661" s="6"/>
      <c r="G661" s="6"/>
      <c r="H661" s="5"/>
      <c r="I661" s="6"/>
      <c r="J661" s="7" t="s">
        <v>10506</v>
      </c>
      <c r="K661" s="7" t="s">
        <v>5258</v>
      </c>
      <c r="L661" s="8"/>
      <c r="M661" s="5">
        <v>1640</v>
      </c>
      <c r="N661" s="5" t="s">
        <v>10507</v>
      </c>
      <c r="O661" s="9" t="s">
        <v>10508</v>
      </c>
      <c r="P661" s="10" t="s">
        <v>10509</v>
      </c>
      <c r="Q661" s="389" t="s">
        <v>10510</v>
      </c>
      <c r="R661" s="8" t="s">
        <v>11300</v>
      </c>
      <c r="S661" s="212" t="s">
        <v>13587</v>
      </c>
      <c r="T661" s="8" t="s">
        <v>10511</v>
      </c>
      <c r="U661" s="11" t="s">
        <v>172</v>
      </c>
      <c r="V661" s="12" t="s">
        <v>94</v>
      </c>
      <c r="W661" s="13">
        <v>41642</v>
      </c>
      <c r="X661" s="5" t="str">
        <f t="shared" ca="1" si="28"/>
        <v>12 Th, 8 Bln</v>
      </c>
      <c r="Y661" s="5"/>
      <c r="Z661" s="14"/>
      <c r="AA661" s="5" t="s">
        <v>96</v>
      </c>
      <c r="AB661" s="5"/>
      <c r="AC661" s="7" t="s">
        <v>10512</v>
      </c>
      <c r="AD661" s="131">
        <v>4</v>
      </c>
      <c r="AE661" s="131">
        <v>9</v>
      </c>
      <c r="AF661" s="7" t="s">
        <v>615</v>
      </c>
      <c r="AG661" s="7" t="s">
        <v>178</v>
      </c>
      <c r="AH661" s="7" t="s">
        <v>178</v>
      </c>
      <c r="AI661" s="7"/>
      <c r="AJ661" s="7" t="s">
        <v>103</v>
      </c>
      <c r="AK661" s="7"/>
      <c r="AL661" s="7"/>
      <c r="AM661" s="15"/>
      <c r="AN661" s="15"/>
      <c r="AO661" s="8" t="s">
        <v>10513</v>
      </c>
      <c r="AP661" s="8"/>
      <c r="AQ661" s="8"/>
      <c r="AR661" s="8"/>
      <c r="AS661" s="132" t="s">
        <v>2958</v>
      </c>
      <c r="AT661" s="131" t="s">
        <v>10514</v>
      </c>
      <c r="AU661" s="132"/>
      <c r="AV661" s="16"/>
      <c r="AW661" s="56"/>
      <c r="AX661" s="56"/>
      <c r="AY661" s="7" t="s">
        <v>10515</v>
      </c>
      <c r="AZ661" s="10" t="s">
        <v>10516</v>
      </c>
      <c r="BA661" s="7" t="s">
        <v>94</v>
      </c>
      <c r="BB661" s="17">
        <v>30501</v>
      </c>
      <c r="BC661" s="17"/>
      <c r="BD661" s="18" t="s">
        <v>10517</v>
      </c>
      <c r="BE661" s="7" t="s">
        <v>4783</v>
      </c>
      <c r="BF661" s="7" t="s">
        <v>276</v>
      </c>
      <c r="BG661" s="7" t="s">
        <v>7087</v>
      </c>
      <c r="BH661" s="7" t="s">
        <v>10518</v>
      </c>
      <c r="BI661" s="19" t="s">
        <v>10519</v>
      </c>
      <c r="BJ661" s="20">
        <v>10000000</v>
      </c>
      <c r="BK661" s="21" t="s">
        <v>10520</v>
      </c>
      <c r="BL661" s="7" t="s">
        <v>10521</v>
      </c>
      <c r="BM661" s="22" t="s">
        <v>10522</v>
      </c>
      <c r="BN661" s="8" t="s">
        <v>94</v>
      </c>
      <c r="BO661" s="17">
        <v>31605</v>
      </c>
      <c r="BP661" s="17"/>
      <c r="BQ661" s="18" t="s">
        <v>10523</v>
      </c>
      <c r="BR661" s="7" t="s">
        <v>4783</v>
      </c>
      <c r="BS661" s="7" t="s">
        <v>126</v>
      </c>
      <c r="BT661" s="7" t="s">
        <v>127</v>
      </c>
      <c r="BU661" s="8" t="s">
        <v>127</v>
      </c>
      <c r="BV661" s="23" t="s">
        <v>127</v>
      </c>
      <c r="BW661" s="24" t="s">
        <v>127</v>
      </c>
      <c r="BX661" s="21" t="s">
        <v>10524</v>
      </c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N661" s="25"/>
      <c r="CO661" s="25"/>
      <c r="CP661" s="25"/>
      <c r="CQ661" s="25"/>
      <c r="CR661" s="25"/>
      <c r="CS661" s="26"/>
    </row>
    <row r="662" spans="1:97" s="27" customFormat="1" ht="23.25" customHeight="1">
      <c r="A662" s="4">
        <v>494</v>
      </c>
      <c r="B662" s="6"/>
      <c r="C662" s="6"/>
      <c r="D662" s="6"/>
      <c r="E662" s="6"/>
      <c r="F662" s="6"/>
      <c r="G662" s="6"/>
      <c r="H662" s="5"/>
      <c r="I662" s="6"/>
      <c r="J662" s="7" t="s">
        <v>166</v>
      </c>
      <c r="K662" s="7" t="s">
        <v>10137</v>
      </c>
      <c r="L662" s="8"/>
      <c r="M662" s="5">
        <v>1641</v>
      </c>
      <c r="N662" s="5" t="s">
        <v>10138</v>
      </c>
      <c r="O662" s="9" t="s">
        <v>10139</v>
      </c>
      <c r="P662" s="10" t="s">
        <v>10140</v>
      </c>
      <c r="Q662" s="389" t="s">
        <v>10141</v>
      </c>
      <c r="R662" s="8" t="s">
        <v>11300</v>
      </c>
      <c r="S662" s="212" t="s">
        <v>13587</v>
      </c>
      <c r="T662" s="8" t="s">
        <v>3601</v>
      </c>
      <c r="U662" s="11" t="s">
        <v>172</v>
      </c>
      <c r="V662" s="12" t="s">
        <v>94</v>
      </c>
      <c r="W662" s="13">
        <v>41779</v>
      </c>
      <c r="X662" s="5" t="str">
        <f t="shared" ca="1" si="28"/>
        <v>12 Th, 3 Bln</v>
      </c>
      <c r="Y662" s="5"/>
      <c r="Z662" s="14"/>
      <c r="AA662" s="5" t="s">
        <v>96</v>
      </c>
      <c r="AB662" s="5"/>
      <c r="AC662" s="7" t="s">
        <v>10142</v>
      </c>
      <c r="AD662" s="131">
        <v>5</v>
      </c>
      <c r="AE662" s="131">
        <v>14</v>
      </c>
      <c r="AF662" s="7" t="s">
        <v>240</v>
      </c>
      <c r="AG662" s="7" t="s">
        <v>241</v>
      </c>
      <c r="AH662" s="7" t="s">
        <v>241</v>
      </c>
      <c r="AI662" s="7"/>
      <c r="AJ662" s="7" t="s">
        <v>103</v>
      </c>
      <c r="AK662" s="7"/>
      <c r="AL662" s="7"/>
      <c r="AM662" s="15" t="s">
        <v>10143</v>
      </c>
      <c r="AN662" s="15"/>
      <c r="AO662" s="8">
        <v>3</v>
      </c>
      <c r="AP662" s="8"/>
      <c r="AQ662" s="8"/>
      <c r="AR662" s="8"/>
      <c r="AS662" s="132" t="s">
        <v>2614</v>
      </c>
      <c r="AT662" s="131" t="s">
        <v>2593</v>
      </c>
      <c r="AU662" s="132"/>
      <c r="AV662" s="16"/>
      <c r="AW662" s="56"/>
      <c r="AX662" s="56"/>
      <c r="AY662" s="7" t="s">
        <v>10144</v>
      </c>
      <c r="AZ662" s="10" t="s">
        <v>10145</v>
      </c>
      <c r="BA662" s="7" t="s">
        <v>511</v>
      </c>
      <c r="BB662" s="17">
        <v>28896</v>
      </c>
      <c r="BC662" s="17"/>
      <c r="BD662" s="18">
        <v>2147483647</v>
      </c>
      <c r="BE662" s="7" t="s">
        <v>118</v>
      </c>
      <c r="BF662" s="7" t="s">
        <v>471</v>
      </c>
      <c r="BG662" s="7" t="s">
        <v>10146</v>
      </c>
      <c r="BH662" s="7" t="s">
        <v>10147</v>
      </c>
      <c r="BI662" s="19" t="s">
        <v>10148</v>
      </c>
      <c r="BJ662" s="20">
        <v>18000000</v>
      </c>
      <c r="BK662" s="21" t="s">
        <v>10149</v>
      </c>
      <c r="BL662" s="7" t="s">
        <v>10150</v>
      </c>
      <c r="BM662" s="22" t="s">
        <v>10151</v>
      </c>
      <c r="BN662" s="8" t="s">
        <v>713</v>
      </c>
      <c r="BO662" s="17">
        <v>29041</v>
      </c>
      <c r="BP662" s="17"/>
      <c r="BQ662" s="18" t="s">
        <v>9517</v>
      </c>
      <c r="BR662" s="7" t="s">
        <v>118</v>
      </c>
      <c r="BS662" s="7" t="s">
        <v>126</v>
      </c>
      <c r="BT662" s="7" t="s">
        <v>127</v>
      </c>
      <c r="BU662" s="8" t="s">
        <v>479</v>
      </c>
      <c r="BV662" s="23">
        <v>0</v>
      </c>
      <c r="BW662" s="24" t="s">
        <v>127</v>
      </c>
      <c r="BX662" s="21" t="s">
        <v>10152</v>
      </c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N662" s="25"/>
      <c r="CO662" s="25"/>
      <c r="CP662" s="25"/>
      <c r="CQ662" s="25"/>
      <c r="CR662" s="25"/>
      <c r="CS662" s="26"/>
    </row>
    <row r="663" spans="1:97" s="27" customFormat="1" ht="23.25" customHeight="1">
      <c r="A663" s="4">
        <v>520</v>
      </c>
      <c r="B663" s="6"/>
      <c r="C663" s="6"/>
      <c r="D663" s="6"/>
      <c r="E663" s="6"/>
      <c r="F663" s="6"/>
      <c r="G663" s="6"/>
      <c r="H663" s="5"/>
      <c r="I663" s="6"/>
      <c r="J663" s="7" t="s">
        <v>8981</v>
      </c>
      <c r="K663" s="7" t="s">
        <v>10525</v>
      </c>
      <c r="L663" s="8"/>
      <c r="M663" s="5">
        <v>1642</v>
      </c>
      <c r="N663" s="5" t="s">
        <v>10526</v>
      </c>
      <c r="O663" s="9" t="s">
        <v>10527</v>
      </c>
      <c r="P663" s="10" t="s">
        <v>10528</v>
      </c>
      <c r="Q663" s="389" t="s">
        <v>10529</v>
      </c>
      <c r="R663" s="8" t="s">
        <v>11300</v>
      </c>
      <c r="S663" s="212" t="s">
        <v>13587</v>
      </c>
      <c r="T663" s="8" t="s">
        <v>7493</v>
      </c>
      <c r="U663" s="11" t="s">
        <v>172</v>
      </c>
      <c r="V663" s="12" t="s">
        <v>94</v>
      </c>
      <c r="W663" s="13">
        <v>41952</v>
      </c>
      <c r="X663" s="5" t="str">
        <f t="shared" ca="1" si="28"/>
        <v>11 Th, 10 Bln</v>
      </c>
      <c r="Y663" s="5"/>
      <c r="Z663" s="14"/>
      <c r="AA663" s="5" t="s">
        <v>96</v>
      </c>
      <c r="AB663" s="5"/>
      <c r="AC663" s="7" t="s">
        <v>10530</v>
      </c>
      <c r="AD663" s="131"/>
      <c r="AE663" s="131"/>
      <c r="AF663" s="7" t="s">
        <v>2927</v>
      </c>
      <c r="AG663" s="7" t="s">
        <v>241</v>
      </c>
      <c r="AH663" s="7" t="s">
        <v>241</v>
      </c>
      <c r="AI663" s="7"/>
      <c r="AJ663" s="7" t="s">
        <v>103</v>
      </c>
      <c r="AK663" s="7"/>
      <c r="AL663" s="7"/>
      <c r="AM663" s="15"/>
      <c r="AN663" s="15"/>
      <c r="AO663" s="8">
        <v>1</v>
      </c>
      <c r="AP663" s="8"/>
      <c r="AQ663" s="8"/>
      <c r="AR663" s="8"/>
      <c r="AS663" s="132" t="s">
        <v>10531</v>
      </c>
      <c r="AT663" s="131" t="s">
        <v>4110</v>
      </c>
      <c r="AU663" s="132"/>
      <c r="AV663" s="16"/>
      <c r="AW663" s="56"/>
      <c r="AX663" s="56"/>
      <c r="AY663" s="7" t="s">
        <v>10532</v>
      </c>
      <c r="AZ663" s="10" t="s">
        <v>3439</v>
      </c>
      <c r="BA663" s="7" t="s">
        <v>1161</v>
      </c>
      <c r="BB663" s="17">
        <v>31992</v>
      </c>
      <c r="BC663" s="17"/>
      <c r="BD663" s="18" t="s">
        <v>3440</v>
      </c>
      <c r="BE663" s="7" t="s">
        <v>153</v>
      </c>
      <c r="BF663" s="7" t="s">
        <v>247</v>
      </c>
      <c r="BG663" s="7" t="s">
        <v>327</v>
      </c>
      <c r="BH663" s="7" t="s">
        <v>94</v>
      </c>
      <c r="BI663" s="19"/>
      <c r="BJ663" s="20">
        <v>40000000</v>
      </c>
      <c r="BK663" s="21" t="s">
        <v>3443</v>
      </c>
      <c r="BL663" s="7" t="s">
        <v>3444</v>
      </c>
      <c r="BM663" s="22" t="s">
        <v>3445</v>
      </c>
      <c r="BN663" s="8" t="s">
        <v>94</v>
      </c>
      <c r="BO663" s="17">
        <v>33072</v>
      </c>
      <c r="BP663" s="17"/>
      <c r="BQ663" s="18" t="s">
        <v>3440</v>
      </c>
      <c r="BR663" s="7" t="s">
        <v>118</v>
      </c>
      <c r="BS663" s="7" t="s">
        <v>247</v>
      </c>
      <c r="BT663" s="7" t="s">
        <v>108</v>
      </c>
      <c r="BU663" s="8" t="s">
        <v>108</v>
      </c>
      <c r="BV663" s="23"/>
      <c r="BW663" s="24"/>
      <c r="BX663" s="21" t="s">
        <v>3446</v>
      </c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N663" s="25"/>
      <c r="CO663" s="25"/>
      <c r="CP663" s="25"/>
      <c r="CQ663" s="25"/>
      <c r="CR663" s="25"/>
      <c r="CS663" s="26"/>
    </row>
    <row r="664" spans="1:97" s="27" customFormat="1" ht="21" customHeight="1">
      <c r="A664" s="4">
        <v>547</v>
      </c>
      <c r="B664" s="6"/>
      <c r="C664" s="6"/>
      <c r="D664" s="6"/>
      <c r="E664" s="6"/>
      <c r="F664" s="6"/>
      <c r="G664" s="6"/>
      <c r="H664" s="5"/>
      <c r="I664" s="6"/>
      <c r="J664" s="7" t="s">
        <v>10955</v>
      </c>
      <c r="K664" s="7" t="s">
        <v>10956</v>
      </c>
      <c r="L664" s="8"/>
      <c r="M664" s="5">
        <v>1647</v>
      </c>
      <c r="N664" s="5" t="s">
        <v>10957</v>
      </c>
      <c r="O664" s="9" t="s">
        <v>5538</v>
      </c>
      <c r="P664" s="10" t="s">
        <v>10958</v>
      </c>
      <c r="Q664" s="389" t="s">
        <v>10959</v>
      </c>
      <c r="R664" s="8" t="s">
        <v>11300</v>
      </c>
      <c r="S664" s="212" t="s">
        <v>13587</v>
      </c>
      <c r="T664" s="8" t="s">
        <v>7908</v>
      </c>
      <c r="U664" s="11" t="s">
        <v>93</v>
      </c>
      <c r="V664" s="12" t="s">
        <v>94</v>
      </c>
      <c r="W664" s="13">
        <v>41818</v>
      </c>
      <c r="X664" s="5" t="str">
        <f t="shared" ca="1" si="28"/>
        <v>12 Th, 2 Bln</v>
      </c>
      <c r="Y664" s="5"/>
      <c r="Z664" s="14"/>
      <c r="AA664" s="5" t="s">
        <v>96</v>
      </c>
      <c r="AB664" s="5"/>
      <c r="AC664" s="7" t="s">
        <v>10960</v>
      </c>
      <c r="AD664" s="131"/>
      <c r="AE664" s="131"/>
      <c r="AF664" s="7" t="s">
        <v>942</v>
      </c>
      <c r="AG664" s="7" t="s">
        <v>178</v>
      </c>
      <c r="AH664" s="7" t="s">
        <v>178</v>
      </c>
      <c r="AI664" s="7"/>
      <c r="AJ664" s="7" t="s">
        <v>103</v>
      </c>
      <c r="AK664" s="7"/>
      <c r="AL664" s="7"/>
      <c r="AM664" s="15" t="s">
        <v>5542</v>
      </c>
      <c r="AN664" s="15"/>
      <c r="AO664" s="8">
        <v>1</v>
      </c>
      <c r="AP664" s="8"/>
      <c r="AQ664" s="8"/>
      <c r="AR664" s="8"/>
      <c r="AS664" s="132" t="s">
        <v>1177</v>
      </c>
      <c r="AT664" s="131" t="s">
        <v>834</v>
      </c>
      <c r="AU664" s="132"/>
      <c r="AV664" s="16"/>
      <c r="AW664" s="56"/>
      <c r="AX664" s="56"/>
      <c r="AY664" s="7" t="s">
        <v>5544</v>
      </c>
      <c r="AZ664" s="10" t="s">
        <v>5545</v>
      </c>
      <c r="BA664" s="7" t="s">
        <v>5546</v>
      </c>
      <c r="BB664" s="17">
        <v>32619</v>
      </c>
      <c r="BC664" s="17"/>
      <c r="BD664" s="18" t="s">
        <v>5542</v>
      </c>
      <c r="BE664" s="7" t="s">
        <v>118</v>
      </c>
      <c r="BF664" s="7" t="s">
        <v>1571</v>
      </c>
      <c r="BG664" s="7" t="s">
        <v>10961</v>
      </c>
      <c r="BH664" s="7" t="s">
        <v>10962</v>
      </c>
      <c r="BI664" s="19" t="s">
        <v>127</v>
      </c>
      <c r="BJ664" s="20">
        <v>20000000</v>
      </c>
      <c r="BK664" s="21" t="s">
        <v>10963</v>
      </c>
      <c r="BL664" s="7" t="s">
        <v>5551</v>
      </c>
      <c r="BM664" s="22" t="s">
        <v>5552</v>
      </c>
      <c r="BN664" s="8" t="s">
        <v>603</v>
      </c>
      <c r="BO664" s="17">
        <v>34469</v>
      </c>
      <c r="BP664" s="17"/>
      <c r="BQ664" s="18" t="s">
        <v>5553</v>
      </c>
      <c r="BR664" s="7" t="s">
        <v>2193</v>
      </c>
      <c r="BS664" s="7" t="s">
        <v>126</v>
      </c>
      <c r="BT664" s="7" t="s">
        <v>127</v>
      </c>
      <c r="BU664" s="8" t="s">
        <v>126</v>
      </c>
      <c r="BV664" s="23" t="s">
        <v>127</v>
      </c>
      <c r="BW664" s="24" t="s">
        <v>127</v>
      </c>
      <c r="BX664" s="21" t="s">
        <v>10964</v>
      </c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N664" s="25"/>
      <c r="CO664" s="25"/>
      <c r="CP664" s="25"/>
      <c r="CQ664" s="25"/>
      <c r="CR664" s="25"/>
      <c r="CS664" s="26"/>
    </row>
    <row r="665" spans="1:97" s="27" customFormat="1" ht="23.25" customHeight="1">
      <c r="A665" s="4">
        <v>522</v>
      </c>
      <c r="B665" s="6"/>
      <c r="C665" s="6"/>
      <c r="D665" s="6"/>
      <c r="E665" s="6"/>
      <c r="F665" s="6"/>
      <c r="G665" s="6"/>
      <c r="H665" s="5"/>
      <c r="I665" s="6"/>
      <c r="J665" s="7" t="s">
        <v>166</v>
      </c>
      <c r="K665" s="7" t="s">
        <v>2061</v>
      </c>
      <c r="L665" s="8"/>
      <c r="M665" s="5">
        <v>1650</v>
      </c>
      <c r="N665" s="5" t="s">
        <v>10546</v>
      </c>
      <c r="O665" s="9" t="s">
        <v>10547</v>
      </c>
      <c r="P665" s="10" t="s">
        <v>10548</v>
      </c>
      <c r="Q665" s="389" t="s">
        <v>10549</v>
      </c>
      <c r="R665" s="8" t="s">
        <v>11300</v>
      </c>
      <c r="S665" s="212" t="s">
        <v>13587</v>
      </c>
      <c r="T665" s="8" t="s">
        <v>10550</v>
      </c>
      <c r="U665" s="11" t="s">
        <v>172</v>
      </c>
      <c r="V665" s="12" t="s">
        <v>94</v>
      </c>
      <c r="W665" s="13">
        <v>41817</v>
      </c>
      <c r="X665" s="5" t="str">
        <f t="shared" ca="1" si="28"/>
        <v>12 Th, 2 Bln</v>
      </c>
      <c r="Y665" s="5"/>
      <c r="Z665" s="14"/>
      <c r="AA665" s="5" t="s">
        <v>96</v>
      </c>
      <c r="AB665" s="5"/>
      <c r="AC665" s="7" t="s">
        <v>10551</v>
      </c>
      <c r="AD665" s="131">
        <v>8</v>
      </c>
      <c r="AE665" s="131">
        <v>4</v>
      </c>
      <c r="AF665" s="7" t="s">
        <v>942</v>
      </c>
      <c r="AG665" s="7" t="s">
        <v>178</v>
      </c>
      <c r="AH665" s="7" t="s">
        <v>178</v>
      </c>
      <c r="AI665" s="7"/>
      <c r="AJ665" s="7" t="s">
        <v>103</v>
      </c>
      <c r="AK665" s="7"/>
      <c r="AL665" s="7"/>
      <c r="AM665" s="15" t="s">
        <v>1944</v>
      </c>
      <c r="AN665" s="15"/>
      <c r="AO665" s="8">
        <v>1</v>
      </c>
      <c r="AP665" s="8"/>
      <c r="AQ665" s="8"/>
      <c r="AR665" s="8"/>
      <c r="AS665" s="132" t="s">
        <v>833</v>
      </c>
      <c r="AT665" s="131" t="s">
        <v>10327</v>
      </c>
      <c r="AU665" s="132"/>
      <c r="AV665" s="16"/>
      <c r="AW665" s="56"/>
      <c r="AX665" s="56"/>
      <c r="AY665" s="7" t="s">
        <v>10552</v>
      </c>
      <c r="AZ665" s="10" t="s">
        <v>127</v>
      </c>
      <c r="BA665" s="7" t="s">
        <v>2279</v>
      </c>
      <c r="BB665" s="17">
        <v>32138</v>
      </c>
      <c r="BC665" s="17"/>
      <c r="BD665" s="18" t="s">
        <v>1944</v>
      </c>
      <c r="BE665" s="7" t="s">
        <v>127</v>
      </c>
      <c r="BF665" s="7" t="s">
        <v>127</v>
      </c>
      <c r="BG665" s="7" t="s">
        <v>127</v>
      </c>
      <c r="BH665" s="7" t="s">
        <v>127</v>
      </c>
      <c r="BI665" s="19" t="s">
        <v>127</v>
      </c>
      <c r="BJ665" s="20">
        <v>0</v>
      </c>
      <c r="BK665" s="21" t="s">
        <v>1952</v>
      </c>
      <c r="BL665" s="7" t="s">
        <v>10553</v>
      </c>
      <c r="BM665" s="22" t="s">
        <v>1949</v>
      </c>
      <c r="BN665" s="8" t="s">
        <v>603</v>
      </c>
      <c r="BO665" s="17">
        <v>31929</v>
      </c>
      <c r="BP665" s="17"/>
      <c r="BQ665" s="18" t="s">
        <v>1944</v>
      </c>
      <c r="BR665" s="7" t="s">
        <v>118</v>
      </c>
      <c r="BS665" s="7" t="s">
        <v>276</v>
      </c>
      <c r="BT665" s="7" t="s">
        <v>10554</v>
      </c>
      <c r="BU665" s="8" t="s">
        <v>10555</v>
      </c>
      <c r="BV665" s="23" t="s">
        <v>10556</v>
      </c>
      <c r="BW665" s="24">
        <v>7200000</v>
      </c>
      <c r="BX665" s="21" t="s">
        <v>1952</v>
      </c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N665" s="25"/>
      <c r="CO665" s="25"/>
      <c r="CP665" s="25"/>
      <c r="CQ665" s="25"/>
      <c r="CR665" s="25"/>
      <c r="CS665" s="26"/>
    </row>
    <row r="666" spans="1:97" s="27" customFormat="1" ht="23.25" customHeight="1">
      <c r="A666" s="4">
        <v>468</v>
      </c>
      <c r="B666" s="6"/>
      <c r="C666" s="6"/>
      <c r="D666" s="6"/>
      <c r="E666" s="6"/>
      <c r="F666" s="6"/>
      <c r="G666" s="6"/>
      <c r="H666" s="5"/>
      <c r="I666" s="6"/>
      <c r="J666" s="7" t="s">
        <v>287</v>
      </c>
      <c r="K666" s="7" t="s">
        <v>9718</v>
      </c>
      <c r="L666" s="8"/>
      <c r="M666" s="5">
        <v>1658</v>
      </c>
      <c r="N666" s="5" t="s">
        <v>9719</v>
      </c>
      <c r="O666" s="9" t="s">
        <v>1199</v>
      </c>
      <c r="P666" s="10" t="s">
        <v>9720</v>
      </c>
      <c r="Q666" s="389" t="s">
        <v>9721</v>
      </c>
      <c r="R666" s="8" t="s">
        <v>11300</v>
      </c>
      <c r="S666" s="212" t="s">
        <v>13587</v>
      </c>
      <c r="T666" s="8" t="s">
        <v>9722</v>
      </c>
      <c r="U666" s="11" t="s">
        <v>172</v>
      </c>
      <c r="V666" s="12" t="s">
        <v>94</v>
      </c>
      <c r="W666" s="13">
        <v>41969</v>
      </c>
      <c r="X666" s="5" t="str">
        <f t="shared" ref="X666:X672" ca="1" si="29">""&amp;DATEDIF(W666,TODAY(),"y")&amp;" Th, "&amp;DATEDIF(W666,TODAY(),"ym")&amp;" Bln"</f>
        <v>11 Th, 9 Bln</v>
      </c>
      <c r="Y666" s="5"/>
      <c r="Z666" s="14"/>
      <c r="AA666" s="5" t="s">
        <v>96</v>
      </c>
      <c r="AB666" s="5"/>
      <c r="AC666" s="7" t="s">
        <v>9723</v>
      </c>
      <c r="AD666" s="131">
        <v>2</v>
      </c>
      <c r="AE666" s="131">
        <v>6</v>
      </c>
      <c r="AF666" s="7" t="s">
        <v>993</v>
      </c>
      <c r="AG666" s="7" t="s">
        <v>994</v>
      </c>
      <c r="AH666" s="7" t="s">
        <v>141</v>
      </c>
      <c r="AI666" s="7"/>
      <c r="AJ666" s="7" t="s">
        <v>2024</v>
      </c>
      <c r="AK666" s="7"/>
      <c r="AL666" s="7"/>
      <c r="AM666" s="15"/>
      <c r="AN666" s="15"/>
      <c r="AO666" s="8">
        <v>1</v>
      </c>
      <c r="AP666" s="8"/>
      <c r="AQ666" s="8"/>
      <c r="AR666" s="8"/>
      <c r="AS666" s="132" t="s">
        <v>108</v>
      </c>
      <c r="AT666" s="131" t="s">
        <v>108</v>
      </c>
      <c r="AU666" s="132"/>
      <c r="AV666" s="16"/>
      <c r="AW666" s="56"/>
      <c r="AX666" s="56"/>
      <c r="AY666" s="7" t="s">
        <v>9724</v>
      </c>
      <c r="AZ666" s="10" t="s">
        <v>1207</v>
      </c>
      <c r="BA666" s="7" t="s">
        <v>1208</v>
      </c>
      <c r="BB666" s="17" t="s">
        <v>9725</v>
      </c>
      <c r="BC666" s="17"/>
      <c r="BD666" s="18"/>
      <c r="BE666" s="7" t="s">
        <v>153</v>
      </c>
      <c r="BF666" s="7" t="s">
        <v>154</v>
      </c>
      <c r="BG666" s="7" t="s">
        <v>108</v>
      </c>
      <c r="BH666" s="7" t="s">
        <v>108</v>
      </c>
      <c r="BI666" s="19"/>
      <c r="BJ666" s="20"/>
      <c r="BK666" s="21"/>
      <c r="BL666" s="7" t="s">
        <v>1213</v>
      </c>
      <c r="BM666" s="22" t="s">
        <v>1214</v>
      </c>
      <c r="BN666" s="8" t="s">
        <v>222</v>
      </c>
      <c r="BO666" s="17" t="s">
        <v>9726</v>
      </c>
      <c r="BP666" s="17"/>
      <c r="BQ666" s="18"/>
      <c r="BR666" s="7" t="s">
        <v>2193</v>
      </c>
      <c r="BS666" s="7" t="s">
        <v>126</v>
      </c>
      <c r="BT666" s="7" t="s">
        <v>108</v>
      </c>
      <c r="BU666" s="8" t="s">
        <v>108</v>
      </c>
      <c r="BV666" s="23"/>
      <c r="BW666" s="24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N666" s="25"/>
      <c r="CO666" s="25"/>
      <c r="CP666" s="25"/>
      <c r="CQ666" s="25"/>
      <c r="CR666" s="25"/>
      <c r="CS666" s="26"/>
    </row>
    <row r="667" spans="1:97" s="27" customFormat="1" ht="23.25" customHeight="1">
      <c r="A667" s="4">
        <v>553</v>
      </c>
      <c r="B667" s="6"/>
      <c r="C667" s="6"/>
      <c r="D667" s="6"/>
      <c r="E667" s="6"/>
      <c r="F667" s="6"/>
      <c r="G667" s="6"/>
      <c r="H667" s="5"/>
      <c r="I667" s="6"/>
      <c r="J667" s="7"/>
      <c r="K667" s="7"/>
      <c r="L667" s="8"/>
      <c r="M667" s="5">
        <v>1663</v>
      </c>
      <c r="N667" s="5">
        <v>3155365170</v>
      </c>
      <c r="O667" s="9" t="s">
        <v>11051</v>
      </c>
      <c r="P667" s="10" t="s">
        <v>11052</v>
      </c>
      <c r="Q667" s="389" t="s">
        <v>11053</v>
      </c>
      <c r="R667" s="8" t="s">
        <v>11300</v>
      </c>
      <c r="S667" s="212" t="s">
        <v>13587</v>
      </c>
      <c r="T667" s="8" t="s">
        <v>2570</v>
      </c>
      <c r="U667" s="11" t="s">
        <v>172</v>
      </c>
      <c r="V667" s="12" t="s">
        <v>11054</v>
      </c>
      <c r="W667" s="13">
        <v>42173</v>
      </c>
      <c r="X667" s="5" t="str">
        <f t="shared" ca="1" si="29"/>
        <v>11 Th, 2 Bln</v>
      </c>
      <c r="Y667" s="5"/>
      <c r="Z667" s="14"/>
      <c r="AA667" s="5" t="s">
        <v>96</v>
      </c>
      <c r="AB667" s="5"/>
      <c r="AC667" s="7" t="s">
        <v>11055</v>
      </c>
      <c r="AD667" s="131">
        <v>1</v>
      </c>
      <c r="AE667" s="131">
        <v>1</v>
      </c>
      <c r="AF667" s="7" t="s">
        <v>11056</v>
      </c>
      <c r="AG667" s="7" t="s">
        <v>2159</v>
      </c>
      <c r="AH667" s="7" t="s">
        <v>2159</v>
      </c>
      <c r="AI667" s="7"/>
      <c r="AJ667" s="7" t="s">
        <v>103</v>
      </c>
      <c r="AK667" s="7"/>
      <c r="AL667" s="7"/>
      <c r="AM667" s="15"/>
      <c r="AN667" s="15"/>
      <c r="AO667" s="8">
        <v>1</v>
      </c>
      <c r="AP667" s="8"/>
      <c r="AQ667" s="8"/>
      <c r="AR667" s="8"/>
      <c r="AS667" s="132"/>
      <c r="AT667" s="131"/>
      <c r="AU667" s="132"/>
      <c r="AV667" s="16"/>
      <c r="AW667" s="56"/>
      <c r="AX667" s="56"/>
      <c r="AY667" s="7" t="s">
        <v>11057</v>
      </c>
      <c r="AZ667" s="10" t="s">
        <v>11058</v>
      </c>
      <c r="BA667" s="7" t="s">
        <v>94</v>
      </c>
      <c r="BB667" s="17">
        <v>32077</v>
      </c>
      <c r="BC667" s="17"/>
      <c r="BD667" s="18"/>
      <c r="BE667" s="7" t="s">
        <v>118</v>
      </c>
      <c r="BF667" s="7" t="s">
        <v>276</v>
      </c>
      <c r="BG667" s="7"/>
      <c r="BH667" s="7"/>
      <c r="BI667" s="19"/>
      <c r="BJ667" s="20"/>
      <c r="BK667" s="21"/>
      <c r="BL667" s="7" t="s">
        <v>11059</v>
      </c>
      <c r="BM667" s="22" t="s">
        <v>11060</v>
      </c>
      <c r="BN667" s="8" t="s">
        <v>94</v>
      </c>
      <c r="BO667" s="17">
        <v>32755</v>
      </c>
      <c r="BP667" s="17"/>
      <c r="BQ667" s="18"/>
      <c r="BR667" s="7" t="s">
        <v>8638</v>
      </c>
      <c r="BS667" s="7" t="s">
        <v>276</v>
      </c>
      <c r="BT667" s="7"/>
      <c r="BU667" s="8"/>
      <c r="BV667" s="23"/>
      <c r="BW667" s="24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N667" s="25"/>
      <c r="CO667" s="25"/>
      <c r="CP667" s="25"/>
      <c r="CQ667" s="25"/>
      <c r="CR667" s="25"/>
      <c r="CS667" s="26"/>
    </row>
    <row r="668" spans="1:97" s="27" customFormat="1" ht="23.25" customHeight="1">
      <c r="A668" s="4">
        <v>472</v>
      </c>
      <c r="B668" s="6"/>
      <c r="C668" s="6"/>
      <c r="D668" s="6"/>
      <c r="E668" s="6"/>
      <c r="F668" s="6"/>
      <c r="G668" s="6"/>
      <c r="H668" s="5"/>
      <c r="I668" s="6"/>
      <c r="J668" s="7" t="s">
        <v>166</v>
      </c>
      <c r="K668" s="7" t="s">
        <v>9789</v>
      </c>
      <c r="L668" s="8"/>
      <c r="M668" s="5">
        <v>1669</v>
      </c>
      <c r="N668" s="5" t="s">
        <v>9790</v>
      </c>
      <c r="O668" s="9" t="s">
        <v>1628</v>
      </c>
      <c r="P668" s="10" t="s">
        <v>9791</v>
      </c>
      <c r="Q668" s="389" t="s">
        <v>9792</v>
      </c>
      <c r="R668" s="8" t="s">
        <v>11300</v>
      </c>
      <c r="S668" s="212" t="s">
        <v>13587</v>
      </c>
      <c r="T668" s="8" t="s">
        <v>9793</v>
      </c>
      <c r="U668" s="11" t="s">
        <v>172</v>
      </c>
      <c r="V668" s="12" t="s">
        <v>94</v>
      </c>
      <c r="W668" s="13">
        <v>42031</v>
      </c>
      <c r="X668" s="5" t="str">
        <f t="shared" ca="1" si="29"/>
        <v>11 Th, 7 Bln</v>
      </c>
      <c r="Y668" s="5"/>
      <c r="Z668" s="14"/>
      <c r="AA668" s="5" t="s">
        <v>96</v>
      </c>
      <c r="AB668" s="5"/>
      <c r="AC668" s="7" t="s">
        <v>9794</v>
      </c>
      <c r="AD668" s="131">
        <v>4</v>
      </c>
      <c r="AE668" s="131">
        <v>3</v>
      </c>
      <c r="AF668" s="7" t="s">
        <v>385</v>
      </c>
      <c r="AG668" s="7" t="s">
        <v>178</v>
      </c>
      <c r="AH668" s="7" t="s">
        <v>178</v>
      </c>
      <c r="AI668" s="7"/>
      <c r="AJ668" s="7" t="s">
        <v>103</v>
      </c>
      <c r="AK668" s="7"/>
      <c r="AL668" s="7"/>
      <c r="AM668" s="15">
        <v>0</v>
      </c>
      <c r="AN668" s="15"/>
      <c r="AO668" s="8">
        <v>1</v>
      </c>
      <c r="AP668" s="8"/>
      <c r="AQ668" s="8"/>
      <c r="AR668" s="8"/>
      <c r="AS668" s="132" t="s">
        <v>9795</v>
      </c>
      <c r="AT668" s="131" t="s">
        <v>3231</v>
      </c>
      <c r="AU668" s="132"/>
      <c r="AV668" s="16"/>
      <c r="AW668" s="56"/>
      <c r="AX668" s="56"/>
      <c r="AY668" s="7" t="s">
        <v>1647</v>
      </c>
      <c r="AZ668" s="10" t="s">
        <v>1637</v>
      </c>
      <c r="BA668" s="7" t="s">
        <v>94</v>
      </c>
      <c r="BB668" s="17">
        <v>29712</v>
      </c>
      <c r="BC668" s="17"/>
      <c r="BD668" s="18" t="s">
        <v>1633</v>
      </c>
      <c r="BE668" s="7" t="s">
        <v>2193</v>
      </c>
      <c r="BF668" s="7" t="s">
        <v>327</v>
      </c>
      <c r="BG668" s="7" t="s">
        <v>4709</v>
      </c>
      <c r="BH668" s="7" t="s">
        <v>94</v>
      </c>
      <c r="BI668" s="19">
        <v>0</v>
      </c>
      <c r="BJ668" s="20">
        <v>2000000</v>
      </c>
      <c r="BK668" s="21" t="s">
        <v>9796</v>
      </c>
      <c r="BL668" s="7" t="s">
        <v>9797</v>
      </c>
      <c r="BM668" s="22" t="s">
        <v>1642</v>
      </c>
      <c r="BN668" s="8" t="s">
        <v>511</v>
      </c>
      <c r="BO668" s="17">
        <v>31887</v>
      </c>
      <c r="BP668" s="17"/>
      <c r="BQ668" s="18" t="s">
        <v>9798</v>
      </c>
      <c r="BR668" s="7" t="s">
        <v>118</v>
      </c>
      <c r="BS668" s="7" t="s">
        <v>503</v>
      </c>
      <c r="BT668" s="7" t="s">
        <v>328</v>
      </c>
      <c r="BU668" s="8" t="s">
        <v>1316</v>
      </c>
      <c r="BV668" s="23" t="s">
        <v>9799</v>
      </c>
      <c r="BW668" s="24">
        <v>2000000</v>
      </c>
      <c r="BX668" s="21" t="s">
        <v>1646</v>
      </c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N668" s="25"/>
      <c r="CO668" s="25"/>
      <c r="CP668" s="25"/>
      <c r="CQ668" s="25"/>
      <c r="CR668" s="25"/>
      <c r="CS668" s="26"/>
    </row>
    <row r="669" spans="1:97" s="27" customFormat="1" ht="23.25" customHeight="1">
      <c r="A669" s="4">
        <v>498</v>
      </c>
      <c r="B669" s="6"/>
      <c r="C669" s="6"/>
      <c r="D669" s="6"/>
      <c r="E669" s="6"/>
      <c r="F669" s="6"/>
      <c r="G669" s="6"/>
      <c r="H669" s="5"/>
      <c r="I669" s="6"/>
      <c r="J669" s="7" t="s">
        <v>166</v>
      </c>
      <c r="K669" s="7" t="s">
        <v>9789</v>
      </c>
      <c r="L669" s="8"/>
      <c r="M669" s="5">
        <v>1670</v>
      </c>
      <c r="N669" s="5" t="s">
        <v>10203</v>
      </c>
      <c r="O669" s="9" t="s">
        <v>5606</v>
      </c>
      <c r="P669" s="10" t="s">
        <v>10204</v>
      </c>
      <c r="Q669" s="389" t="s">
        <v>10205</v>
      </c>
      <c r="R669" s="8" t="s">
        <v>11300</v>
      </c>
      <c r="S669" s="212" t="s">
        <v>13587</v>
      </c>
      <c r="T669" s="8" t="s">
        <v>7103</v>
      </c>
      <c r="U669" s="11" t="s">
        <v>172</v>
      </c>
      <c r="V669" s="12" t="s">
        <v>2179</v>
      </c>
      <c r="W669" s="13">
        <v>41698</v>
      </c>
      <c r="X669" s="5" t="str">
        <f t="shared" ca="1" si="29"/>
        <v>12 Th, 6 Bln</v>
      </c>
      <c r="Y669" s="5"/>
      <c r="Z669" s="14"/>
      <c r="AA669" s="5" t="s">
        <v>96</v>
      </c>
      <c r="AB669" s="5"/>
      <c r="AC669" s="7" t="s">
        <v>10206</v>
      </c>
      <c r="AD669" s="131">
        <v>1</v>
      </c>
      <c r="AE669" s="131">
        <v>1</v>
      </c>
      <c r="AF669" s="7" t="s">
        <v>1155</v>
      </c>
      <c r="AG669" s="7" t="s">
        <v>140</v>
      </c>
      <c r="AH669" s="7" t="s">
        <v>141</v>
      </c>
      <c r="AI669" s="7"/>
      <c r="AJ669" s="7" t="s">
        <v>142</v>
      </c>
      <c r="AK669" s="7"/>
      <c r="AL669" s="7"/>
      <c r="AM669" s="15"/>
      <c r="AN669" s="15"/>
      <c r="AO669" s="8">
        <v>1</v>
      </c>
      <c r="AP669" s="8"/>
      <c r="AQ669" s="8"/>
      <c r="AR669" s="8"/>
      <c r="AS669" s="132" t="s">
        <v>108</v>
      </c>
      <c r="AT669" s="131" t="s">
        <v>108</v>
      </c>
      <c r="AU669" s="132"/>
      <c r="AV669" s="16"/>
      <c r="AW669" s="56"/>
      <c r="AX669" s="56"/>
      <c r="AY669" s="7" t="s">
        <v>5613</v>
      </c>
      <c r="AZ669" s="10" t="s">
        <v>5614</v>
      </c>
      <c r="BA669" s="7" t="s">
        <v>94</v>
      </c>
      <c r="BB669" s="17" t="s">
        <v>10207</v>
      </c>
      <c r="BC669" s="17"/>
      <c r="BD669" s="18"/>
      <c r="BE669" s="7" t="s">
        <v>118</v>
      </c>
      <c r="BF669" s="7" t="s">
        <v>276</v>
      </c>
      <c r="BG669" s="7" t="s">
        <v>108</v>
      </c>
      <c r="BH669" s="7" t="s">
        <v>108</v>
      </c>
      <c r="BI669" s="19"/>
      <c r="BJ669" s="20"/>
      <c r="BK669" s="21"/>
      <c r="BL669" s="7" t="s">
        <v>5620</v>
      </c>
      <c r="BM669" s="22" t="s">
        <v>10208</v>
      </c>
      <c r="BN669" s="8" t="s">
        <v>2179</v>
      </c>
      <c r="BO669" s="17" t="s">
        <v>10209</v>
      </c>
      <c r="BP669" s="17"/>
      <c r="BQ669" s="18"/>
      <c r="BR669" s="7" t="s">
        <v>4811</v>
      </c>
      <c r="BS669" s="7" t="s">
        <v>126</v>
      </c>
      <c r="BT669" s="7" t="s">
        <v>108</v>
      </c>
      <c r="BU669" s="8" t="s">
        <v>108</v>
      </c>
      <c r="BV669" s="23"/>
      <c r="BW669" s="24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N669" s="25"/>
      <c r="CO669" s="25"/>
      <c r="CP669" s="25"/>
      <c r="CQ669" s="25"/>
      <c r="CR669" s="25"/>
      <c r="CS669" s="26"/>
    </row>
    <row r="670" spans="1:97" s="27" customFormat="1" ht="23.25" customHeight="1">
      <c r="A670" s="4">
        <v>528</v>
      </c>
      <c r="B670" s="6"/>
      <c r="C670" s="6"/>
      <c r="D670" s="6"/>
      <c r="E670" s="6"/>
      <c r="F670" s="6"/>
      <c r="G670" s="6"/>
      <c r="H670" s="5"/>
      <c r="I670" s="6"/>
      <c r="J670" s="7" t="s">
        <v>10631</v>
      </c>
      <c r="K670" s="7" t="s">
        <v>10632</v>
      </c>
      <c r="L670" s="8"/>
      <c r="M670" s="5">
        <v>1677</v>
      </c>
      <c r="N670" s="5" t="s">
        <v>10633</v>
      </c>
      <c r="O670" s="9" t="s">
        <v>10634</v>
      </c>
      <c r="P670" s="10" t="s">
        <v>10635</v>
      </c>
      <c r="Q670" s="389" t="s">
        <v>10636</v>
      </c>
      <c r="R670" s="8" t="s">
        <v>11300</v>
      </c>
      <c r="S670" s="212" t="s">
        <v>13587</v>
      </c>
      <c r="T670" s="8" t="s">
        <v>6616</v>
      </c>
      <c r="U670" s="11" t="s">
        <v>172</v>
      </c>
      <c r="V670" s="12" t="s">
        <v>94</v>
      </c>
      <c r="W670" s="13">
        <v>41913</v>
      </c>
      <c r="X670" s="5" t="str">
        <f t="shared" ca="1" si="29"/>
        <v>11 Th, 11 Bln</v>
      </c>
      <c r="Y670" s="5"/>
      <c r="Z670" s="14"/>
      <c r="AA670" s="5" t="s">
        <v>96</v>
      </c>
      <c r="AB670" s="5"/>
      <c r="AC670" s="7" t="s">
        <v>10637</v>
      </c>
      <c r="AD670" s="131">
        <v>27</v>
      </c>
      <c r="AE670" s="131">
        <v>9</v>
      </c>
      <c r="AF670" s="7" t="s">
        <v>4569</v>
      </c>
      <c r="AG670" s="7" t="s">
        <v>140</v>
      </c>
      <c r="AH670" s="7" t="s">
        <v>141</v>
      </c>
      <c r="AI670" s="7"/>
      <c r="AJ670" s="7" t="s">
        <v>142</v>
      </c>
      <c r="AK670" s="7"/>
      <c r="AL670" s="7"/>
      <c r="AM670" s="15"/>
      <c r="AN670" s="15"/>
      <c r="AO670" s="8">
        <v>2</v>
      </c>
      <c r="AP670" s="8"/>
      <c r="AQ670" s="8"/>
      <c r="AR670" s="8"/>
      <c r="AS670" s="132" t="s">
        <v>10326</v>
      </c>
      <c r="AT670" s="131" t="s">
        <v>10192</v>
      </c>
      <c r="AU670" s="132"/>
      <c r="AV670" s="16"/>
      <c r="AW670" s="56"/>
      <c r="AX670" s="56"/>
      <c r="AY670" s="7" t="s">
        <v>10638</v>
      </c>
      <c r="AZ670" s="10" t="s">
        <v>10639</v>
      </c>
      <c r="BA670" s="7" t="s">
        <v>263</v>
      </c>
      <c r="BB670" s="17">
        <v>29819</v>
      </c>
      <c r="BC670" s="17"/>
      <c r="BD670" s="18" t="s">
        <v>10640</v>
      </c>
      <c r="BE670" s="7" t="s">
        <v>4811</v>
      </c>
      <c r="BF670" s="7" t="s">
        <v>247</v>
      </c>
      <c r="BG670" s="7" t="s">
        <v>10641</v>
      </c>
      <c r="BH670" s="7" t="s">
        <v>10642</v>
      </c>
      <c r="BI670" s="19" t="s">
        <v>10643</v>
      </c>
      <c r="BJ670" s="20">
        <v>5000000</v>
      </c>
      <c r="BK670" s="21" t="s">
        <v>10644</v>
      </c>
      <c r="BL670" s="7" t="s">
        <v>10645</v>
      </c>
      <c r="BM670" s="22" t="s">
        <v>10646</v>
      </c>
      <c r="BN670" s="8" t="s">
        <v>94</v>
      </c>
      <c r="BO670" s="17">
        <v>30401</v>
      </c>
      <c r="BP670" s="17"/>
      <c r="BQ670" s="18" t="s">
        <v>10640</v>
      </c>
      <c r="BR670" s="7" t="s">
        <v>118</v>
      </c>
      <c r="BS670" s="7" t="s">
        <v>10647</v>
      </c>
      <c r="BT670" s="7" t="s">
        <v>10648</v>
      </c>
      <c r="BU670" s="8" t="s">
        <v>10649</v>
      </c>
      <c r="BV670" s="23" t="s">
        <v>10650</v>
      </c>
      <c r="BW670" s="24">
        <v>7000000</v>
      </c>
      <c r="BX670" s="21" t="s">
        <v>10651</v>
      </c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N670" s="25"/>
      <c r="CO670" s="25"/>
      <c r="CP670" s="25"/>
      <c r="CQ670" s="25"/>
      <c r="CR670" s="25"/>
      <c r="CS670" s="26"/>
    </row>
    <row r="671" spans="1:97" s="27" customFormat="1" ht="23.25" customHeight="1">
      <c r="A671" s="4">
        <v>563</v>
      </c>
      <c r="B671" s="6"/>
      <c r="C671" s="6"/>
      <c r="D671" s="6"/>
      <c r="E671" s="6"/>
      <c r="F671" s="6"/>
      <c r="G671" s="6"/>
      <c r="H671" s="5"/>
      <c r="I671" s="6"/>
      <c r="J671" s="7" t="s">
        <v>166</v>
      </c>
      <c r="K671" s="7" t="s">
        <v>374</v>
      </c>
      <c r="L671" s="8"/>
      <c r="M671" s="5">
        <v>1694</v>
      </c>
      <c r="N671" s="5" t="s">
        <v>11257</v>
      </c>
      <c r="O671" s="9" t="s">
        <v>11258</v>
      </c>
      <c r="P671" s="10" t="s">
        <v>11259</v>
      </c>
      <c r="Q671" s="389" t="s">
        <v>11260</v>
      </c>
      <c r="R671" s="8" t="s">
        <v>11300</v>
      </c>
      <c r="S671" s="212" t="s">
        <v>13587</v>
      </c>
      <c r="T671" s="8" t="s">
        <v>11261</v>
      </c>
      <c r="U671" s="11" t="s">
        <v>172</v>
      </c>
      <c r="V671" s="12" t="s">
        <v>653</v>
      </c>
      <c r="W671" s="13">
        <v>41869</v>
      </c>
      <c r="X671" s="5" t="str">
        <f t="shared" ca="1" si="29"/>
        <v>12 Th, 0 Bln</v>
      </c>
      <c r="Y671" s="5"/>
      <c r="Z671" s="14"/>
      <c r="AA671" s="5" t="s">
        <v>96</v>
      </c>
      <c r="AB671" s="5"/>
      <c r="AC671" s="7" t="s">
        <v>11262</v>
      </c>
      <c r="AD671" s="131"/>
      <c r="AE671" s="131"/>
      <c r="AF671" s="7" t="s">
        <v>615</v>
      </c>
      <c r="AG671" s="7" t="s">
        <v>178</v>
      </c>
      <c r="AH671" s="7" t="s">
        <v>178</v>
      </c>
      <c r="AI671" s="7"/>
      <c r="AJ671" s="7" t="s">
        <v>103</v>
      </c>
      <c r="AK671" s="7"/>
      <c r="AL671" s="7"/>
      <c r="AM671" s="15"/>
      <c r="AN671" s="15"/>
      <c r="AO671" s="8">
        <v>1</v>
      </c>
      <c r="AP671" s="8"/>
      <c r="AQ671" s="8"/>
      <c r="AR671" s="8"/>
      <c r="AS671" s="132" t="s">
        <v>11241</v>
      </c>
      <c r="AT671" s="131" t="s">
        <v>1178</v>
      </c>
      <c r="AU671" s="132"/>
      <c r="AV671" s="16"/>
      <c r="AW671" s="56"/>
      <c r="AX671" s="56"/>
      <c r="AY671" s="7" t="s">
        <v>11263</v>
      </c>
      <c r="AZ671" s="10" t="s">
        <v>11264</v>
      </c>
      <c r="BA671" s="7" t="s">
        <v>94</v>
      </c>
      <c r="BB671" s="17">
        <v>30918</v>
      </c>
      <c r="BC671" s="17"/>
      <c r="BD671" s="18" t="s">
        <v>11265</v>
      </c>
      <c r="BE671" s="7" t="s">
        <v>118</v>
      </c>
      <c r="BF671" s="7" t="s">
        <v>247</v>
      </c>
      <c r="BG671" s="7" t="s">
        <v>11266</v>
      </c>
      <c r="BH671" s="7" t="s">
        <v>11267</v>
      </c>
      <c r="BI671" s="19" t="s">
        <v>11268</v>
      </c>
      <c r="BJ671" s="20">
        <v>4000000</v>
      </c>
      <c r="BK671" s="21" t="s">
        <v>11269</v>
      </c>
      <c r="BL671" s="7" t="s">
        <v>11270</v>
      </c>
      <c r="BM671" s="22" t="s">
        <v>11271</v>
      </c>
      <c r="BN671" s="8" t="s">
        <v>1031</v>
      </c>
      <c r="BO671" s="17">
        <v>30880</v>
      </c>
      <c r="BP671" s="17"/>
      <c r="BQ671" s="18" t="s">
        <v>11272</v>
      </c>
      <c r="BR671" s="7" t="s">
        <v>118</v>
      </c>
      <c r="BS671" s="7" t="s">
        <v>276</v>
      </c>
      <c r="BT671" s="7" t="s">
        <v>11273</v>
      </c>
      <c r="BU671" s="8" t="s">
        <v>11274</v>
      </c>
      <c r="BV671" s="23" t="s">
        <v>11275</v>
      </c>
      <c r="BW671" s="24">
        <v>3000000</v>
      </c>
      <c r="BX671" s="21" t="s">
        <v>11276</v>
      </c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N671" s="25"/>
      <c r="CO671" s="25"/>
      <c r="CP671" s="25"/>
      <c r="CQ671" s="25"/>
      <c r="CR671" s="25"/>
      <c r="CS671" s="26"/>
    </row>
    <row r="672" spans="1:97" s="87" customFormat="1" ht="23.25" customHeight="1">
      <c r="A672" s="175">
        <v>536</v>
      </c>
      <c r="B672" s="61"/>
      <c r="C672" s="61"/>
      <c r="D672" s="61"/>
      <c r="E672" s="61"/>
      <c r="F672" s="61"/>
      <c r="G672" s="61"/>
      <c r="H672" s="62"/>
      <c r="I672" s="61"/>
      <c r="J672" s="63" t="s">
        <v>166</v>
      </c>
      <c r="K672" s="63" t="s">
        <v>10768</v>
      </c>
      <c r="L672" s="64"/>
      <c r="M672" s="62">
        <v>1696</v>
      </c>
      <c r="N672" s="62" t="s">
        <v>10769</v>
      </c>
      <c r="O672" s="65" t="s">
        <v>10770</v>
      </c>
      <c r="P672" s="66" t="s">
        <v>10771</v>
      </c>
      <c r="Q672" s="391" t="s">
        <v>10772</v>
      </c>
      <c r="R672" s="64" t="s">
        <v>11300</v>
      </c>
      <c r="S672" s="212" t="s">
        <v>13587</v>
      </c>
      <c r="T672" s="64" t="s">
        <v>10773</v>
      </c>
      <c r="U672" s="67" t="s">
        <v>93</v>
      </c>
      <c r="V672" s="68" t="s">
        <v>94</v>
      </c>
      <c r="W672" s="69">
        <v>41657</v>
      </c>
      <c r="X672" s="64" t="str">
        <f t="shared" ca="1" si="29"/>
        <v>12 Th, 7 Bln</v>
      </c>
      <c r="Y672" s="64"/>
      <c r="Z672" s="14"/>
      <c r="AA672" s="64" t="s">
        <v>96</v>
      </c>
      <c r="AB672" s="64"/>
      <c r="AC672" s="63" t="s">
        <v>10774</v>
      </c>
      <c r="AD672" s="133">
        <v>2</v>
      </c>
      <c r="AE672" s="133">
        <v>11</v>
      </c>
      <c r="AF672" s="63" t="s">
        <v>409</v>
      </c>
      <c r="AG672" s="63" t="s">
        <v>410</v>
      </c>
      <c r="AH672" s="63" t="s">
        <v>141</v>
      </c>
      <c r="AI672" s="63"/>
      <c r="AJ672" s="63" t="s">
        <v>142</v>
      </c>
      <c r="AK672" s="63"/>
      <c r="AL672" s="63"/>
      <c r="AM672" s="71">
        <v>2147483647</v>
      </c>
      <c r="AN672" s="71"/>
      <c r="AO672" s="64">
        <v>1</v>
      </c>
      <c r="AP672" s="64"/>
      <c r="AQ672" s="64"/>
      <c r="AR672" s="64"/>
      <c r="AS672" s="134" t="s">
        <v>833</v>
      </c>
      <c r="AT672" s="133" t="s">
        <v>2937</v>
      </c>
      <c r="AU672" s="134"/>
      <c r="AV672" s="73"/>
      <c r="AW672" s="135"/>
      <c r="AX672" s="135"/>
      <c r="AY672" s="63" t="s">
        <v>10775</v>
      </c>
      <c r="AZ672" s="66" t="s">
        <v>10776</v>
      </c>
      <c r="BA672" s="63" t="s">
        <v>3340</v>
      </c>
      <c r="BB672" s="75">
        <v>28709</v>
      </c>
      <c r="BC672" s="75"/>
      <c r="BD672" s="76">
        <v>2147483647</v>
      </c>
      <c r="BE672" s="63" t="s">
        <v>10777</v>
      </c>
      <c r="BF672" s="63" t="s">
        <v>10778</v>
      </c>
      <c r="BG672" s="63" t="s">
        <v>10779</v>
      </c>
      <c r="BH672" s="63" t="s">
        <v>10780</v>
      </c>
      <c r="BI672" s="78"/>
      <c r="BJ672" s="475">
        <v>8000000</v>
      </c>
      <c r="BK672" s="476" t="s">
        <v>10781</v>
      </c>
      <c r="BL672" s="63" t="s">
        <v>10782</v>
      </c>
      <c r="BM672" s="477" t="s">
        <v>10783</v>
      </c>
      <c r="BN672" s="97" t="s">
        <v>3340</v>
      </c>
      <c r="BO672" s="75">
        <v>28891</v>
      </c>
      <c r="BP672" s="75"/>
      <c r="BQ672" s="76">
        <v>2147483647</v>
      </c>
      <c r="BR672" s="63" t="s">
        <v>10784</v>
      </c>
      <c r="BS672" s="63" t="s">
        <v>10785</v>
      </c>
      <c r="BT672" s="63" t="s">
        <v>10786</v>
      </c>
      <c r="BU672" s="63" t="s">
        <v>10787</v>
      </c>
      <c r="BV672" s="478" t="s">
        <v>10788</v>
      </c>
      <c r="BW672" s="479">
        <v>9000000</v>
      </c>
      <c r="BX672" s="83" t="s">
        <v>10789</v>
      </c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N672" s="85"/>
      <c r="CO672" s="85"/>
      <c r="CP672" s="85"/>
      <c r="CQ672" s="85"/>
      <c r="CR672" s="85"/>
      <c r="CS672" s="86"/>
    </row>
    <row r="677" spans="1:90" ht="52.5" customHeight="1">
      <c r="Q677" s="403" t="s">
        <v>11426</v>
      </c>
    </row>
    <row r="679" spans="1:90" s="168" customFormat="1" ht="45" customHeight="1">
      <c r="A679" s="151">
        <v>21</v>
      </c>
      <c r="B679" s="152"/>
      <c r="C679" s="152"/>
      <c r="D679" s="6"/>
      <c r="E679" s="6"/>
      <c r="F679" s="6"/>
      <c r="G679" s="151"/>
      <c r="H679" s="153"/>
      <c r="I679" s="169" t="s">
        <v>2452</v>
      </c>
      <c r="J679" s="169" t="s">
        <v>11865</v>
      </c>
      <c r="K679" s="169" t="s">
        <v>11866</v>
      </c>
      <c r="L679" s="151"/>
      <c r="M679" s="151">
        <v>2267</v>
      </c>
      <c r="N679" s="151"/>
      <c r="O679" s="151"/>
      <c r="P679" s="170" t="s">
        <v>11867</v>
      </c>
      <c r="Q679" s="387" t="s">
        <v>11868</v>
      </c>
      <c r="R679" s="151"/>
      <c r="S679" s="151">
        <v>1</v>
      </c>
      <c r="T679" s="151" t="s">
        <v>1534</v>
      </c>
      <c r="U679" s="151" t="s">
        <v>172</v>
      </c>
      <c r="V679" s="157" t="s">
        <v>94</v>
      </c>
      <c r="W679" s="171">
        <v>43685</v>
      </c>
      <c r="X679" s="159"/>
      <c r="Y679" s="172" t="s">
        <v>95</v>
      </c>
      <c r="Z679" s="173"/>
      <c r="AA679" s="159" t="s">
        <v>96</v>
      </c>
      <c r="AB679" s="151" t="s">
        <v>97</v>
      </c>
      <c r="AC679" s="162" t="s">
        <v>9654</v>
      </c>
      <c r="AD679" s="151" t="s">
        <v>100</v>
      </c>
      <c r="AE679" s="151" t="s">
        <v>546</v>
      </c>
      <c r="AF679" s="151" t="s">
        <v>295</v>
      </c>
      <c r="AG679" s="151" t="s">
        <v>178</v>
      </c>
      <c r="AH679" s="151" t="s">
        <v>178</v>
      </c>
      <c r="AI679" s="151">
        <v>65144</v>
      </c>
      <c r="AJ679" s="151" t="s">
        <v>103</v>
      </c>
      <c r="AK679" s="163"/>
      <c r="AL679" s="163"/>
      <c r="AM679" s="163" t="s">
        <v>12175</v>
      </c>
      <c r="AN679" s="151" t="s">
        <v>9658</v>
      </c>
      <c r="AO679" s="163" t="s">
        <v>12259</v>
      </c>
      <c r="AP679" s="163" t="s">
        <v>12260</v>
      </c>
      <c r="AQ679" s="163"/>
      <c r="AR679" s="163"/>
      <c r="AS679" s="280" t="s">
        <v>12277</v>
      </c>
      <c r="AT679" s="280" t="s">
        <v>12278</v>
      </c>
      <c r="AU679" s="163"/>
      <c r="AV679" s="163" t="s">
        <v>112</v>
      </c>
      <c r="AW679" s="163" t="s">
        <v>113</v>
      </c>
      <c r="AX679" s="163" t="s">
        <v>183</v>
      </c>
      <c r="AY679" s="164" t="s">
        <v>12343</v>
      </c>
      <c r="AZ679" s="151" t="s">
        <v>9657</v>
      </c>
      <c r="BA679" s="163" t="s">
        <v>653</v>
      </c>
      <c r="BB679" s="165">
        <v>30780</v>
      </c>
      <c r="BC679" s="163" t="s">
        <v>96</v>
      </c>
      <c r="BD679" s="163" t="s">
        <v>12175</v>
      </c>
      <c r="BE679" s="163" t="s">
        <v>118</v>
      </c>
      <c r="BF679" s="151" t="s">
        <v>247</v>
      </c>
      <c r="BG679" s="163" t="s">
        <v>12573</v>
      </c>
      <c r="BH679" s="163" t="s">
        <v>12660</v>
      </c>
      <c r="BI679" s="6"/>
      <c r="BJ679" s="166" t="s">
        <v>12764</v>
      </c>
      <c r="BK679" s="151" t="s">
        <v>12765</v>
      </c>
      <c r="BL679" s="167" t="s">
        <v>12875</v>
      </c>
      <c r="BM679" s="151" t="s">
        <v>9663</v>
      </c>
      <c r="BN679" s="151" t="s">
        <v>94</v>
      </c>
      <c r="BO679" s="165">
        <v>32385</v>
      </c>
      <c r="BP679" s="163" t="s">
        <v>96</v>
      </c>
      <c r="BQ679" s="163" t="s">
        <v>9658</v>
      </c>
      <c r="BR679" s="163" t="s">
        <v>118</v>
      </c>
      <c r="BS679" s="151" t="s">
        <v>126</v>
      </c>
      <c r="BT679" s="163" t="s">
        <v>2903</v>
      </c>
      <c r="BU679" s="163" t="s">
        <v>2903</v>
      </c>
      <c r="BV679" s="163" t="s">
        <v>9658</v>
      </c>
      <c r="BW679" s="163" t="s">
        <v>13168</v>
      </c>
      <c r="BX679" s="151" t="s">
        <v>9666</v>
      </c>
      <c r="BY679" s="151" t="s">
        <v>13227</v>
      </c>
      <c r="BZ679" s="163" t="s">
        <v>94</v>
      </c>
      <c r="CA679" s="283">
        <v>41780</v>
      </c>
      <c r="CB679" s="163"/>
      <c r="CC679" s="163" t="s">
        <v>9658</v>
      </c>
      <c r="CD679" s="163" t="s">
        <v>2818</v>
      </c>
      <c r="CE679" s="163" t="s">
        <v>13247</v>
      </c>
      <c r="CF679" s="151"/>
      <c r="CG679" s="163"/>
      <c r="CH679" s="151"/>
      <c r="CI679" s="151"/>
      <c r="CJ679" s="151"/>
      <c r="CK679" s="151"/>
      <c r="CL679" s="151"/>
    </row>
    <row r="775" spans="11:67" s="139" customFormat="1">
      <c r="K775" s="140"/>
      <c r="M775" s="141"/>
      <c r="N775" s="141"/>
      <c r="O775" s="141"/>
      <c r="P775" s="141"/>
      <c r="Q775" s="506" t="s">
        <v>11426</v>
      </c>
      <c r="R775" s="141"/>
      <c r="AD775" s="141"/>
      <c r="AE775" s="141"/>
      <c r="AO775" s="141"/>
      <c r="AP775" s="141"/>
      <c r="AQ775" s="141"/>
      <c r="AR775" s="141"/>
      <c r="AS775" s="141"/>
      <c r="AT775" s="141"/>
      <c r="AU775" s="141"/>
      <c r="AW775" s="140"/>
      <c r="AX775" s="140"/>
      <c r="AY775" s="140"/>
      <c r="BB775" s="142"/>
      <c r="BL775" s="143"/>
      <c r="BN775" s="141"/>
      <c r="BO775" s="144"/>
    </row>
    <row r="776" spans="11:67" s="139" customFormat="1">
      <c r="K776" s="140"/>
      <c r="M776" s="141"/>
      <c r="N776" s="141"/>
      <c r="O776" s="141"/>
      <c r="P776" s="141"/>
      <c r="Q776" s="507"/>
      <c r="R776" s="141"/>
      <c r="AD776" s="141"/>
      <c r="AE776" s="141"/>
      <c r="AO776" s="141"/>
      <c r="AP776" s="141"/>
      <c r="AQ776" s="141"/>
      <c r="AR776" s="141"/>
      <c r="AS776" s="141"/>
      <c r="AT776" s="141"/>
      <c r="AU776" s="141"/>
      <c r="AW776" s="140"/>
      <c r="AX776" s="140"/>
      <c r="AY776" s="140"/>
      <c r="BB776" s="142"/>
      <c r="BL776" s="143"/>
      <c r="BN776" s="141"/>
      <c r="BO776" s="144"/>
    </row>
  </sheetData>
  <autoFilter ref="A1:CL772" xr:uid="{0CEFFC19-9180-4C8C-8C03-5B0E46D8D61D}">
    <filterColumn colId="1" showButton="0"/>
    <filterColumn colId="2" showButton="0"/>
    <filterColumn colId="3" showButton="0"/>
    <filterColumn colId="4" showButton="0"/>
    <sortState xmlns:xlrd2="http://schemas.microsoft.com/office/spreadsheetml/2017/richdata2" ref="A299:CL772">
      <sortCondition ref="R1:R772"/>
    </sortState>
  </autoFilter>
  <mergeCells count="86">
    <mergeCell ref="CK1:CK2"/>
    <mergeCell ref="CL1:CL2"/>
    <mergeCell ref="CE1:CE2"/>
    <mergeCell ref="CF1:CF2"/>
    <mergeCell ref="CG1:CG2"/>
    <mergeCell ref="CH1:CH2"/>
    <mergeCell ref="CI1:CI2"/>
    <mergeCell ref="CJ1:CJ2"/>
    <mergeCell ref="CD1:CD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BR1:BR2"/>
    <mergeCell ref="BF1:BF2"/>
    <mergeCell ref="BG1:BG2"/>
    <mergeCell ref="BH1:BH2"/>
    <mergeCell ref="BJ1:BJ2"/>
    <mergeCell ref="BK1:BK2"/>
    <mergeCell ref="BL1:BL2"/>
    <mergeCell ref="BM1:BM2"/>
    <mergeCell ref="BN1:BN2"/>
    <mergeCell ref="BO1:BO2"/>
    <mergeCell ref="BP1:BP2"/>
    <mergeCell ref="BQ1:BQ2"/>
    <mergeCell ref="BE1:BE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AS1:AS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U1:U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Q775:Q776"/>
    <mergeCell ref="J1:J2"/>
    <mergeCell ref="A1:A2"/>
    <mergeCell ref="B1:F1"/>
    <mergeCell ref="G1:G2"/>
    <mergeCell ref="H1:H2"/>
    <mergeCell ref="I1:I2"/>
  </mergeCells>
  <phoneticPr fontId="18" type="noConversion"/>
  <dataValidations count="2">
    <dataValidation type="list" allowBlank="1" showInputMessage="1" showErrorMessage="1" sqref="H1:K1" xr:uid="{2484B45A-4369-4A6F-8EB1-821C13217FF9}">
      <formula1>$H$219:$H$506</formula1>
    </dataValidation>
    <dataValidation type="list" allowBlank="1" showInputMessage="1" showErrorMessage="1" sqref="G1" xr:uid="{2CA6D50C-5B3E-40E0-98F1-5C4236F94D92}">
      <formula1>$G$219:$G$506</formula1>
    </dataValidation>
  </dataValidations>
  <hyperlinks>
    <hyperlink ref="BK263" r:id="rId1" xr:uid="{849D8CB1-FFA2-4749-AC66-901E93F7ED2F}"/>
    <hyperlink ref="BX263" r:id="rId2" xr:uid="{01A4AE17-ED82-4945-BDB1-CB8263C575D1}"/>
    <hyperlink ref="BX112" r:id="rId3" xr:uid="{DFC2E365-5D01-4F58-8B75-F0999283D142}"/>
    <hyperlink ref="BH336" r:id="rId4" display="www.teluu.com" xr:uid="{A052CBE1-A86F-468F-8212-F58C6AF952A8}"/>
    <hyperlink ref="BK530" r:id="rId5" xr:uid="{48E15700-16B0-41B7-A3D4-941321F978F2}"/>
    <hyperlink ref="BK523" r:id="rId6" xr:uid="{4EBC3495-D433-4C69-9BA7-58C8EA395DF3}"/>
    <hyperlink ref="BK483" r:id="rId7" xr:uid="{415A99BD-3479-424D-8B7B-FFA9F09B0418}"/>
    <hyperlink ref="BX483" r:id="rId8" xr:uid="{A45463E0-9DB5-4F8B-8E28-12613A28110E}"/>
    <hyperlink ref="BK651" r:id="rId9" xr:uid="{46B01BA7-3F06-4472-BBC5-19D870564A0A}"/>
    <hyperlink ref="BK582" r:id="rId10" xr:uid="{2AB36E97-6AF1-48D4-8492-9EA8003493E2}"/>
    <hyperlink ref="BX582" r:id="rId11" xr:uid="{31A69633-7F90-4475-9FCB-2243B729724E}"/>
    <hyperlink ref="BK623" r:id="rId12" xr:uid="{7CDA3194-6DCE-4ADA-99DB-97BC17BA73DF}"/>
    <hyperlink ref="BX623" r:id="rId13" xr:uid="{B1C34B4B-6906-45AA-8658-204B6AB9BD0F}"/>
    <hyperlink ref="BK572" r:id="rId14" xr:uid="{40773EA5-BC8D-42E0-A22B-28D2A002B223}"/>
    <hyperlink ref="BK576" r:id="rId15" xr:uid="{55682C32-F945-4100-81C6-7F17CC0CBBD3}"/>
    <hyperlink ref="BX576" r:id="rId16" xr:uid="{8FB37206-8D6E-457B-A44C-DD80B8EFB2BE}"/>
    <hyperlink ref="BK570" r:id="rId17" xr:uid="{5C362188-32F9-4DC9-B73C-4B0A08992C45}"/>
    <hyperlink ref="BX570" r:id="rId18" xr:uid="{148DE7C6-1FD1-4FFF-918B-116BFCA20FB0}"/>
    <hyperlink ref="BK612" r:id="rId19" xr:uid="{2FBF21E8-8AEB-462A-925C-3EA8980E2D40}"/>
    <hyperlink ref="BK583" r:id="rId20" xr:uid="{8E9AC50E-B62F-424C-8F23-85431E538C75}"/>
    <hyperlink ref="BX583" r:id="rId21" xr:uid="{9A91E432-B057-47DA-AA9C-CE3ED84A108C}"/>
    <hyperlink ref="BX614" r:id="rId22" xr:uid="{5ADE50E4-D99D-43D8-B6CA-DB0D18D73115}"/>
    <hyperlink ref="BK463" r:id="rId23" xr:uid="{F15124D3-5DA9-4516-B527-0564F8FF625C}"/>
    <hyperlink ref="BX463" r:id="rId24" xr:uid="{7DC94F56-F0F3-4D01-B193-CA5454EF7E8E}"/>
    <hyperlink ref="BK499" r:id="rId25" xr:uid="{26D69B8F-983E-4EAA-824C-FC4A0C839C6E}"/>
    <hyperlink ref="BX499" r:id="rId26" xr:uid="{73156970-F7A7-44C5-ACFA-0DDEC5E20CA1}"/>
    <hyperlink ref="BK524" r:id="rId27" xr:uid="{FDC82B17-56AE-4BAF-9662-106282295D85}"/>
    <hyperlink ref="BK343" r:id="rId28" xr:uid="{B2368503-2E5F-491C-B583-C58F72B9CE2C}"/>
    <hyperlink ref="BK389" r:id="rId29" xr:uid="{F647E9B1-73CE-47A6-BE8F-7D029A4C53DB}"/>
    <hyperlink ref="BX389" r:id="rId30" xr:uid="{03329902-23BB-4785-ADAE-B14D16D5FE60}"/>
    <hyperlink ref="BK581" r:id="rId31" xr:uid="{F86E9F9F-58FC-41E3-B733-CC08D29F2EBC}"/>
    <hyperlink ref="BX581" r:id="rId32" xr:uid="{0E97FCAD-B990-471C-BA39-7C655B98EE56}"/>
    <hyperlink ref="BK490" r:id="rId33" xr:uid="{75436C1C-E37C-4506-BB63-9463109FDE8A}"/>
    <hyperlink ref="BX490" r:id="rId34" xr:uid="{E65C9E32-C90B-43DC-91F0-C0BF04D93065}"/>
    <hyperlink ref="BK657" r:id="rId35" xr:uid="{5710970F-F704-4597-B5E2-0529FD973880}"/>
    <hyperlink ref="BX657" r:id="rId36" xr:uid="{53EE20C2-2526-4827-AF24-FCB7A5DF8B8B}"/>
    <hyperlink ref="BX597" r:id="rId37" xr:uid="{5EBC0193-585F-44A2-AA98-CCDDD5FC4261}"/>
    <hyperlink ref="BK387" r:id="rId38" xr:uid="{A7F7F7B9-1FA1-4D12-8763-92A4A6056570}"/>
    <hyperlink ref="BX387" r:id="rId39" xr:uid="{58D4A3D6-E324-470B-BE31-3545D522379D}"/>
    <hyperlink ref="BK402" r:id="rId40" xr:uid="{395318AF-3114-4812-9C03-F8ED15DE6A98}"/>
    <hyperlink ref="BX402" r:id="rId41" xr:uid="{18F1D229-9A86-4B97-AD9B-CB4029137FDD}"/>
    <hyperlink ref="BX520" r:id="rId42" xr:uid="{70478800-6857-4DB6-9918-467A12469482}"/>
    <hyperlink ref="BK358" r:id="rId43" xr:uid="{5787E319-E042-4A32-BF8C-F52164E811D2}"/>
    <hyperlink ref="BX358" r:id="rId44" xr:uid="{387B5B82-4578-4EC5-A559-83717AC687BA}"/>
    <hyperlink ref="BK448" r:id="rId45" xr:uid="{A451E7BD-D78F-4C37-978B-1F132E4E6E04}"/>
    <hyperlink ref="BX448" r:id="rId46" xr:uid="{6BDDEB07-8D7D-4E5A-B362-0E09E49C37DE}"/>
    <hyperlink ref="BK445" r:id="rId47" xr:uid="{7A9D903E-2142-4E6D-8460-520EF4BBF8BC}"/>
    <hyperlink ref="BK429" r:id="rId48" xr:uid="{ABF92B9C-EE8D-4AD8-BCCF-5FD36346A8D6}"/>
    <hyperlink ref="BX429" r:id="rId49" xr:uid="{8CF8162D-5985-4110-B947-313F2D43F382}"/>
    <hyperlink ref="BK224" r:id="rId50" xr:uid="{B5014AC4-466C-4D38-BC9F-B3EEFB836B70}"/>
    <hyperlink ref="BX224" r:id="rId51" xr:uid="{31334CD9-7F18-4571-BEEA-337C153A977E}"/>
    <hyperlink ref="BX421" r:id="rId52" xr:uid="{0811EE4F-7682-44A2-A547-C0D6DFE9AACA}"/>
    <hyperlink ref="BK250" r:id="rId53" xr:uid="{DA935E00-FB10-462E-B55B-61DF99BE2350}"/>
    <hyperlink ref="BX250" r:id="rId54" xr:uid="{CBB5F18B-5C49-4AA3-815F-926E2A6C9957}"/>
    <hyperlink ref="BK306" r:id="rId55" xr:uid="{C4C2D0D7-5D21-4AB7-93E9-FB7ABE979AA9}"/>
    <hyperlink ref="BX306" r:id="rId56" xr:uid="{87DD884F-BC50-45BC-B460-974DD99233FB}"/>
    <hyperlink ref="BK299" r:id="rId57" xr:uid="{B89D0C9B-C8A7-4375-842C-231ED0CFA8B2}"/>
    <hyperlink ref="BX299" r:id="rId58" xr:uid="{8ADA2E79-9653-4DDE-8D7E-DEDA4E3D083F}"/>
  </hyperlinks>
  <pageMargins left="0.7" right="0.7" top="0.75" bottom="0.75" header="0.3" footer="0.3"/>
  <pageSetup paperSize="9" orientation="portrait" horizontalDpi="0" verticalDpi="0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D12F-79FE-4C39-A27F-C5A52450F037}">
  <dimension ref="A1:AQ82"/>
  <sheetViews>
    <sheetView zoomScale="51" zoomScaleNormal="51" workbookViewId="0">
      <selection activeCell="L54" sqref="L54"/>
    </sheetView>
  </sheetViews>
  <sheetFormatPr defaultRowHeight="18"/>
  <cols>
    <col min="1" max="1" width="19.75" style="412" customWidth="1"/>
    <col min="2" max="2" width="4.875" style="412" customWidth="1"/>
    <col min="3" max="3" width="13" style="469" bestFit="1" customWidth="1"/>
    <col min="4" max="4" width="12.375" style="469" bestFit="1" customWidth="1"/>
    <col min="5" max="5" width="16.375" style="469" bestFit="1" customWidth="1"/>
    <col min="6" max="6" width="12" style="469" bestFit="1" customWidth="1"/>
    <col min="7" max="7" width="12.75" style="469" customWidth="1"/>
    <col min="8" max="8" width="45.25" style="440" customWidth="1"/>
    <col min="9" max="9" width="38.625" style="440" customWidth="1"/>
    <col min="10" max="10" width="53.375" style="440" customWidth="1"/>
    <col min="11" max="11" width="48.75" style="440" customWidth="1"/>
    <col min="12" max="12" width="41.25" style="409" bestFit="1" customWidth="1"/>
    <col min="13" max="13" width="16.375" style="409" bestFit="1" customWidth="1"/>
    <col min="14" max="41" width="9" style="409" customWidth="1"/>
    <col min="42" max="251" width="9.125" style="410"/>
    <col min="252" max="252" width="14.875" style="410" bestFit="1" customWidth="1"/>
    <col min="253" max="253" width="2.875" style="410" bestFit="1" customWidth="1"/>
    <col min="254" max="254" width="9.125" style="410"/>
    <col min="255" max="255" width="8.375" style="410" bestFit="1" customWidth="1"/>
    <col min="256" max="256" width="11.125" style="410" bestFit="1" customWidth="1"/>
    <col min="257" max="257" width="10.625" style="410" bestFit="1" customWidth="1"/>
    <col min="258" max="258" width="8.25" style="410" bestFit="1" customWidth="1"/>
    <col min="259" max="259" width="7.25" style="410" bestFit="1" customWidth="1"/>
    <col min="260" max="260" width="31.625" style="410" bestFit="1" customWidth="1"/>
    <col min="261" max="261" width="36.625" style="410" bestFit="1" customWidth="1"/>
    <col min="262" max="262" width="40.375" style="410" bestFit="1" customWidth="1"/>
    <col min="263" max="263" width="28.75" style="410" bestFit="1" customWidth="1"/>
    <col min="264" max="264" width="54.625" style="410" bestFit="1" customWidth="1"/>
    <col min="265" max="265" width="25.125" style="410" bestFit="1" customWidth="1"/>
    <col min="266" max="266" width="9" style="410" customWidth="1"/>
    <col min="267" max="267" width="13" style="410" bestFit="1" customWidth="1"/>
    <col min="268" max="297" width="9" style="410" customWidth="1"/>
    <col min="298" max="507" width="9.125" style="410"/>
    <col min="508" max="508" width="14.875" style="410" bestFit="1" customWidth="1"/>
    <col min="509" max="509" width="2.875" style="410" bestFit="1" customWidth="1"/>
    <col min="510" max="510" width="9.125" style="410"/>
    <col min="511" max="511" width="8.375" style="410" bestFit="1" customWidth="1"/>
    <col min="512" max="512" width="11.125" style="410" bestFit="1" customWidth="1"/>
    <col min="513" max="513" width="10.625" style="410" bestFit="1" customWidth="1"/>
    <col min="514" max="514" width="8.25" style="410" bestFit="1" customWidth="1"/>
    <col min="515" max="515" width="7.25" style="410" bestFit="1" customWidth="1"/>
    <col min="516" max="516" width="31.625" style="410" bestFit="1" customWidth="1"/>
    <col min="517" max="517" width="36.625" style="410" bestFit="1" customWidth="1"/>
    <col min="518" max="518" width="40.375" style="410" bestFit="1" customWidth="1"/>
    <col min="519" max="519" width="28.75" style="410" bestFit="1" customWidth="1"/>
    <col min="520" max="520" width="54.625" style="410" bestFit="1" customWidth="1"/>
    <col min="521" max="521" width="25.125" style="410" bestFit="1" customWidth="1"/>
    <col min="522" max="522" width="9" style="410" customWidth="1"/>
    <col min="523" max="523" width="13" style="410" bestFit="1" customWidth="1"/>
    <col min="524" max="553" width="9" style="410" customWidth="1"/>
    <col min="554" max="763" width="9.125" style="410"/>
    <col min="764" max="764" width="14.875" style="410" bestFit="1" customWidth="1"/>
    <col min="765" max="765" width="2.875" style="410" bestFit="1" customWidth="1"/>
    <col min="766" max="766" width="9.125" style="410"/>
    <col min="767" max="767" width="8.375" style="410" bestFit="1" customWidth="1"/>
    <col min="768" max="768" width="11.125" style="410" bestFit="1" customWidth="1"/>
    <col min="769" max="769" width="10.625" style="410" bestFit="1" customWidth="1"/>
    <col min="770" max="770" width="8.25" style="410" bestFit="1" customWidth="1"/>
    <col min="771" max="771" width="7.25" style="410" bestFit="1" customWidth="1"/>
    <col min="772" max="772" width="31.625" style="410" bestFit="1" customWidth="1"/>
    <col min="773" max="773" width="36.625" style="410" bestFit="1" customWidth="1"/>
    <col min="774" max="774" width="40.375" style="410" bestFit="1" customWidth="1"/>
    <col min="775" max="775" width="28.75" style="410" bestFit="1" customWidth="1"/>
    <col min="776" max="776" width="54.625" style="410" bestFit="1" customWidth="1"/>
    <col min="777" max="777" width="25.125" style="410" bestFit="1" customWidth="1"/>
    <col min="778" max="778" width="9" style="410" customWidth="1"/>
    <col min="779" max="779" width="13" style="410" bestFit="1" customWidth="1"/>
    <col min="780" max="809" width="9" style="410" customWidth="1"/>
    <col min="810" max="1019" width="9.125" style="410"/>
    <col min="1020" max="1020" width="14.875" style="410" bestFit="1" customWidth="1"/>
    <col min="1021" max="1021" width="2.875" style="410" bestFit="1" customWidth="1"/>
    <col min="1022" max="1022" width="9.125" style="410"/>
    <col min="1023" max="1023" width="8.375" style="410" bestFit="1" customWidth="1"/>
    <col min="1024" max="1024" width="11.125" style="410" bestFit="1" customWidth="1"/>
    <col min="1025" max="1025" width="10.625" style="410" bestFit="1" customWidth="1"/>
    <col min="1026" max="1026" width="8.25" style="410" bestFit="1" customWidth="1"/>
    <col min="1027" max="1027" width="7.25" style="410" bestFit="1" customWidth="1"/>
    <col min="1028" max="1028" width="31.625" style="410" bestFit="1" customWidth="1"/>
    <col min="1029" max="1029" width="36.625" style="410" bestFit="1" customWidth="1"/>
    <col min="1030" max="1030" width="40.375" style="410" bestFit="1" customWidth="1"/>
    <col min="1031" max="1031" width="28.75" style="410" bestFit="1" customWidth="1"/>
    <col min="1032" max="1032" width="54.625" style="410" bestFit="1" customWidth="1"/>
    <col min="1033" max="1033" width="25.125" style="410" bestFit="1" customWidth="1"/>
    <col min="1034" max="1034" width="9" style="410" customWidth="1"/>
    <col min="1035" max="1035" width="13" style="410" bestFit="1" customWidth="1"/>
    <col min="1036" max="1065" width="9" style="410" customWidth="1"/>
    <col min="1066" max="1275" width="9.125" style="410"/>
    <col min="1276" max="1276" width="14.875" style="410" bestFit="1" customWidth="1"/>
    <col min="1277" max="1277" width="2.875" style="410" bestFit="1" customWidth="1"/>
    <col min="1278" max="1278" width="9.125" style="410"/>
    <col min="1279" max="1279" width="8.375" style="410" bestFit="1" customWidth="1"/>
    <col min="1280" max="1280" width="11.125" style="410" bestFit="1" customWidth="1"/>
    <col min="1281" max="1281" width="10.625" style="410" bestFit="1" customWidth="1"/>
    <col min="1282" max="1282" width="8.25" style="410" bestFit="1" customWidth="1"/>
    <col min="1283" max="1283" width="7.25" style="410" bestFit="1" customWidth="1"/>
    <col min="1284" max="1284" width="31.625" style="410" bestFit="1" customWidth="1"/>
    <col min="1285" max="1285" width="36.625" style="410" bestFit="1" customWidth="1"/>
    <col min="1286" max="1286" width="40.375" style="410" bestFit="1" customWidth="1"/>
    <col min="1287" max="1287" width="28.75" style="410" bestFit="1" customWidth="1"/>
    <col min="1288" max="1288" width="54.625" style="410" bestFit="1" customWidth="1"/>
    <col min="1289" max="1289" width="25.125" style="410" bestFit="1" customWidth="1"/>
    <col min="1290" max="1290" width="9" style="410" customWidth="1"/>
    <col min="1291" max="1291" width="13" style="410" bestFit="1" customWidth="1"/>
    <col min="1292" max="1321" width="9" style="410" customWidth="1"/>
    <col min="1322" max="1531" width="9.125" style="410"/>
    <col min="1532" max="1532" width="14.875" style="410" bestFit="1" customWidth="1"/>
    <col min="1533" max="1533" width="2.875" style="410" bestFit="1" customWidth="1"/>
    <col min="1534" max="1534" width="9.125" style="410"/>
    <col min="1535" max="1535" width="8.375" style="410" bestFit="1" customWidth="1"/>
    <col min="1536" max="1536" width="11.125" style="410" bestFit="1" customWidth="1"/>
    <col min="1537" max="1537" width="10.625" style="410" bestFit="1" customWidth="1"/>
    <col min="1538" max="1538" width="8.25" style="410" bestFit="1" customWidth="1"/>
    <col min="1539" max="1539" width="7.25" style="410" bestFit="1" customWidth="1"/>
    <col min="1540" max="1540" width="31.625" style="410" bestFit="1" customWidth="1"/>
    <col min="1541" max="1541" width="36.625" style="410" bestFit="1" customWidth="1"/>
    <col min="1542" max="1542" width="40.375" style="410" bestFit="1" customWidth="1"/>
    <col min="1543" max="1543" width="28.75" style="410" bestFit="1" customWidth="1"/>
    <col min="1544" max="1544" width="54.625" style="410" bestFit="1" customWidth="1"/>
    <col min="1545" max="1545" width="25.125" style="410" bestFit="1" customWidth="1"/>
    <col min="1546" max="1546" width="9" style="410" customWidth="1"/>
    <col min="1547" max="1547" width="13" style="410" bestFit="1" customWidth="1"/>
    <col min="1548" max="1577" width="9" style="410" customWidth="1"/>
    <col min="1578" max="1787" width="9.125" style="410"/>
    <col min="1788" max="1788" width="14.875" style="410" bestFit="1" customWidth="1"/>
    <col min="1789" max="1789" width="2.875" style="410" bestFit="1" customWidth="1"/>
    <col min="1790" max="1790" width="9.125" style="410"/>
    <col min="1791" max="1791" width="8.375" style="410" bestFit="1" customWidth="1"/>
    <col min="1792" max="1792" width="11.125" style="410" bestFit="1" customWidth="1"/>
    <col min="1793" max="1793" width="10.625" style="410" bestFit="1" customWidth="1"/>
    <col min="1794" max="1794" width="8.25" style="410" bestFit="1" customWidth="1"/>
    <col min="1795" max="1795" width="7.25" style="410" bestFit="1" customWidth="1"/>
    <col min="1796" max="1796" width="31.625" style="410" bestFit="1" customWidth="1"/>
    <col min="1797" max="1797" width="36.625" style="410" bestFit="1" customWidth="1"/>
    <col min="1798" max="1798" width="40.375" style="410" bestFit="1" customWidth="1"/>
    <col min="1799" max="1799" width="28.75" style="410" bestFit="1" customWidth="1"/>
    <col min="1800" max="1800" width="54.625" style="410" bestFit="1" customWidth="1"/>
    <col min="1801" max="1801" width="25.125" style="410" bestFit="1" customWidth="1"/>
    <col min="1802" max="1802" width="9" style="410" customWidth="1"/>
    <col min="1803" max="1803" width="13" style="410" bestFit="1" customWidth="1"/>
    <col min="1804" max="1833" width="9" style="410" customWidth="1"/>
    <col min="1834" max="2043" width="9.125" style="410"/>
    <col min="2044" max="2044" width="14.875" style="410" bestFit="1" customWidth="1"/>
    <col min="2045" max="2045" width="2.875" style="410" bestFit="1" customWidth="1"/>
    <col min="2046" max="2046" width="9.125" style="410"/>
    <col min="2047" max="2047" width="8.375" style="410" bestFit="1" customWidth="1"/>
    <col min="2048" max="2048" width="11.125" style="410" bestFit="1" customWidth="1"/>
    <col min="2049" max="2049" width="10.625" style="410" bestFit="1" customWidth="1"/>
    <col min="2050" max="2050" width="8.25" style="410" bestFit="1" customWidth="1"/>
    <col min="2051" max="2051" width="7.25" style="410" bestFit="1" customWidth="1"/>
    <col min="2052" max="2052" width="31.625" style="410" bestFit="1" customWidth="1"/>
    <col min="2053" max="2053" width="36.625" style="410" bestFit="1" customWidth="1"/>
    <col min="2054" max="2054" width="40.375" style="410" bestFit="1" customWidth="1"/>
    <col min="2055" max="2055" width="28.75" style="410" bestFit="1" customWidth="1"/>
    <col min="2056" max="2056" width="54.625" style="410" bestFit="1" customWidth="1"/>
    <col min="2057" max="2057" width="25.125" style="410" bestFit="1" customWidth="1"/>
    <col min="2058" max="2058" width="9" style="410" customWidth="1"/>
    <col min="2059" max="2059" width="13" style="410" bestFit="1" customWidth="1"/>
    <col min="2060" max="2089" width="9" style="410" customWidth="1"/>
    <col min="2090" max="2299" width="9.125" style="410"/>
    <col min="2300" max="2300" width="14.875" style="410" bestFit="1" customWidth="1"/>
    <col min="2301" max="2301" width="2.875" style="410" bestFit="1" customWidth="1"/>
    <col min="2302" max="2302" width="9.125" style="410"/>
    <col min="2303" max="2303" width="8.375" style="410" bestFit="1" customWidth="1"/>
    <col min="2304" max="2304" width="11.125" style="410" bestFit="1" customWidth="1"/>
    <col min="2305" max="2305" width="10.625" style="410" bestFit="1" customWidth="1"/>
    <col min="2306" max="2306" width="8.25" style="410" bestFit="1" customWidth="1"/>
    <col min="2307" max="2307" width="7.25" style="410" bestFit="1" customWidth="1"/>
    <col min="2308" max="2308" width="31.625" style="410" bestFit="1" customWidth="1"/>
    <col min="2309" max="2309" width="36.625" style="410" bestFit="1" customWidth="1"/>
    <col min="2310" max="2310" width="40.375" style="410" bestFit="1" customWidth="1"/>
    <col min="2311" max="2311" width="28.75" style="410" bestFit="1" customWidth="1"/>
    <col min="2312" max="2312" width="54.625" style="410" bestFit="1" customWidth="1"/>
    <col min="2313" max="2313" width="25.125" style="410" bestFit="1" customWidth="1"/>
    <col min="2314" max="2314" width="9" style="410" customWidth="1"/>
    <col min="2315" max="2315" width="13" style="410" bestFit="1" customWidth="1"/>
    <col min="2316" max="2345" width="9" style="410" customWidth="1"/>
    <col min="2346" max="2555" width="9.125" style="410"/>
    <col min="2556" max="2556" width="14.875" style="410" bestFit="1" customWidth="1"/>
    <col min="2557" max="2557" width="2.875" style="410" bestFit="1" customWidth="1"/>
    <col min="2558" max="2558" width="9.125" style="410"/>
    <col min="2559" max="2559" width="8.375" style="410" bestFit="1" customWidth="1"/>
    <col min="2560" max="2560" width="11.125" style="410" bestFit="1" customWidth="1"/>
    <col min="2561" max="2561" width="10.625" style="410" bestFit="1" customWidth="1"/>
    <col min="2562" max="2562" width="8.25" style="410" bestFit="1" customWidth="1"/>
    <col min="2563" max="2563" width="7.25" style="410" bestFit="1" customWidth="1"/>
    <col min="2564" max="2564" width="31.625" style="410" bestFit="1" customWidth="1"/>
    <col min="2565" max="2565" width="36.625" style="410" bestFit="1" customWidth="1"/>
    <col min="2566" max="2566" width="40.375" style="410" bestFit="1" customWidth="1"/>
    <col min="2567" max="2567" width="28.75" style="410" bestFit="1" customWidth="1"/>
    <col min="2568" max="2568" width="54.625" style="410" bestFit="1" customWidth="1"/>
    <col min="2569" max="2569" width="25.125" style="410" bestFit="1" customWidth="1"/>
    <col min="2570" max="2570" width="9" style="410" customWidth="1"/>
    <col min="2571" max="2571" width="13" style="410" bestFit="1" customWidth="1"/>
    <col min="2572" max="2601" width="9" style="410" customWidth="1"/>
    <col min="2602" max="2811" width="9.125" style="410"/>
    <col min="2812" max="2812" width="14.875" style="410" bestFit="1" customWidth="1"/>
    <col min="2813" max="2813" width="2.875" style="410" bestFit="1" customWidth="1"/>
    <col min="2814" max="2814" width="9.125" style="410"/>
    <col min="2815" max="2815" width="8.375" style="410" bestFit="1" customWidth="1"/>
    <col min="2816" max="2816" width="11.125" style="410" bestFit="1" customWidth="1"/>
    <col min="2817" max="2817" width="10.625" style="410" bestFit="1" customWidth="1"/>
    <col min="2818" max="2818" width="8.25" style="410" bestFit="1" customWidth="1"/>
    <col min="2819" max="2819" width="7.25" style="410" bestFit="1" customWidth="1"/>
    <col min="2820" max="2820" width="31.625" style="410" bestFit="1" customWidth="1"/>
    <col min="2821" max="2821" width="36.625" style="410" bestFit="1" customWidth="1"/>
    <col min="2822" max="2822" width="40.375" style="410" bestFit="1" customWidth="1"/>
    <col min="2823" max="2823" width="28.75" style="410" bestFit="1" customWidth="1"/>
    <col min="2824" max="2824" width="54.625" style="410" bestFit="1" customWidth="1"/>
    <col min="2825" max="2825" width="25.125" style="410" bestFit="1" customWidth="1"/>
    <col min="2826" max="2826" width="9" style="410" customWidth="1"/>
    <col min="2827" max="2827" width="13" style="410" bestFit="1" customWidth="1"/>
    <col min="2828" max="2857" width="9" style="410" customWidth="1"/>
    <col min="2858" max="3067" width="9.125" style="410"/>
    <col min="3068" max="3068" width="14.875" style="410" bestFit="1" customWidth="1"/>
    <col min="3069" max="3069" width="2.875" style="410" bestFit="1" customWidth="1"/>
    <col min="3070" max="3070" width="9.125" style="410"/>
    <col min="3071" max="3071" width="8.375" style="410" bestFit="1" customWidth="1"/>
    <col min="3072" max="3072" width="11.125" style="410" bestFit="1" customWidth="1"/>
    <col min="3073" max="3073" width="10.625" style="410" bestFit="1" customWidth="1"/>
    <col min="3074" max="3074" width="8.25" style="410" bestFit="1" customWidth="1"/>
    <col min="3075" max="3075" width="7.25" style="410" bestFit="1" customWidth="1"/>
    <col min="3076" max="3076" width="31.625" style="410" bestFit="1" customWidth="1"/>
    <col min="3077" max="3077" width="36.625" style="410" bestFit="1" customWidth="1"/>
    <col min="3078" max="3078" width="40.375" style="410" bestFit="1" customWidth="1"/>
    <col min="3079" max="3079" width="28.75" style="410" bestFit="1" customWidth="1"/>
    <col min="3080" max="3080" width="54.625" style="410" bestFit="1" customWidth="1"/>
    <col min="3081" max="3081" width="25.125" style="410" bestFit="1" customWidth="1"/>
    <col min="3082" max="3082" width="9" style="410" customWidth="1"/>
    <col min="3083" max="3083" width="13" style="410" bestFit="1" customWidth="1"/>
    <col min="3084" max="3113" width="9" style="410" customWidth="1"/>
    <col min="3114" max="3323" width="9.125" style="410"/>
    <col min="3324" max="3324" width="14.875" style="410" bestFit="1" customWidth="1"/>
    <col min="3325" max="3325" width="2.875" style="410" bestFit="1" customWidth="1"/>
    <col min="3326" max="3326" width="9.125" style="410"/>
    <col min="3327" max="3327" width="8.375" style="410" bestFit="1" customWidth="1"/>
    <col min="3328" max="3328" width="11.125" style="410" bestFit="1" customWidth="1"/>
    <col min="3329" max="3329" width="10.625" style="410" bestFit="1" customWidth="1"/>
    <col min="3330" max="3330" width="8.25" style="410" bestFit="1" customWidth="1"/>
    <col min="3331" max="3331" width="7.25" style="410" bestFit="1" customWidth="1"/>
    <col min="3332" max="3332" width="31.625" style="410" bestFit="1" customWidth="1"/>
    <col min="3333" max="3333" width="36.625" style="410" bestFit="1" customWidth="1"/>
    <col min="3334" max="3334" width="40.375" style="410" bestFit="1" customWidth="1"/>
    <col min="3335" max="3335" width="28.75" style="410" bestFit="1" customWidth="1"/>
    <col min="3336" max="3336" width="54.625" style="410" bestFit="1" customWidth="1"/>
    <col min="3337" max="3337" width="25.125" style="410" bestFit="1" customWidth="1"/>
    <col min="3338" max="3338" width="9" style="410" customWidth="1"/>
    <col min="3339" max="3339" width="13" style="410" bestFit="1" customWidth="1"/>
    <col min="3340" max="3369" width="9" style="410" customWidth="1"/>
    <col min="3370" max="3579" width="9.125" style="410"/>
    <col min="3580" max="3580" width="14.875" style="410" bestFit="1" customWidth="1"/>
    <col min="3581" max="3581" width="2.875" style="410" bestFit="1" customWidth="1"/>
    <col min="3582" max="3582" width="9.125" style="410"/>
    <col min="3583" max="3583" width="8.375" style="410" bestFit="1" customWidth="1"/>
    <col min="3584" max="3584" width="11.125" style="410" bestFit="1" customWidth="1"/>
    <col min="3585" max="3585" width="10.625" style="410" bestFit="1" customWidth="1"/>
    <col min="3586" max="3586" width="8.25" style="410" bestFit="1" customWidth="1"/>
    <col min="3587" max="3587" width="7.25" style="410" bestFit="1" customWidth="1"/>
    <col min="3588" max="3588" width="31.625" style="410" bestFit="1" customWidth="1"/>
    <col min="3589" max="3589" width="36.625" style="410" bestFit="1" customWidth="1"/>
    <col min="3590" max="3590" width="40.375" style="410" bestFit="1" customWidth="1"/>
    <col min="3591" max="3591" width="28.75" style="410" bestFit="1" customWidth="1"/>
    <col min="3592" max="3592" width="54.625" style="410" bestFit="1" customWidth="1"/>
    <col min="3593" max="3593" width="25.125" style="410" bestFit="1" customWidth="1"/>
    <col min="3594" max="3594" width="9" style="410" customWidth="1"/>
    <col min="3595" max="3595" width="13" style="410" bestFit="1" customWidth="1"/>
    <col min="3596" max="3625" width="9" style="410" customWidth="1"/>
    <col min="3626" max="3835" width="9.125" style="410"/>
    <col min="3836" max="3836" width="14.875" style="410" bestFit="1" customWidth="1"/>
    <col min="3837" max="3837" width="2.875" style="410" bestFit="1" customWidth="1"/>
    <col min="3838" max="3838" width="9.125" style="410"/>
    <col min="3839" max="3839" width="8.375" style="410" bestFit="1" customWidth="1"/>
    <col min="3840" max="3840" width="11.125" style="410" bestFit="1" customWidth="1"/>
    <col min="3841" max="3841" width="10.625" style="410" bestFit="1" customWidth="1"/>
    <col min="3842" max="3842" width="8.25" style="410" bestFit="1" customWidth="1"/>
    <col min="3843" max="3843" width="7.25" style="410" bestFit="1" customWidth="1"/>
    <col min="3844" max="3844" width="31.625" style="410" bestFit="1" customWidth="1"/>
    <col min="3845" max="3845" width="36.625" style="410" bestFit="1" customWidth="1"/>
    <col min="3846" max="3846" width="40.375" style="410" bestFit="1" customWidth="1"/>
    <col min="3847" max="3847" width="28.75" style="410" bestFit="1" customWidth="1"/>
    <col min="3848" max="3848" width="54.625" style="410" bestFit="1" customWidth="1"/>
    <col min="3849" max="3849" width="25.125" style="410" bestFit="1" customWidth="1"/>
    <col min="3850" max="3850" width="9" style="410" customWidth="1"/>
    <col min="3851" max="3851" width="13" style="410" bestFit="1" customWidth="1"/>
    <col min="3852" max="3881" width="9" style="410" customWidth="1"/>
    <col min="3882" max="4091" width="9.125" style="410"/>
    <col min="4092" max="4092" width="14.875" style="410" bestFit="1" customWidth="1"/>
    <col min="4093" max="4093" width="2.875" style="410" bestFit="1" customWidth="1"/>
    <col min="4094" max="4094" width="9.125" style="410"/>
    <col min="4095" max="4095" width="8.375" style="410" bestFit="1" customWidth="1"/>
    <col min="4096" max="4096" width="11.125" style="410" bestFit="1" customWidth="1"/>
    <col min="4097" max="4097" width="10.625" style="410" bestFit="1" customWidth="1"/>
    <col min="4098" max="4098" width="8.25" style="410" bestFit="1" customWidth="1"/>
    <col min="4099" max="4099" width="7.25" style="410" bestFit="1" customWidth="1"/>
    <col min="4100" max="4100" width="31.625" style="410" bestFit="1" customWidth="1"/>
    <col min="4101" max="4101" width="36.625" style="410" bestFit="1" customWidth="1"/>
    <col min="4102" max="4102" width="40.375" style="410" bestFit="1" customWidth="1"/>
    <col min="4103" max="4103" width="28.75" style="410" bestFit="1" customWidth="1"/>
    <col min="4104" max="4104" width="54.625" style="410" bestFit="1" customWidth="1"/>
    <col min="4105" max="4105" width="25.125" style="410" bestFit="1" customWidth="1"/>
    <col min="4106" max="4106" width="9" style="410" customWidth="1"/>
    <col min="4107" max="4107" width="13" style="410" bestFit="1" customWidth="1"/>
    <col min="4108" max="4137" width="9" style="410" customWidth="1"/>
    <col min="4138" max="4347" width="9.125" style="410"/>
    <col min="4348" max="4348" width="14.875" style="410" bestFit="1" customWidth="1"/>
    <col min="4349" max="4349" width="2.875" style="410" bestFit="1" customWidth="1"/>
    <col min="4350" max="4350" width="9.125" style="410"/>
    <col min="4351" max="4351" width="8.375" style="410" bestFit="1" customWidth="1"/>
    <col min="4352" max="4352" width="11.125" style="410" bestFit="1" customWidth="1"/>
    <col min="4353" max="4353" width="10.625" style="410" bestFit="1" customWidth="1"/>
    <col min="4354" max="4354" width="8.25" style="410" bestFit="1" customWidth="1"/>
    <col min="4355" max="4355" width="7.25" style="410" bestFit="1" customWidth="1"/>
    <col min="4356" max="4356" width="31.625" style="410" bestFit="1" customWidth="1"/>
    <col min="4357" max="4357" width="36.625" style="410" bestFit="1" customWidth="1"/>
    <col min="4358" max="4358" width="40.375" style="410" bestFit="1" customWidth="1"/>
    <col min="4359" max="4359" width="28.75" style="410" bestFit="1" customWidth="1"/>
    <col min="4360" max="4360" width="54.625" style="410" bestFit="1" customWidth="1"/>
    <col min="4361" max="4361" width="25.125" style="410" bestFit="1" customWidth="1"/>
    <col min="4362" max="4362" width="9" style="410" customWidth="1"/>
    <col min="4363" max="4363" width="13" style="410" bestFit="1" customWidth="1"/>
    <col min="4364" max="4393" width="9" style="410" customWidth="1"/>
    <col min="4394" max="4603" width="9.125" style="410"/>
    <col min="4604" max="4604" width="14.875" style="410" bestFit="1" customWidth="1"/>
    <col min="4605" max="4605" width="2.875" style="410" bestFit="1" customWidth="1"/>
    <col min="4606" max="4606" width="9.125" style="410"/>
    <col min="4607" max="4607" width="8.375" style="410" bestFit="1" customWidth="1"/>
    <col min="4608" max="4608" width="11.125" style="410" bestFit="1" customWidth="1"/>
    <col min="4609" max="4609" width="10.625" style="410" bestFit="1" customWidth="1"/>
    <col min="4610" max="4610" width="8.25" style="410" bestFit="1" customWidth="1"/>
    <col min="4611" max="4611" width="7.25" style="410" bestFit="1" customWidth="1"/>
    <col min="4612" max="4612" width="31.625" style="410" bestFit="1" customWidth="1"/>
    <col min="4613" max="4613" width="36.625" style="410" bestFit="1" customWidth="1"/>
    <col min="4614" max="4614" width="40.375" style="410" bestFit="1" customWidth="1"/>
    <col min="4615" max="4615" width="28.75" style="410" bestFit="1" customWidth="1"/>
    <col min="4616" max="4616" width="54.625" style="410" bestFit="1" customWidth="1"/>
    <col min="4617" max="4617" width="25.125" style="410" bestFit="1" customWidth="1"/>
    <col min="4618" max="4618" width="9" style="410" customWidth="1"/>
    <col min="4619" max="4619" width="13" style="410" bestFit="1" customWidth="1"/>
    <col min="4620" max="4649" width="9" style="410" customWidth="1"/>
    <col min="4650" max="4859" width="9.125" style="410"/>
    <col min="4860" max="4860" width="14.875" style="410" bestFit="1" customWidth="1"/>
    <col min="4861" max="4861" width="2.875" style="410" bestFit="1" customWidth="1"/>
    <col min="4862" max="4862" width="9.125" style="410"/>
    <col min="4863" max="4863" width="8.375" style="410" bestFit="1" customWidth="1"/>
    <col min="4864" max="4864" width="11.125" style="410" bestFit="1" customWidth="1"/>
    <col min="4865" max="4865" width="10.625" style="410" bestFit="1" customWidth="1"/>
    <col min="4866" max="4866" width="8.25" style="410" bestFit="1" customWidth="1"/>
    <col min="4867" max="4867" width="7.25" style="410" bestFit="1" customWidth="1"/>
    <col min="4868" max="4868" width="31.625" style="410" bestFit="1" customWidth="1"/>
    <col min="4869" max="4869" width="36.625" style="410" bestFit="1" customWidth="1"/>
    <col min="4870" max="4870" width="40.375" style="410" bestFit="1" customWidth="1"/>
    <col min="4871" max="4871" width="28.75" style="410" bestFit="1" customWidth="1"/>
    <col min="4872" max="4872" width="54.625" style="410" bestFit="1" customWidth="1"/>
    <col min="4873" max="4873" width="25.125" style="410" bestFit="1" customWidth="1"/>
    <col min="4874" max="4874" width="9" style="410" customWidth="1"/>
    <col min="4875" max="4875" width="13" style="410" bestFit="1" customWidth="1"/>
    <col min="4876" max="4905" width="9" style="410" customWidth="1"/>
    <col min="4906" max="5115" width="9.125" style="410"/>
    <col min="5116" max="5116" width="14.875" style="410" bestFit="1" customWidth="1"/>
    <col min="5117" max="5117" width="2.875" style="410" bestFit="1" customWidth="1"/>
    <col min="5118" max="5118" width="9.125" style="410"/>
    <col min="5119" max="5119" width="8.375" style="410" bestFit="1" customWidth="1"/>
    <col min="5120" max="5120" width="11.125" style="410" bestFit="1" customWidth="1"/>
    <col min="5121" max="5121" width="10.625" style="410" bestFit="1" customWidth="1"/>
    <col min="5122" max="5122" width="8.25" style="410" bestFit="1" customWidth="1"/>
    <col min="5123" max="5123" width="7.25" style="410" bestFit="1" customWidth="1"/>
    <col min="5124" max="5124" width="31.625" style="410" bestFit="1" customWidth="1"/>
    <col min="5125" max="5125" width="36.625" style="410" bestFit="1" customWidth="1"/>
    <col min="5126" max="5126" width="40.375" style="410" bestFit="1" customWidth="1"/>
    <col min="5127" max="5127" width="28.75" style="410" bestFit="1" customWidth="1"/>
    <col min="5128" max="5128" width="54.625" style="410" bestFit="1" customWidth="1"/>
    <col min="5129" max="5129" width="25.125" style="410" bestFit="1" customWidth="1"/>
    <col min="5130" max="5130" width="9" style="410" customWidth="1"/>
    <col min="5131" max="5131" width="13" style="410" bestFit="1" customWidth="1"/>
    <col min="5132" max="5161" width="9" style="410" customWidth="1"/>
    <col min="5162" max="5371" width="9.125" style="410"/>
    <col min="5372" max="5372" width="14.875" style="410" bestFit="1" customWidth="1"/>
    <col min="5373" max="5373" width="2.875" style="410" bestFit="1" customWidth="1"/>
    <col min="5374" max="5374" width="9.125" style="410"/>
    <col min="5375" max="5375" width="8.375" style="410" bestFit="1" customWidth="1"/>
    <col min="5376" max="5376" width="11.125" style="410" bestFit="1" customWidth="1"/>
    <col min="5377" max="5377" width="10.625" style="410" bestFit="1" customWidth="1"/>
    <col min="5378" max="5378" width="8.25" style="410" bestFit="1" customWidth="1"/>
    <col min="5379" max="5379" width="7.25" style="410" bestFit="1" customWidth="1"/>
    <col min="5380" max="5380" width="31.625" style="410" bestFit="1" customWidth="1"/>
    <col min="5381" max="5381" width="36.625" style="410" bestFit="1" customWidth="1"/>
    <col min="5382" max="5382" width="40.375" style="410" bestFit="1" customWidth="1"/>
    <col min="5383" max="5383" width="28.75" style="410" bestFit="1" customWidth="1"/>
    <col min="5384" max="5384" width="54.625" style="410" bestFit="1" customWidth="1"/>
    <col min="5385" max="5385" width="25.125" style="410" bestFit="1" customWidth="1"/>
    <col min="5386" max="5386" width="9" style="410" customWidth="1"/>
    <col min="5387" max="5387" width="13" style="410" bestFit="1" customWidth="1"/>
    <col min="5388" max="5417" width="9" style="410" customWidth="1"/>
    <col min="5418" max="5627" width="9.125" style="410"/>
    <col min="5628" max="5628" width="14.875" style="410" bestFit="1" customWidth="1"/>
    <col min="5629" max="5629" width="2.875" style="410" bestFit="1" customWidth="1"/>
    <col min="5630" max="5630" width="9.125" style="410"/>
    <col min="5631" max="5631" width="8.375" style="410" bestFit="1" customWidth="1"/>
    <col min="5632" max="5632" width="11.125" style="410" bestFit="1" customWidth="1"/>
    <col min="5633" max="5633" width="10.625" style="410" bestFit="1" customWidth="1"/>
    <col min="5634" max="5634" width="8.25" style="410" bestFit="1" customWidth="1"/>
    <col min="5635" max="5635" width="7.25" style="410" bestFit="1" customWidth="1"/>
    <col min="5636" max="5636" width="31.625" style="410" bestFit="1" customWidth="1"/>
    <col min="5637" max="5637" width="36.625" style="410" bestFit="1" customWidth="1"/>
    <col min="5638" max="5638" width="40.375" style="410" bestFit="1" customWidth="1"/>
    <col min="5639" max="5639" width="28.75" style="410" bestFit="1" customWidth="1"/>
    <col min="5640" max="5640" width="54.625" style="410" bestFit="1" customWidth="1"/>
    <col min="5641" max="5641" width="25.125" style="410" bestFit="1" customWidth="1"/>
    <col min="5642" max="5642" width="9" style="410" customWidth="1"/>
    <col min="5643" max="5643" width="13" style="410" bestFit="1" customWidth="1"/>
    <col min="5644" max="5673" width="9" style="410" customWidth="1"/>
    <col min="5674" max="5883" width="9.125" style="410"/>
    <col min="5884" max="5884" width="14.875" style="410" bestFit="1" customWidth="1"/>
    <col min="5885" max="5885" width="2.875" style="410" bestFit="1" customWidth="1"/>
    <col min="5886" max="5886" width="9.125" style="410"/>
    <col min="5887" max="5887" width="8.375" style="410" bestFit="1" customWidth="1"/>
    <col min="5888" max="5888" width="11.125" style="410" bestFit="1" customWidth="1"/>
    <col min="5889" max="5889" width="10.625" style="410" bestFit="1" customWidth="1"/>
    <col min="5890" max="5890" width="8.25" style="410" bestFit="1" customWidth="1"/>
    <col min="5891" max="5891" width="7.25" style="410" bestFit="1" customWidth="1"/>
    <col min="5892" max="5892" width="31.625" style="410" bestFit="1" customWidth="1"/>
    <col min="5893" max="5893" width="36.625" style="410" bestFit="1" customWidth="1"/>
    <col min="5894" max="5894" width="40.375" style="410" bestFit="1" customWidth="1"/>
    <col min="5895" max="5895" width="28.75" style="410" bestFit="1" customWidth="1"/>
    <col min="5896" max="5896" width="54.625" style="410" bestFit="1" customWidth="1"/>
    <col min="5897" max="5897" width="25.125" style="410" bestFit="1" customWidth="1"/>
    <col min="5898" max="5898" width="9" style="410" customWidth="1"/>
    <col min="5899" max="5899" width="13" style="410" bestFit="1" customWidth="1"/>
    <col min="5900" max="5929" width="9" style="410" customWidth="1"/>
    <col min="5930" max="6139" width="9.125" style="410"/>
    <col min="6140" max="6140" width="14.875" style="410" bestFit="1" customWidth="1"/>
    <col min="6141" max="6141" width="2.875" style="410" bestFit="1" customWidth="1"/>
    <col min="6142" max="6142" width="9.125" style="410"/>
    <col min="6143" max="6143" width="8.375" style="410" bestFit="1" customWidth="1"/>
    <col min="6144" max="6144" width="11.125" style="410" bestFit="1" customWidth="1"/>
    <col min="6145" max="6145" width="10.625" style="410" bestFit="1" customWidth="1"/>
    <col min="6146" max="6146" width="8.25" style="410" bestFit="1" customWidth="1"/>
    <col min="6147" max="6147" width="7.25" style="410" bestFit="1" customWidth="1"/>
    <col min="6148" max="6148" width="31.625" style="410" bestFit="1" customWidth="1"/>
    <col min="6149" max="6149" width="36.625" style="410" bestFit="1" customWidth="1"/>
    <col min="6150" max="6150" width="40.375" style="410" bestFit="1" customWidth="1"/>
    <col min="6151" max="6151" width="28.75" style="410" bestFit="1" customWidth="1"/>
    <col min="6152" max="6152" width="54.625" style="410" bestFit="1" customWidth="1"/>
    <col min="6153" max="6153" width="25.125" style="410" bestFit="1" customWidth="1"/>
    <col min="6154" max="6154" width="9" style="410" customWidth="1"/>
    <col min="6155" max="6155" width="13" style="410" bestFit="1" customWidth="1"/>
    <col min="6156" max="6185" width="9" style="410" customWidth="1"/>
    <col min="6186" max="6395" width="9.125" style="410"/>
    <col min="6396" max="6396" width="14.875" style="410" bestFit="1" customWidth="1"/>
    <col min="6397" max="6397" width="2.875" style="410" bestFit="1" customWidth="1"/>
    <col min="6398" max="6398" width="9.125" style="410"/>
    <col min="6399" max="6399" width="8.375" style="410" bestFit="1" customWidth="1"/>
    <col min="6400" max="6400" width="11.125" style="410" bestFit="1" customWidth="1"/>
    <col min="6401" max="6401" width="10.625" style="410" bestFit="1" customWidth="1"/>
    <col min="6402" max="6402" width="8.25" style="410" bestFit="1" customWidth="1"/>
    <col min="6403" max="6403" width="7.25" style="410" bestFit="1" customWidth="1"/>
    <col min="6404" max="6404" width="31.625" style="410" bestFit="1" customWidth="1"/>
    <col min="6405" max="6405" width="36.625" style="410" bestFit="1" customWidth="1"/>
    <col min="6406" max="6406" width="40.375" style="410" bestFit="1" customWidth="1"/>
    <col min="6407" max="6407" width="28.75" style="410" bestFit="1" customWidth="1"/>
    <col min="6408" max="6408" width="54.625" style="410" bestFit="1" customWidth="1"/>
    <col min="6409" max="6409" width="25.125" style="410" bestFit="1" customWidth="1"/>
    <col min="6410" max="6410" width="9" style="410" customWidth="1"/>
    <col min="6411" max="6411" width="13" style="410" bestFit="1" customWidth="1"/>
    <col min="6412" max="6441" width="9" style="410" customWidth="1"/>
    <col min="6442" max="6651" width="9.125" style="410"/>
    <col min="6652" max="6652" width="14.875" style="410" bestFit="1" customWidth="1"/>
    <col min="6653" max="6653" width="2.875" style="410" bestFit="1" customWidth="1"/>
    <col min="6654" max="6654" width="9.125" style="410"/>
    <col min="6655" max="6655" width="8.375" style="410" bestFit="1" customWidth="1"/>
    <col min="6656" max="6656" width="11.125" style="410" bestFit="1" customWidth="1"/>
    <col min="6657" max="6657" width="10.625" style="410" bestFit="1" customWidth="1"/>
    <col min="6658" max="6658" width="8.25" style="410" bestFit="1" customWidth="1"/>
    <col min="6659" max="6659" width="7.25" style="410" bestFit="1" customWidth="1"/>
    <col min="6660" max="6660" width="31.625" style="410" bestFit="1" customWidth="1"/>
    <col min="6661" max="6661" width="36.625" style="410" bestFit="1" customWidth="1"/>
    <col min="6662" max="6662" width="40.375" style="410" bestFit="1" customWidth="1"/>
    <col min="6663" max="6663" width="28.75" style="410" bestFit="1" customWidth="1"/>
    <col min="6664" max="6664" width="54.625" style="410" bestFit="1" customWidth="1"/>
    <col min="6665" max="6665" width="25.125" style="410" bestFit="1" customWidth="1"/>
    <col min="6666" max="6666" width="9" style="410" customWidth="1"/>
    <col min="6667" max="6667" width="13" style="410" bestFit="1" customWidth="1"/>
    <col min="6668" max="6697" width="9" style="410" customWidth="1"/>
    <col min="6698" max="6907" width="9.125" style="410"/>
    <col min="6908" max="6908" width="14.875" style="410" bestFit="1" customWidth="1"/>
    <col min="6909" max="6909" width="2.875" style="410" bestFit="1" customWidth="1"/>
    <col min="6910" max="6910" width="9.125" style="410"/>
    <col min="6911" max="6911" width="8.375" style="410" bestFit="1" customWidth="1"/>
    <col min="6912" max="6912" width="11.125" style="410" bestFit="1" customWidth="1"/>
    <col min="6913" max="6913" width="10.625" style="410" bestFit="1" customWidth="1"/>
    <col min="6914" max="6914" width="8.25" style="410" bestFit="1" customWidth="1"/>
    <col min="6915" max="6915" width="7.25" style="410" bestFit="1" customWidth="1"/>
    <col min="6916" max="6916" width="31.625" style="410" bestFit="1" customWidth="1"/>
    <col min="6917" max="6917" width="36.625" style="410" bestFit="1" customWidth="1"/>
    <col min="6918" max="6918" width="40.375" style="410" bestFit="1" customWidth="1"/>
    <col min="6919" max="6919" width="28.75" style="410" bestFit="1" customWidth="1"/>
    <col min="6920" max="6920" width="54.625" style="410" bestFit="1" customWidth="1"/>
    <col min="6921" max="6921" width="25.125" style="410" bestFit="1" customWidth="1"/>
    <col min="6922" max="6922" width="9" style="410" customWidth="1"/>
    <col min="6923" max="6923" width="13" style="410" bestFit="1" customWidth="1"/>
    <col min="6924" max="6953" width="9" style="410" customWidth="1"/>
    <col min="6954" max="7163" width="9.125" style="410"/>
    <col min="7164" max="7164" width="14.875" style="410" bestFit="1" customWidth="1"/>
    <col min="7165" max="7165" width="2.875" style="410" bestFit="1" customWidth="1"/>
    <col min="7166" max="7166" width="9.125" style="410"/>
    <col min="7167" max="7167" width="8.375" style="410" bestFit="1" customWidth="1"/>
    <col min="7168" max="7168" width="11.125" style="410" bestFit="1" customWidth="1"/>
    <col min="7169" max="7169" width="10.625" style="410" bestFit="1" customWidth="1"/>
    <col min="7170" max="7170" width="8.25" style="410" bestFit="1" customWidth="1"/>
    <col min="7171" max="7171" width="7.25" style="410" bestFit="1" customWidth="1"/>
    <col min="7172" max="7172" width="31.625" style="410" bestFit="1" customWidth="1"/>
    <col min="7173" max="7173" width="36.625" style="410" bestFit="1" customWidth="1"/>
    <col min="7174" max="7174" width="40.375" style="410" bestFit="1" customWidth="1"/>
    <col min="7175" max="7175" width="28.75" style="410" bestFit="1" customWidth="1"/>
    <col min="7176" max="7176" width="54.625" style="410" bestFit="1" customWidth="1"/>
    <col min="7177" max="7177" width="25.125" style="410" bestFit="1" customWidth="1"/>
    <col min="7178" max="7178" width="9" style="410" customWidth="1"/>
    <col min="7179" max="7179" width="13" style="410" bestFit="1" customWidth="1"/>
    <col min="7180" max="7209" width="9" style="410" customWidth="1"/>
    <col min="7210" max="7419" width="9.125" style="410"/>
    <col min="7420" max="7420" width="14.875" style="410" bestFit="1" customWidth="1"/>
    <col min="7421" max="7421" width="2.875" style="410" bestFit="1" customWidth="1"/>
    <col min="7422" max="7422" width="9.125" style="410"/>
    <col min="7423" max="7423" width="8.375" style="410" bestFit="1" customWidth="1"/>
    <col min="7424" max="7424" width="11.125" style="410" bestFit="1" customWidth="1"/>
    <col min="7425" max="7425" width="10.625" style="410" bestFit="1" customWidth="1"/>
    <col min="7426" max="7426" width="8.25" style="410" bestFit="1" customWidth="1"/>
    <col min="7427" max="7427" width="7.25" style="410" bestFit="1" customWidth="1"/>
    <col min="7428" max="7428" width="31.625" style="410" bestFit="1" customWidth="1"/>
    <col min="7429" max="7429" width="36.625" style="410" bestFit="1" customWidth="1"/>
    <col min="7430" max="7430" width="40.375" style="410" bestFit="1" customWidth="1"/>
    <col min="7431" max="7431" width="28.75" style="410" bestFit="1" customWidth="1"/>
    <col min="7432" max="7432" width="54.625" style="410" bestFit="1" customWidth="1"/>
    <col min="7433" max="7433" width="25.125" style="410" bestFit="1" customWidth="1"/>
    <col min="7434" max="7434" width="9" style="410" customWidth="1"/>
    <col min="7435" max="7435" width="13" style="410" bestFit="1" customWidth="1"/>
    <col min="7436" max="7465" width="9" style="410" customWidth="1"/>
    <col min="7466" max="7675" width="9.125" style="410"/>
    <col min="7676" max="7676" width="14.875" style="410" bestFit="1" customWidth="1"/>
    <col min="7677" max="7677" width="2.875" style="410" bestFit="1" customWidth="1"/>
    <col min="7678" max="7678" width="9.125" style="410"/>
    <col min="7679" max="7679" width="8.375" style="410" bestFit="1" customWidth="1"/>
    <col min="7680" max="7680" width="11.125" style="410" bestFit="1" customWidth="1"/>
    <col min="7681" max="7681" width="10.625" style="410" bestFit="1" customWidth="1"/>
    <col min="7682" max="7682" width="8.25" style="410" bestFit="1" customWidth="1"/>
    <col min="7683" max="7683" width="7.25" style="410" bestFit="1" customWidth="1"/>
    <col min="7684" max="7684" width="31.625" style="410" bestFit="1" customWidth="1"/>
    <col min="7685" max="7685" width="36.625" style="410" bestFit="1" customWidth="1"/>
    <col min="7686" max="7686" width="40.375" style="410" bestFit="1" customWidth="1"/>
    <col min="7687" max="7687" width="28.75" style="410" bestFit="1" customWidth="1"/>
    <col min="7688" max="7688" width="54.625" style="410" bestFit="1" customWidth="1"/>
    <col min="7689" max="7689" width="25.125" style="410" bestFit="1" customWidth="1"/>
    <col min="7690" max="7690" width="9" style="410" customWidth="1"/>
    <col min="7691" max="7691" width="13" style="410" bestFit="1" customWidth="1"/>
    <col min="7692" max="7721" width="9" style="410" customWidth="1"/>
    <col min="7722" max="7931" width="9.125" style="410"/>
    <col min="7932" max="7932" width="14.875" style="410" bestFit="1" customWidth="1"/>
    <col min="7933" max="7933" width="2.875" style="410" bestFit="1" customWidth="1"/>
    <col min="7934" max="7934" width="9.125" style="410"/>
    <col min="7935" max="7935" width="8.375" style="410" bestFit="1" customWidth="1"/>
    <col min="7936" max="7936" width="11.125" style="410" bestFit="1" customWidth="1"/>
    <col min="7937" max="7937" width="10.625" style="410" bestFit="1" customWidth="1"/>
    <col min="7938" max="7938" width="8.25" style="410" bestFit="1" customWidth="1"/>
    <col min="7939" max="7939" width="7.25" style="410" bestFit="1" customWidth="1"/>
    <col min="7940" max="7940" width="31.625" style="410" bestFit="1" customWidth="1"/>
    <col min="7941" max="7941" width="36.625" style="410" bestFit="1" customWidth="1"/>
    <col min="7942" max="7942" width="40.375" style="410" bestFit="1" customWidth="1"/>
    <col min="7943" max="7943" width="28.75" style="410" bestFit="1" customWidth="1"/>
    <col min="7944" max="7944" width="54.625" style="410" bestFit="1" customWidth="1"/>
    <col min="7945" max="7945" width="25.125" style="410" bestFit="1" customWidth="1"/>
    <col min="7946" max="7946" width="9" style="410" customWidth="1"/>
    <col min="7947" max="7947" width="13" style="410" bestFit="1" customWidth="1"/>
    <col min="7948" max="7977" width="9" style="410" customWidth="1"/>
    <col min="7978" max="8187" width="9.125" style="410"/>
    <col min="8188" max="8188" width="14.875" style="410" bestFit="1" customWidth="1"/>
    <col min="8189" max="8189" width="2.875" style="410" bestFit="1" customWidth="1"/>
    <col min="8190" max="8190" width="9.125" style="410"/>
    <col min="8191" max="8191" width="8.375" style="410" bestFit="1" customWidth="1"/>
    <col min="8192" max="8192" width="11.125" style="410" bestFit="1" customWidth="1"/>
    <col min="8193" max="8193" width="10.625" style="410" bestFit="1" customWidth="1"/>
    <col min="8194" max="8194" width="8.25" style="410" bestFit="1" customWidth="1"/>
    <col min="8195" max="8195" width="7.25" style="410" bestFit="1" customWidth="1"/>
    <col min="8196" max="8196" width="31.625" style="410" bestFit="1" customWidth="1"/>
    <col min="8197" max="8197" width="36.625" style="410" bestFit="1" customWidth="1"/>
    <col min="8198" max="8198" width="40.375" style="410" bestFit="1" customWidth="1"/>
    <col min="8199" max="8199" width="28.75" style="410" bestFit="1" customWidth="1"/>
    <col min="8200" max="8200" width="54.625" style="410" bestFit="1" customWidth="1"/>
    <col min="8201" max="8201" width="25.125" style="410" bestFit="1" customWidth="1"/>
    <col min="8202" max="8202" width="9" style="410" customWidth="1"/>
    <col min="8203" max="8203" width="13" style="410" bestFit="1" customWidth="1"/>
    <col min="8204" max="8233" width="9" style="410" customWidth="1"/>
    <col min="8234" max="8443" width="9.125" style="410"/>
    <col min="8444" max="8444" width="14.875" style="410" bestFit="1" customWidth="1"/>
    <col min="8445" max="8445" width="2.875" style="410" bestFit="1" customWidth="1"/>
    <col min="8446" max="8446" width="9.125" style="410"/>
    <col min="8447" max="8447" width="8.375" style="410" bestFit="1" customWidth="1"/>
    <col min="8448" max="8448" width="11.125" style="410" bestFit="1" customWidth="1"/>
    <col min="8449" max="8449" width="10.625" style="410" bestFit="1" customWidth="1"/>
    <col min="8450" max="8450" width="8.25" style="410" bestFit="1" customWidth="1"/>
    <col min="8451" max="8451" width="7.25" style="410" bestFit="1" customWidth="1"/>
    <col min="8452" max="8452" width="31.625" style="410" bestFit="1" customWidth="1"/>
    <col min="8453" max="8453" width="36.625" style="410" bestFit="1" customWidth="1"/>
    <col min="8454" max="8454" width="40.375" style="410" bestFit="1" customWidth="1"/>
    <col min="8455" max="8455" width="28.75" style="410" bestFit="1" customWidth="1"/>
    <col min="8456" max="8456" width="54.625" style="410" bestFit="1" customWidth="1"/>
    <col min="8457" max="8457" width="25.125" style="410" bestFit="1" customWidth="1"/>
    <col min="8458" max="8458" width="9" style="410" customWidth="1"/>
    <col min="8459" max="8459" width="13" style="410" bestFit="1" customWidth="1"/>
    <col min="8460" max="8489" width="9" style="410" customWidth="1"/>
    <col min="8490" max="8699" width="9.125" style="410"/>
    <col min="8700" max="8700" width="14.875" style="410" bestFit="1" customWidth="1"/>
    <col min="8701" max="8701" width="2.875" style="410" bestFit="1" customWidth="1"/>
    <col min="8702" max="8702" width="9.125" style="410"/>
    <col min="8703" max="8703" width="8.375" style="410" bestFit="1" customWidth="1"/>
    <col min="8704" max="8704" width="11.125" style="410" bestFit="1" customWidth="1"/>
    <col min="8705" max="8705" width="10.625" style="410" bestFit="1" customWidth="1"/>
    <col min="8706" max="8706" width="8.25" style="410" bestFit="1" customWidth="1"/>
    <col min="8707" max="8707" width="7.25" style="410" bestFit="1" customWidth="1"/>
    <col min="8708" max="8708" width="31.625" style="410" bestFit="1" customWidth="1"/>
    <col min="8709" max="8709" width="36.625" style="410" bestFit="1" customWidth="1"/>
    <col min="8710" max="8710" width="40.375" style="410" bestFit="1" customWidth="1"/>
    <col min="8711" max="8711" width="28.75" style="410" bestFit="1" customWidth="1"/>
    <col min="8712" max="8712" width="54.625" style="410" bestFit="1" customWidth="1"/>
    <col min="8713" max="8713" width="25.125" style="410" bestFit="1" customWidth="1"/>
    <col min="8714" max="8714" width="9" style="410" customWidth="1"/>
    <col min="8715" max="8715" width="13" style="410" bestFit="1" customWidth="1"/>
    <col min="8716" max="8745" width="9" style="410" customWidth="1"/>
    <col min="8746" max="8955" width="9.125" style="410"/>
    <col min="8956" max="8956" width="14.875" style="410" bestFit="1" customWidth="1"/>
    <col min="8957" max="8957" width="2.875" style="410" bestFit="1" customWidth="1"/>
    <col min="8958" max="8958" width="9.125" style="410"/>
    <col min="8959" max="8959" width="8.375" style="410" bestFit="1" customWidth="1"/>
    <col min="8960" max="8960" width="11.125" style="410" bestFit="1" customWidth="1"/>
    <col min="8961" max="8961" width="10.625" style="410" bestFit="1" customWidth="1"/>
    <col min="8962" max="8962" width="8.25" style="410" bestFit="1" customWidth="1"/>
    <col min="8963" max="8963" width="7.25" style="410" bestFit="1" customWidth="1"/>
    <col min="8964" max="8964" width="31.625" style="410" bestFit="1" customWidth="1"/>
    <col min="8965" max="8965" width="36.625" style="410" bestFit="1" customWidth="1"/>
    <col min="8966" max="8966" width="40.375" style="410" bestFit="1" customWidth="1"/>
    <col min="8967" max="8967" width="28.75" style="410" bestFit="1" customWidth="1"/>
    <col min="8968" max="8968" width="54.625" style="410" bestFit="1" customWidth="1"/>
    <col min="8969" max="8969" width="25.125" style="410" bestFit="1" customWidth="1"/>
    <col min="8970" max="8970" width="9" style="410" customWidth="1"/>
    <col min="8971" max="8971" width="13" style="410" bestFit="1" customWidth="1"/>
    <col min="8972" max="9001" width="9" style="410" customWidth="1"/>
    <col min="9002" max="9211" width="9.125" style="410"/>
    <col min="9212" max="9212" width="14.875" style="410" bestFit="1" customWidth="1"/>
    <col min="9213" max="9213" width="2.875" style="410" bestFit="1" customWidth="1"/>
    <col min="9214" max="9214" width="9.125" style="410"/>
    <col min="9215" max="9215" width="8.375" style="410" bestFit="1" customWidth="1"/>
    <col min="9216" max="9216" width="11.125" style="410" bestFit="1" customWidth="1"/>
    <col min="9217" max="9217" width="10.625" style="410" bestFit="1" customWidth="1"/>
    <col min="9218" max="9218" width="8.25" style="410" bestFit="1" customWidth="1"/>
    <col min="9219" max="9219" width="7.25" style="410" bestFit="1" customWidth="1"/>
    <col min="9220" max="9220" width="31.625" style="410" bestFit="1" customWidth="1"/>
    <col min="9221" max="9221" width="36.625" style="410" bestFit="1" customWidth="1"/>
    <col min="9222" max="9222" width="40.375" style="410" bestFit="1" customWidth="1"/>
    <col min="9223" max="9223" width="28.75" style="410" bestFit="1" customWidth="1"/>
    <col min="9224" max="9224" width="54.625" style="410" bestFit="1" customWidth="1"/>
    <col min="9225" max="9225" width="25.125" style="410" bestFit="1" customWidth="1"/>
    <col min="9226" max="9226" width="9" style="410" customWidth="1"/>
    <col min="9227" max="9227" width="13" style="410" bestFit="1" customWidth="1"/>
    <col min="9228" max="9257" width="9" style="410" customWidth="1"/>
    <col min="9258" max="9467" width="9.125" style="410"/>
    <col min="9468" max="9468" width="14.875" style="410" bestFit="1" customWidth="1"/>
    <col min="9469" max="9469" width="2.875" style="410" bestFit="1" customWidth="1"/>
    <col min="9470" max="9470" width="9.125" style="410"/>
    <col min="9471" max="9471" width="8.375" style="410" bestFit="1" customWidth="1"/>
    <col min="9472" max="9472" width="11.125" style="410" bestFit="1" customWidth="1"/>
    <col min="9473" max="9473" width="10.625" style="410" bestFit="1" customWidth="1"/>
    <col min="9474" max="9474" width="8.25" style="410" bestFit="1" customWidth="1"/>
    <col min="9475" max="9475" width="7.25" style="410" bestFit="1" customWidth="1"/>
    <col min="9476" max="9476" width="31.625" style="410" bestFit="1" customWidth="1"/>
    <col min="9477" max="9477" width="36.625" style="410" bestFit="1" customWidth="1"/>
    <col min="9478" max="9478" width="40.375" style="410" bestFit="1" customWidth="1"/>
    <col min="9479" max="9479" width="28.75" style="410" bestFit="1" customWidth="1"/>
    <col min="9480" max="9480" width="54.625" style="410" bestFit="1" customWidth="1"/>
    <col min="9481" max="9481" width="25.125" style="410" bestFit="1" customWidth="1"/>
    <col min="9482" max="9482" width="9" style="410" customWidth="1"/>
    <col min="9483" max="9483" width="13" style="410" bestFit="1" customWidth="1"/>
    <col min="9484" max="9513" width="9" style="410" customWidth="1"/>
    <col min="9514" max="9723" width="9.125" style="410"/>
    <col min="9724" max="9724" width="14.875" style="410" bestFit="1" customWidth="1"/>
    <col min="9725" max="9725" width="2.875" style="410" bestFit="1" customWidth="1"/>
    <col min="9726" max="9726" width="9.125" style="410"/>
    <col min="9727" max="9727" width="8.375" style="410" bestFit="1" customWidth="1"/>
    <col min="9728" max="9728" width="11.125" style="410" bestFit="1" customWidth="1"/>
    <col min="9729" max="9729" width="10.625" style="410" bestFit="1" customWidth="1"/>
    <col min="9730" max="9730" width="8.25" style="410" bestFit="1" customWidth="1"/>
    <col min="9731" max="9731" width="7.25" style="410" bestFit="1" customWidth="1"/>
    <col min="9732" max="9732" width="31.625" style="410" bestFit="1" customWidth="1"/>
    <col min="9733" max="9733" width="36.625" style="410" bestFit="1" customWidth="1"/>
    <col min="9734" max="9734" width="40.375" style="410" bestFit="1" customWidth="1"/>
    <col min="9735" max="9735" width="28.75" style="410" bestFit="1" customWidth="1"/>
    <col min="9736" max="9736" width="54.625" style="410" bestFit="1" customWidth="1"/>
    <col min="9737" max="9737" width="25.125" style="410" bestFit="1" customWidth="1"/>
    <col min="9738" max="9738" width="9" style="410" customWidth="1"/>
    <col min="9739" max="9739" width="13" style="410" bestFit="1" customWidth="1"/>
    <col min="9740" max="9769" width="9" style="410" customWidth="1"/>
    <col min="9770" max="9979" width="9.125" style="410"/>
    <col min="9980" max="9980" width="14.875" style="410" bestFit="1" customWidth="1"/>
    <col min="9981" max="9981" width="2.875" style="410" bestFit="1" customWidth="1"/>
    <col min="9982" max="9982" width="9.125" style="410"/>
    <col min="9983" max="9983" width="8.375" style="410" bestFit="1" customWidth="1"/>
    <col min="9984" max="9984" width="11.125" style="410" bestFit="1" customWidth="1"/>
    <col min="9985" max="9985" width="10.625" style="410" bestFit="1" customWidth="1"/>
    <col min="9986" max="9986" width="8.25" style="410" bestFit="1" customWidth="1"/>
    <col min="9987" max="9987" width="7.25" style="410" bestFit="1" customWidth="1"/>
    <col min="9988" max="9988" width="31.625" style="410" bestFit="1" customWidth="1"/>
    <col min="9989" max="9989" width="36.625" style="410" bestFit="1" customWidth="1"/>
    <col min="9990" max="9990" width="40.375" style="410" bestFit="1" customWidth="1"/>
    <col min="9991" max="9991" width="28.75" style="410" bestFit="1" customWidth="1"/>
    <col min="9992" max="9992" width="54.625" style="410" bestFit="1" customWidth="1"/>
    <col min="9993" max="9993" width="25.125" style="410" bestFit="1" customWidth="1"/>
    <col min="9994" max="9994" width="9" style="410" customWidth="1"/>
    <col min="9995" max="9995" width="13" style="410" bestFit="1" customWidth="1"/>
    <col min="9996" max="10025" width="9" style="410" customWidth="1"/>
    <col min="10026" max="10235" width="9.125" style="410"/>
    <col min="10236" max="10236" width="14.875" style="410" bestFit="1" customWidth="1"/>
    <col min="10237" max="10237" width="2.875" style="410" bestFit="1" customWidth="1"/>
    <col min="10238" max="10238" width="9.125" style="410"/>
    <col min="10239" max="10239" width="8.375" style="410" bestFit="1" customWidth="1"/>
    <col min="10240" max="10240" width="11.125" style="410" bestFit="1" customWidth="1"/>
    <col min="10241" max="10241" width="10.625" style="410" bestFit="1" customWidth="1"/>
    <col min="10242" max="10242" width="8.25" style="410" bestFit="1" customWidth="1"/>
    <col min="10243" max="10243" width="7.25" style="410" bestFit="1" customWidth="1"/>
    <col min="10244" max="10244" width="31.625" style="410" bestFit="1" customWidth="1"/>
    <col min="10245" max="10245" width="36.625" style="410" bestFit="1" customWidth="1"/>
    <col min="10246" max="10246" width="40.375" style="410" bestFit="1" customWidth="1"/>
    <col min="10247" max="10247" width="28.75" style="410" bestFit="1" customWidth="1"/>
    <col min="10248" max="10248" width="54.625" style="410" bestFit="1" customWidth="1"/>
    <col min="10249" max="10249" width="25.125" style="410" bestFit="1" customWidth="1"/>
    <col min="10250" max="10250" width="9" style="410" customWidth="1"/>
    <col min="10251" max="10251" width="13" style="410" bestFit="1" customWidth="1"/>
    <col min="10252" max="10281" width="9" style="410" customWidth="1"/>
    <col min="10282" max="10491" width="9.125" style="410"/>
    <col min="10492" max="10492" width="14.875" style="410" bestFit="1" customWidth="1"/>
    <col min="10493" max="10493" width="2.875" style="410" bestFit="1" customWidth="1"/>
    <col min="10494" max="10494" width="9.125" style="410"/>
    <col min="10495" max="10495" width="8.375" style="410" bestFit="1" customWidth="1"/>
    <col min="10496" max="10496" width="11.125" style="410" bestFit="1" customWidth="1"/>
    <col min="10497" max="10497" width="10.625" style="410" bestFit="1" customWidth="1"/>
    <col min="10498" max="10498" width="8.25" style="410" bestFit="1" customWidth="1"/>
    <col min="10499" max="10499" width="7.25" style="410" bestFit="1" customWidth="1"/>
    <col min="10500" max="10500" width="31.625" style="410" bestFit="1" customWidth="1"/>
    <col min="10501" max="10501" width="36.625" style="410" bestFit="1" customWidth="1"/>
    <col min="10502" max="10502" width="40.375" style="410" bestFit="1" customWidth="1"/>
    <col min="10503" max="10503" width="28.75" style="410" bestFit="1" customWidth="1"/>
    <col min="10504" max="10504" width="54.625" style="410" bestFit="1" customWidth="1"/>
    <col min="10505" max="10505" width="25.125" style="410" bestFit="1" customWidth="1"/>
    <col min="10506" max="10506" width="9" style="410" customWidth="1"/>
    <col min="10507" max="10507" width="13" style="410" bestFit="1" customWidth="1"/>
    <col min="10508" max="10537" width="9" style="410" customWidth="1"/>
    <col min="10538" max="10747" width="9.125" style="410"/>
    <col min="10748" max="10748" width="14.875" style="410" bestFit="1" customWidth="1"/>
    <col min="10749" max="10749" width="2.875" style="410" bestFit="1" customWidth="1"/>
    <col min="10750" max="10750" width="9.125" style="410"/>
    <col min="10751" max="10751" width="8.375" style="410" bestFit="1" customWidth="1"/>
    <col min="10752" max="10752" width="11.125" style="410" bestFit="1" customWidth="1"/>
    <col min="10753" max="10753" width="10.625" style="410" bestFit="1" customWidth="1"/>
    <col min="10754" max="10754" width="8.25" style="410" bestFit="1" customWidth="1"/>
    <col min="10755" max="10755" width="7.25" style="410" bestFit="1" customWidth="1"/>
    <col min="10756" max="10756" width="31.625" style="410" bestFit="1" customWidth="1"/>
    <col min="10757" max="10757" width="36.625" style="410" bestFit="1" customWidth="1"/>
    <col min="10758" max="10758" width="40.375" style="410" bestFit="1" customWidth="1"/>
    <col min="10759" max="10759" width="28.75" style="410" bestFit="1" customWidth="1"/>
    <col min="10760" max="10760" width="54.625" style="410" bestFit="1" customWidth="1"/>
    <col min="10761" max="10761" width="25.125" style="410" bestFit="1" customWidth="1"/>
    <col min="10762" max="10762" width="9" style="410" customWidth="1"/>
    <col min="10763" max="10763" width="13" style="410" bestFit="1" customWidth="1"/>
    <col min="10764" max="10793" width="9" style="410" customWidth="1"/>
    <col min="10794" max="11003" width="9.125" style="410"/>
    <col min="11004" max="11004" width="14.875" style="410" bestFit="1" customWidth="1"/>
    <col min="11005" max="11005" width="2.875" style="410" bestFit="1" customWidth="1"/>
    <col min="11006" max="11006" width="9.125" style="410"/>
    <col min="11007" max="11007" width="8.375" style="410" bestFit="1" customWidth="1"/>
    <col min="11008" max="11008" width="11.125" style="410" bestFit="1" customWidth="1"/>
    <col min="11009" max="11009" width="10.625" style="410" bestFit="1" customWidth="1"/>
    <col min="11010" max="11010" width="8.25" style="410" bestFit="1" customWidth="1"/>
    <col min="11011" max="11011" width="7.25" style="410" bestFit="1" customWidth="1"/>
    <col min="11012" max="11012" width="31.625" style="410" bestFit="1" customWidth="1"/>
    <col min="11013" max="11013" width="36.625" style="410" bestFit="1" customWidth="1"/>
    <col min="11014" max="11014" width="40.375" style="410" bestFit="1" customWidth="1"/>
    <col min="11015" max="11015" width="28.75" style="410" bestFit="1" customWidth="1"/>
    <col min="11016" max="11016" width="54.625" style="410" bestFit="1" customWidth="1"/>
    <col min="11017" max="11017" width="25.125" style="410" bestFit="1" customWidth="1"/>
    <col min="11018" max="11018" width="9" style="410" customWidth="1"/>
    <col min="11019" max="11019" width="13" style="410" bestFit="1" customWidth="1"/>
    <col min="11020" max="11049" width="9" style="410" customWidth="1"/>
    <col min="11050" max="11259" width="9.125" style="410"/>
    <col min="11260" max="11260" width="14.875" style="410" bestFit="1" customWidth="1"/>
    <col min="11261" max="11261" width="2.875" style="410" bestFit="1" customWidth="1"/>
    <col min="11262" max="11262" width="9.125" style="410"/>
    <col min="11263" max="11263" width="8.375" style="410" bestFit="1" customWidth="1"/>
    <col min="11264" max="11264" width="11.125" style="410" bestFit="1" customWidth="1"/>
    <col min="11265" max="11265" width="10.625" style="410" bestFit="1" customWidth="1"/>
    <col min="11266" max="11266" width="8.25" style="410" bestFit="1" customWidth="1"/>
    <col min="11267" max="11267" width="7.25" style="410" bestFit="1" customWidth="1"/>
    <col min="11268" max="11268" width="31.625" style="410" bestFit="1" customWidth="1"/>
    <col min="11269" max="11269" width="36.625" style="410" bestFit="1" customWidth="1"/>
    <col min="11270" max="11270" width="40.375" style="410" bestFit="1" customWidth="1"/>
    <col min="11271" max="11271" width="28.75" style="410" bestFit="1" customWidth="1"/>
    <col min="11272" max="11272" width="54.625" style="410" bestFit="1" customWidth="1"/>
    <col min="11273" max="11273" width="25.125" style="410" bestFit="1" customWidth="1"/>
    <col min="11274" max="11274" width="9" style="410" customWidth="1"/>
    <col min="11275" max="11275" width="13" style="410" bestFit="1" customWidth="1"/>
    <col min="11276" max="11305" width="9" style="410" customWidth="1"/>
    <col min="11306" max="11515" width="9.125" style="410"/>
    <col min="11516" max="11516" width="14.875" style="410" bestFit="1" customWidth="1"/>
    <col min="11517" max="11517" width="2.875" style="410" bestFit="1" customWidth="1"/>
    <col min="11518" max="11518" width="9.125" style="410"/>
    <col min="11519" max="11519" width="8.375" style="410" bestFit="1" customWidth="1"/>
    <col min="11520" max="11520" width="11.125" style="410" bestFit="1" customWidth="1"/>
    <col min="11521" max="11521" width="10.625" style="410" bestFit="1" customWidth="1"/>
    <col min="11522" max="11522" width="8.25" style="410" bestFit="1" customWidth="1"/>
    <col min="11523" max="11523" width="7.25" style="410" bestFit="1" customWidth="1"/>
    <col min="11524" max="11524" width="31.625" style="410" bestFit="1" customWidth="1"/>
    <col min="11525" max="11525" width="36.625" style="410" bestFit="1" customWidth="1"/>
    <col min="11526" max="11526" width="40.375" style="410" bestFit="1" customWidth="1"/>
    <col min="11527" max="11527" width="28.75" style="410" bestFit="1" customWidth="1"/>
    <col min="11528" max="11528" width="54.625" style="410" bestFit="1" customWidth="1"/>
    <col min="11529" max="11529" width="25.125" style="410" bestFit="1" customWidth="1"/>
    <col min="11530" max="11530" width="9" style="410" customWidth="1"/>
    <col min="11531" max="11531" width="13" style="410" bestFit="1" customWidth="1"/>
    <col min="11532" max="11561" width="9" style="410" customWidth="1"/>
    <col min="11562" max="11771" width="9.125" style="410"/>
    <col min="11772" max="11772" width="14.875" style="410" bestFit="1" customWidth="1"/>
    <col min="11773" max="11773" width="2.875" style="410" bestFit="1" customWidth="1"/>
    <col min="11774" max="11774" width="9.125" style="410"/>
    <col min="11775" max="11775" width="8.375" style="410" bestFit="1" customWidth="1"/>
    <col min="11776" max="11776" width="11.125" style="410" bestFit="1" customWidth="1"/>
    <col min="11777" max="11777" width="10.625" style="410" bestFit="1" customWidth="1"/>
    <col min="11778" max="11778" width="8.25" style="410" bestFit="1" customWidth="1"/>
    <col min="11779" max="11779" width="7.25" style="410" bestFit="1" customWidth="1"/>
    <col min="11780" max="11780" width="31.625" style="410" bestFit="1" customWidth="1"/>
    <col min="11781" max="11781" width="36.625" style="410" bestFit="1" customWidth="1"/>
    <col min="11782" max="11782" width="40.375" style="410" bestFit="1" customWidth="1"/>
    <col min="11783" max="11783" width="28.75" style="410" bestFit="1" customWidth="1"/>
    <col min="11784" max="11784" width="54.625" style="410" bestFit="1" customWidth="1"/>
    <col min="11785" max="11785" width="25.125" style="410" bestFit="1" customWidth="1"/>
    <col min="11786" max="11786" width="9" style="410" customWidth="1"/>
    <col min="11787" max="11787" width="13" style="410" bestFit="1" customWidth="1"/>
    <col min="11788" max="11817" width="9" style="410" customWidth="1"/>
    <col min="11818" max="12027" width="9.125" style="410"/>
    <col min="12028" max="12028" width="14.875" style="410" bestFit="1" customWidth="1"/>
    <col min="12029" max="12029" width="2.875" style="410" bestFit="1" customWidth="1"/>
    <col min="12030" max="12030" width="9.125" style="410"/>
    <col min="12031" max="12031" width="8.375" style="410" bestFit="1" customWidth="1"/>
    <col min="12032" max="12032" width="11.125" style="410" bestFit="1" customWidth="1"/>
    <col min="12033" max="12033" width="10.625" style="410" bestFit="1" customWidth="1"/>
    <col min="12034" max="12034" width="8.25" style="410" bestFit="1" customWidth="1"/>
    <col min="12035" max="12035" width="7.25" style="410" bestFit="1" customWidth="1"/>
    <col min="12036" max="12036" width="31.625" style="410" bestFit="1" customWidth="1"/>
    <col min="12037" max="12037" width="36.625" style="410" bestFit="1" customWidth="1"/>
    <col min="12038" max="12038" width="40.375" style="410" bestFit="1" customWidth="1"/>
    <col min="12039" max="12039" width="28.75" style="410" bestFit="1" customWidth="1"/>
    <col min="12040" max="12040" width="54.625" style="410" bestFit="1" customWidth="1"/>
    <col min="12041" max="12041" width="25.125" style="410" bestFit="1" customWidth="1"/>
    <col min="12042" max="12042" width="9" style="410" customWidth="1"/>
    <col min="12043" max="12043" width="13" style="410" bestFit="1" customWidth="1"/>
    <col min="12044" max="12073" width="9" style="410" customWidth="1"/>
    <col min="12074" max="12283" width="9.125" style="410"/>
    <col min="12284" max="12284" width="14.875" style="410" bestFit="1" customWidth="1"/>
    <col min="12285" max="12285" width="2.875" style="410" bestFit="1" customWidth="1"/>
    <col min="12286" max="12286" width="9.125" style="410"/>
    <col min="12287" max="12287" width="8.375" style="410" bestFit="1" customWidth="1"/>
    <col min="12288" max="12288" width="11.125" style="410" bestFit="1" customWidth="1"/>
    <col min="12289" max="12289" width="10.625" style="410" bestFit="1" customWidth="1"/>
    <col min="12290" max="12290" width="8.25" style="410" bestFit="1" customWidth="1"/>
    <col min="12291" max="12291" width="7.25" style="410" bestFit="1" customWidth="1"/>
    <col min="12292" max="12292" width="31.625" style="410" bestFit="1" customWidth="1"/>
    <col min="12293" max="12293" width="36.625" style="410" bestFit="1" customWidth="1"/>
    <col min="12294" max="12294" width="40.375" style="410" bestFit="1" customWidth="1"/>
    <col min="12295" max="12295" width="28.75" style="410" bestFit="1" customWidth="1"/>
    <col min="12296" max="12296" width="54.625" style="410" bestFit="1" customWidth="1"/>
    <col min="12297" max="12297" width="25.125" style="410" bestFit="1" customWidth="1"/>
    <col min="12298" max="12298" width="9" style="410" customWidth="1"/>
    <col min="12299" max="12299" width="13" style="410" bestFit="1" customWidth="1"/>
    <col min="12300" max="12329" width="9" style="410" customWidth="1"/>
    <col min="12330" max="12539" width="9.125" style="410"/>
    <col min="12540" max="12540" width="14.875" style="410" bestFit="1" customWidth="1"/>
    <col min="12541" max="12541" width="2.875" style="410" bestFit="1" customWidth="1"/>
    <col min="12542" max="12542" width="9.125" style="410"/>
    <col min="12543" max="12543" width="8.375" style="410" bestFit="1" customWidth="1"/>
    <col min="12544" max="12544" width="11.125" style="410" bestFit="1" customWidth="1"/>
    <col min="12545" max="12545" width="10.625" style="410" bestFit="1" customWidth="1"/>
    <col min="12546" max="12546" width="8.25" style="410" bestFit="1" customWidth="1"/>
    <col min="12547" max="12547" width="7.25" style="410" bestFit="1" customWidth="1"/>
    <col min="12548" max="12548" width="31.625" style="410" bestFit="1" customWidth="1"/>
    <col min="12549" max="12549" width="36.625" style="410" bestFit="1" customWidth="1"/>
    <col min="12550" max="12550" width="40.375" style="410" bestFit="1" customWidth="1"/>
    <col min="12551" max="12551" width="28.75" style="410" bestFit="1" customWidth="1"/>
    <col min="12552" max="12552" width="54.625" style="410" bestFit="1" customWidth="1"/>
    <col min="12553" max="12553" width="25.125" style="410" bestFit="1" customWidth="1"/>
    <col min="12554" max="12554" width="9" style="410" customWidth="1"/>
    <col min="12555" max="12555" width="13" style="410" bestFit="1" customWidth="1"/>
    <col min="12556" max="12585" width="9" style="410" customWidth="1"/>
    <col min="12586" max="12795" width="9.125" style="410"/>
    <col min="12796" max="12796" width="14.875" style="410" bestFit="1" customWidth="1"/>
    <col min="12797" max="12797" width="2.875" style="410" bestFit="1" customWidth="1"/>
    <col min="12798" max="12798" width="9.125" style="410"/>
    <col min="12799" max="12799" width="8.375" style="410" bestFit="1" customWidth="1"/>
    <col min="12800" max="12800" width="11.125" style="410" bestFit="1" customWidth="1"/>
    <col min="12801" max="12801" width="10.625" style="410" bestFit="1" customWidth="1"/>
    <col min="12802" max="12802" width="8.25" style="410" bestFit="1" customWidth="1"/>
    <col min="12803" max="12803" width="7.25" style="410" bestFit="1" customWidth="1"/>
    <col min="12804" max="12804" width="31.625" style="410" bestFit="1" customWidth="1"/>
    <col min="12805" max="12805" width="36.625" style="410" bestFit="1" customWidth="1"/>
    <col min="12806" max="12806" width="40.375" style="410" bestFit="1" customWidth="1"/>
    <col min="12807" max="12807" width="28.75" style="410" bestFit="1" customWidth="1"/>
    <col min="12808" max="12808" width="54.625" style="410" bestFit="1" customWidth="1"/>
    <col min="12809" max="12809" width="25.125" style="410" bestFit="1" customWidth="1"/>
    <col min="12810" max="12810" width="9" style="410" customWidth="1"/>
    <col min="12811" max="12811" width="13" style="410" bestFit="1" customWidth="1"/>
    <col min="12812" max="12841" width="9" style="410" customWidth="1"/>
    <col min="12842" max="13051" width="9.125" style="410"/>
    <col min="13052" max="13052" width="14.875" style="410" bestFit="1" customWidth="1"/>
    <col min="13053" max="13053" width="2.875" style="410" bestFit="1" customWidth="1"/>
    <col min="13054" max="13054" width="9.125" style="410"/>
    <col min="13055" max="13055" width="8.375" style="410" bestFit="1" customWidth="1"/>
    <col min="13056" max="13056" width="11.125" style="410" bestFit="1" customWidth="1"/>
    <col min="13057" max="13057" width="10.625" style="410" bestFit="1" customWidth="1"/>
    <col min="13058" max="13058" width="8.25" style="410" bestFit="1" customWidth="1"/>
    <col min="13059" max="13059" width="7.25" style="410" bestFit="1" customWidth="1"/>
    <col min="13060" max="13060" width="31.625" style="410" bestFit="1" customWidth="1"/>
    <col min="13061" max="13061" width="36.625" style="410" bestFit="1" customWidth="1"/>
    <col min="13062" max="13062" width="40.375" style="410" bestFit="1" customWidth="1"/>
    <col min="13063" max="13063" width="28.75" style="410" bestFit="1" customWidth="1"/>
    <col min="13064" max="13064" width="54.625" style="410" bestFit="1" customWidth="1"/>
    <col min="13065" max="13065" width="25.125" style="410" bestFit="1" customWidth="1"/>
    <col min="13066" max="13066" width="9" style="410" customWidth="1"/>
    <col min="13067" max="13067" width="13" style="410" bestFit="1" customWidth="1"/>
    <col min="13068" max="13097" width="9" style="410" customWidth="1"/>
    <col min="13098" max="13307" width="9.125" style="410"/>
    <col min="13308" max="13308" width="14.875" style="410" bestFit="1" customWidth="1"/>
    <col min="13309" max="13309" width="2.875" style="410" bestFit="1" customWidth="1"/>
    <col min="13310" max="13310" width="9.125" style="410"/>
    <col min="13311" max="13311" width="8.375" style="410" bestFit="1" customWidth="1"/>
    <col min="13312" max="13312" width="11.125" style="410" bestFit="1" customWidth="1"/>
    <col min="13313" max="13313" width="10.625" style="410" bestFit="1" customWidth="1"/>
    <col min="13314" max="13314" width="8.25" style="410" bestFit="1" customWidth="1"/>
    <col min="13315" max="13315" width="7.25" style="410" bestFit="1" customWidth="1"/>
    <col min="13316" max="13316" width="31.625" style="410" bestFit="1" customWidth="1"/>
    <col min="13317" max="13317" width="36.625" style="410" bestFit="1" customWidth="1"/>
    <col min="13318" max="13318" width="40.375" style="410" bestFit="1" customWidth="1"/>
    <col min="13319" max="13319" width="28.75" style="410" bestFit="1" customWidth="1"/>
    <col min="13320" max="13320" width="54.625" style="410" bestFit="1" customWidth="1"/>
    <col min="13321" max="13321" width="25.125" style="410" bestFit="1" customWidth="1"/>
    <col min="13322" max="13322" width="9" style="410" customWidth="1"/>
    <col min="13323" max="13323" width="13" style="410" bestFit="1" customWidth="1"/>
    <col min="13324" max="13353" width="9" style="410" customWidth="1"/>
    <col min="13354" max="13563" width="9.125" style="410"/>
    <col min="13564" max="13564" width="14.875" style="410" bestFit="1" customWidth="1"/>
    <col min="13565" max="13565" width="2.875" style="410" bestFit="1" customWidth="1"/>
    <col min="13566" max="13566" width="9.125" style="410"/>
    <col min="13567" max="13567" width="8.375" style="410" bestFit="1" customWidth="1"/>
    <col min="13568" max="13568" width="11.125" style="410" bestFit="1" customWidth="1"/>
    <col min="13569" max="13569" width="10.625" style="410" bestFit="1" customWidth="1"/>
    <col min="13570" max="13570" width="8.25" style="410" bestFit="1" customWidth="1"/>
    <col min="13571" max="13571" width="7.25" style="410" bestFit="1" customWidth="1"/>
    <col min="13572" max="13572" width="31.625" style="410" bestFit="1" customWidth="1"/>
    <col min="13573" max="13573" width="36.625" style="410" bestFit="1" customWidth="1"/>
    <col min="13574" max="13574" width="40.375" style="410" bestFit="1" customWidth="1"/>
    <col min="13575" max="13575" width="28.75" style="410" bestFit="1" customWidth="1"/>
    <col min="13576" max="13576" width="54.625" style="410" bestFit="1" customWidth="1"/>
    <col min="13577" max="13577" width="25.125" style="410" bestFit="1" customWidth="1"/>
    <col min="13578" max="13578" width="9" style="410" customWidth="1"/>
    <col min="13579" max="13579" width="13" style="410" bestFit="1" customWidth="1"/>
    <col min="13580" max="13609" width="9" style="410" customWidth="1"/>
    <col min="13610" max="13819" width="9.125" style="410"/>
    <col min="13820" max="13820" width="14.875" style="410" bestFit="1" customWidth="1"/>
    <col min="13821" max="13821" width="2.875" style="410" bestFit="1" customWidth="1"/>
    <col min="13822" max="13822" width="9.125" style="410"/>
    <col min="13823" max="13823" width="8.375" style="410" bestFit="1" customWidth="1"/>
    <col min="13824" max="13824" width="11.125" style="410" bestFit="1" customWidth="1"/>
    <col min="13825" max="13825" width="10.625" style="410" bestFit="1" customWidth="1"/>
    <col min="13826" max="13826" width="8.25" style="410" bestFit="1" customWidth="1"/>
    <col min="13827" max="13827" width="7.25" style="410" bestFit="1" customWidth="1"/>
    <col min="13828" max="13828" width="31.625" style="410" bestFit="1" customWidth="1"/>
    <col min="13829" max="13829" width="36.625" style="410" bestFit="1" customWidth="1"/>
    <col min="13830" max="13830" width="40.375" style="410" bestFit="1" customWidth="1"/>
    <col min="13831" max="13831" width="28.75" style="410" bestFit="1" customWidth="1"/>
    <col min="13832" max="13832" width="54.625" style="410" bestFit="1" customWidth="1"/>
    <col min="13833" max="13833" width="25.125" style="410" bestFit="1" customWidth="1"/>
    <col min="13834" max="13834" width="9" style="410" customWidth="1"/>
    <col min="13835" max="13835" width="13" style="410" bestFit="1" customWidth="1"/>
    <col min="13836" max="13865" width="9" style="410" customWidth="1"/>
    <col min="13866" max="14075" width="9.125" style="410"/>
    <col min="14076" max="14076" width="14.875" style="410" bestFit="1" customWidth="1"/>
    <col min="14077" max="14077" width="2.875" style="410" bestFit="1" customWidth="1"/>
    <col min="14078" max="14078" width="9.125" style="410"/>
    <col min="14079" max="14079" width="8.375" style="410" bestFit="1" customWidth="1"/>
    <col min="14080" max="14080" width="11.125" style="410" bestFit="1" customWidth="1"/>
    <col min="14081" max="14081" width="10.625" style="410" bestFit="1" customWidth="1"/>
    <col min="14082" max="14082" width="8.25" style="410" bestFit="1" customWidth="1"/>
    <col min="14083" max="14083" width="7.25" style="410" bestFit="1" customWidth="1"/>
    <col min="14084" max="14084" width="31.625" style="410" bestFit="1" customWidth="1"/>
    <col min="14085" max="14085" width="36.625" style="410" bestFit="1" customWidth="1"/>
    <col min="14086" max="14086" width="40.375" style="410" bestFit="1" customWidth="1"/>
    <col min="14087" max="14087" width="28.75" style="410" bestFit="1" customWidth="1"/>
    <col min="14088" max="14088" width="54.625" style="410" bestFit="1" customWidth="1"/>
    <col min="14089" max="14089" width="25.125" style="410" bestFit="1" customWidth="1"/>
    <col min="14090" max="14090" width="9" style="410" customWidth="1"/>
    <col min="14091" max="14091" width="13" style="410" bestFit="1" customWidth="1"/>
    <col min="14092" max="14121" width="9" style="410" customWidth="1"/>
    <col min="14122" max="14331" width="9.125" style="410"/>
    <col min="14332" max="14332" width="14.875" style="410" bestFit="1" customWidth="1"/>
    <col min="14333" max="14333" width="2.875" style="410" bestFit="1" customWidth="1"/>
    <col min="14334" max="14334" width="9.125" style="410"/>
    <col min="14335" max="14335" width="8.375" style="410" bestFit="1" customWidth="1"/>
    <col min="14336" max="14336" width="11.125" style="410" bestFit="1" customWidth="1"/>
    <col min="14337" max="14337" width="10.625" style="410" bestFit="1" customWidth="1"/>
    <col min="14338" max="14338" width="8.25" style="410" bestFit="1" customWidth="1"/>
    <col min="14339" max="14339" width="7.25" style="410" bestFit="1" customWidth="1"/>
    <col min="14340" max="14340" width="31.625" style="410" bestFit="1" customWidth="1"/>
    <col min="14341" max="14341" width="36.625" style="410" bestFit="1" customWidth="1"/>
    <col min="14342" max="14342" width="40.375" style="410" bestFit="1" customWidth="1"/>
    <col min="14343" max="14343" width="28.75" style="410" bestFit="1" customWidth="1"/>
    <col min="14344" max="14344" width="54.625" style="410" bestFit="1" customWidth="1"/>
    <col min="14345" max="14345" width="25.125" style="410" bestFit="1" customWidth="1"/>
    <col min="14346" max="14346" width="9" style="410" customWidth="1"/>
    <col min="14347" max="14347" width="13" style="410" bestFit="1" customWidth="1"/>
    <col min="14348" max="14377" width="9" style="410" customWidth="1"/>
    <col min="14378" max="14587" width="9.125" style="410"/>
    <col min="14588" max="14588" width="14.875" style="410" bestFit="1" customWidth="1"/>
    <col min="14589" max="14589" width="2.875" style="410" bestFit="1" customWidth="1"/>
    <col min="14590" max="14590" width="9.125" style="410"/>
    <col min="14591" max="14591" width="8.375" style="410" bestFit="1" customWidth="1"/>
    <col min="14592" max="14592" width="11.125" style="410" bestFit="1" customWidth="1"/>
    <col min="14593" max="14593" width="10.625" style="410" bestFit="1" customWidth="1"/>
    <col min="14594" max="14594" width="8.25" style="410" bestFit="1" customWidth="1"/>
    <col min="14595" max="14595" width="7.25" style="410" bestFit="1" customWidth="1"/>
    <col min="14596" max="14596" width="31.625" style="410" bestFit="1" customWidth="1"/>
    <col min="14597" max="14597" width="36.625" style="410" bestFit="1" customWidth="1"/>
    <col min="14598" max="14598" width="40.375" style="410" bestFit="1" customWidth="1"/>
    <col min="14599" max="14599" width="28.75" style="410" bestFit="1" customWidth="1"/>
    <col min="14600" max="14600" width="54.625" style="410" bestFit="1" customWidth="1"/>
    <col min="14601" max="14601" width="25.125" style="410" bestFit="1" customWidth="1"/>
    <col min="14602" max="14602" width="9" style="410" customWidth="1"/>
    <col min="14603" max="14603" width="13" style="410" bestFit="1" customWidth="1"/>
    <col min="14604" max="14633" width="9" style="410" customWidth="1"/>
    <col min="14634" max="14843" width="9.125" style="410"/>
    <col min="14844" max="14844" width="14.875" style="410" bestFit="1" customWidth="1"/>
    <col min="14845" max="14845" width="2.875" style="410" bestFit="1" customWidth="1"/>
    <col min="14846" max="14846" width="9.125" style="410"/>
    <col min="14847" max="14847" width="8.375" style="410" bestFit="1" customWidth="1"/>
    <col min="14848" max="14848" width="11.125" style="410" bestFit="1" customWidth="1"/>
    <col min="14849" max="14849" width="10.625" style="410" bestFit="1" customWidth="1"/>
    <col min="14850" max="14850" width="8.25" style="410" bestFit="1" customWidth="1"/>
    <col min="14851" max="14851" width="7.25" style="410" bestFit="1" customWidth="1"/>
    <col min="14852" max="14852" width="31.625" style="410" bestFit="1" customWidth="1"/>
    <col min="14853" max="14853" width="36.625" style="410" bestFit="1" customWidth="1"/>
    <col min="14854" max="14854" width="40.375" style="410" bestFit="1" customWidth="1"/>
    <col min="14855" max="14855" width="28.75" style="410" bestFit="1" customWidth="1"/>
    <col min="14856" max="14856" width="54.625" style="410" bestFit="1" customWidth="1"/>
    <col min="14857" max="14857" width="25.125" style="410" bestFit="1" customWidth="1"/>
    <col min="14858" max="14858" width="9" style="410" customWidth="1"/>
    <col min="14859" max="14859" width="13" style="410" bestFit="1" customWidth="1"/>
    <col min="14860" max="14889" width="9" style="410" customWidth="1"/>
    <col min="14890" max="15099" width="9.125" style="410"/>
    <col min="15100" max="15100" width="14.875" style="410" bestFit="1" customWidth="1"/>
    <col min="15101" max="15101" width="2.875" style="410" bestFit="1" customWidth="1"/>
    <col min="15102" max="15102" width="9.125" style="410"/>
    <col min="15103" max="15103" width="8.375" style="410" bestFit="1" customWidth="1"/>
    <col min="15104" max="15104" width="11.125" style="410" bestFit="1" customWidth="1"/>
    <col min="15105" max="15105" width="10.625" style="410" bestFit="1" customWidth="1"/>
    <col min="15106" max="15106" width="8.25" style="410" bestFit="1" customWidth="1"/>
    <col min="15107" max="15107" width="7.25" style="410" bestFit="1" customWidth="1"/>
    <col min="15108" max="15108" width="31.625" style="410" bestFit="1" customWidth="1"/>
    <col min="15109" max="15109" width="36.625" style="410" bestFit="1" customWidth="1"/>
    <col min="15110" max="15110" width="40.375" style="410" bestFit="1" customWidth="1"/>
    <col min="15111" max="15111" width="28.75" style="410" bestFit="1" customWidth="1"/>
    <col min="15112" max="15112" width="54.625" style="410" bestFit="1" customWidth="1"/>
    <col min="15113" max="15113" width="25.125" style="410" bestFit="1" customWidth="1"/>
    <col min="15114" max="15114" width="9" style="410" customWidth="1"/>
    <col min="15115" max="15115" width="13" style="410" bestFit="1" customWidth="1"/>
    <col min="15116" max="15145" width="9" style="410" customWidth="1"/>
    <col min="15146" max="15355" width="9.125" style="410"/>
    <col min="15356" max="15356" width="14.875" style="410" bestFit="1" customWidth="1"/>
    <col min="15357" max="15357" width="2.875" style="410" bestFit="1" customWidth="1"/>
    <col min="15358" max="15358" width="9.125" style="410"/>
    <col min="15359" max="15359" width="8.375" style="410" bestFit="1" customWidth="1"/>
    <col min="15360" max="15360" width="11.125" style="410" bestFit="1" customWidth="1"/>
    <col min="15361" max="15361" width="10.625" style="410" bestFit="1" customWidth="1"/>
    <col min="15362" max="15362" width="8.25" style="410" bestFit="1" customWidth="1"/>
    <col min="15363" max="15363" width="7.25" style="410" bestFit="1" customWidth="1"/>
    <col min="15364" max="15364" width="31.625" style="410" bestFit="1" customWidth="1"/>
    <col min="15365" max="15365" width="36.625" style="410" bestFit="1" customWidth="1"/>
    <col min="15366" max="15366" width="40.375" style="410" bestFit="1" customWidth="1"/>
    <col min="15367" max="15367" width="28.75" style="410" bestFit="1" customWidth="1"/>
    <col min="15368" max="15368" width="54.625" style="410" bestFit="1" customWidth="1"/>
    <col min="15369" max="15369" width="25.125" style="410" bestFit="1" customWidth="1"/>
    <col min="15370" max="15370" width="9" style="410" customWidth="1"/>
    <col min="15371" max="15371" width="13" style="410" bestFit="1" customWidth="1"/>
    <col min="15372" max="15401" width="9" style="410" customWidth="1"/>
    <col min="15402" max="15611" width="9.125" style="410"/>
    <col min="15612" max="15612" width="14.875" style="410" bestFit="1" customWidth="1"/>
    <col min="15613" max="15613" width="2.875" style="410" bestFit="1" customWidth="1"/>
    <col min="15614" max="15614" width="9.125" style="410"/>
    <col min="15615" max="15615" width="8.375" style="410" bestFit="1" customWidth="1"/>
    <col min="15616" max="15616" width="11.125" style="410" bestFit="1" customWidth="1"/>
    <col min="15617" max="15617" width="10.625" style="410" bestFit="1" customWidth="1"/>
    <col min="15618" max="15618" width="8.25" style="410" bestFit="1" customWidth="1"/>
    <col min="15619" max="15619" width="7.25" style="410" bestFit="1" customWidth="1"/>
    <col min="15620" max="15620" width="31.625" style="410" bestFit="1" customWidth="1"/>
    <col min="15621" max="15621" width="36.625" style="410" bestFit="1" customWidth="1"/>
    <col min="15622" max="15622" width="40.375" style="410" bestFit="1" customWidth="1"/>
    <col min="15623" max="15623" width="28.75" style="410" bestFit="1" customWidth="1"/>
    <col min="15624" max="15624" width="54.625" style="410" bestFit="1" customWidth="1"/>
    <col min="15625" max="15625" width="25.125" style="410" bestFit="1" customWidth="1"/>
    <col min="15626" max="15626" width="9" style="410" customWidth="1"/>
    <col min="15627" max="15627" width="13" style="410" bestFit="1" customWidth="1"/>
    <col min="15628" max="15657" width="9" style="410" customWidth="1"/>
    <col min="15658" max="15867" width="9.125" style="410"/>
    <col min="15868" max="15868" width="14.875" style="410" bestFit="1" customWidth="1"/>
    <col min="15869" max="15869" width="2.875" style="410" bestFit="1" customWidth="1"/>
    <col min="15870" max="15870" width="9.125" style="410"/>
    <col min="15871" max="15871" width="8.375" style="410" bestFit="1" customWidth="1"/>
    <col min="15872" max="15872" width="11.125" style="410" bestFit="1" customWidth="1"/>
    <col min="15873" max="15873" width="10.625" style="410" bestFit="1" customWidth="1"/>
    <col min="15874" max="15874" width="8.25" style="410" bestFit="1" customWidth="1"/>
    <col min="15875" max="15875" width="7.25" style="410" bestFit="1" customWidth="1"/>
    <col min="15876" max="15876" width="31.625" style="410" bestFit="1" customWidth="1"/>
    <col min="15877" max="15877" width="36.625" style="410" bestFit="1" customWidth="1"/>
    <col min="15878" max="15878" width="40.375" style="410" bestFit="1" customWidth="1"/>
    <col min="15879" max="15879" width="28.75" style="410" bestFit="1" customWidth="1"/>
    <col min="15880" max="15880" width="54.625" style="410" bestFit="1" customWidth="1"/>
    <col min="15881" max="15881" width="25.125" style="410" bestFit="1" customWidth="1"/>
    <col min="15882" max="15882" width="9" style="410" customWidth="1"/>
    <col min="15883" max="15883" width="13" style="410" bestFit="1" customWidth="1"/>
    <col min="15884" max="15913" width="9" style="410" customWidth="1"/>
    <col min="15914" max="16123" width="9.125" style="410"/>
    <col min="16124" max="16124" width="14.875" style="410" bestFit="1" customWidth="1"/>
    <col min="16125" max="16125" width="2.875" style="410" bestFit="1" customWidth="1"/>
    <col min="16126" max="16126" width="9.125" style="410"/>
    <col min="16127" max="16127" width="8.375" style="410" bestFit="1" customWidth="1"/>
    <col min="16128" max="16128" width="11.125" style="410" bestFit="1" customWidth="1"/>
    <col min="16129" max="16129" width="10.625" style="410" bestFit="1" customWidth="1"/>
    <col min="16130" max="16130" width="8.25" style="410" bestFit="1" customWidth="1"/>
    <col min="16131" max="16131" width="7.25" style="410" bestFit="1" customWidth="1"/>
    <col min="16132" max="16132" width="31.625" style="410" bestFit="1" customWidth="1"/>
    <col min="16133" max="16133" width="36.625" style="410" bestFit="1" customWidth="1"/>
    <col min="16134" max="16134" width="40.375" style="410" bestFit="1" customWidth="1"/>
    <col min="16135" max="16135" width="28.75" style="410" bestFit="1" customWidth="1"/>
    <col min="16136" max="16136" width="54.625" style="410" bestFit="1" customWidth="1"/>
    <col min="16137" max="16137" width="25.125" style="410" bestFit="1" customWidth="1"/>
    <col min="16138" max="16138" width="9" style="410" customWidth="1"/>
    <col min="16139" max="16139" width="13" style="410" bestFit="1" customWidth="1"/>
    <col min="16140" max="16169" width="9" style="410" customWidth="1"/>
    <col min="16170" max="16384" width="9.125" style="410"/>
  </cols>
  <sheetData>
    <row r="1" spans="1:43">
      <c r="A1" s="532" t="s">
        <v>11321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AP1" s="409"/>
      <c r="AQ1" s="409"/>
    </row>
    <row r="2" spans="1:43">
      <c r="A2" s="532" t="s">
        <v>13541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AP2" s="409"/>
      <c r="AQ2" s="409"/>
    </row>
    <row r="3" spans="1:43">
      <c r="A3" s="411"/>
      <c r="B3" s="411"/>
      <c r="C3" s="411"/>
      <c r="D3" s="533"/>
      <c r="E3" s="533"/>
      <c r="F3" s="533"/>
      <c r="G3" s="412"/>
      <c r="H3" s="412"/>
      <c r="I3" s="412"/>
      <c r="J3" s="412"/>
      <c r="K3" s="412"/>
      <c r="AP3" s="409"/>
      <c r="AQ3" s="409"/>
    </row>
    <row r="4" spans="1:43" s="415" customFormat="1" ht="35.25" customHeight="1">
      <c r="A4" s="413" t="s">
        <v>11322</v>
      </c>
      <c r="B4" s="413"/>
      <c r="C4" s="414" t="s">
        <v>11323</v>
      </c>
      <c r="D4" s="414" t="s">
        <v>172</v>
      </c>
      <c r="E4" s="414" t="s">
        <v>93</v>
      </c>
      <c r="F4" s="414" t="s">
        <v>11324</v>
      </c>
      <c r="G4" s="414" t="s">
        <v>11325</v>
      </c>
      <c r="H4" s="413" t="s">
        <v>11326</v>
      </c>
      <c r="I4" s="413" t="s">
        <v>11327</v>
      </c>
      <c r="J4" s="413" t="s">
        <v>11328</v>
      </c>
      <c r="K4" s="413" t="s">
        <v>11329</v>
      </c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  <c r="Y4" s="409"/>
      <c r="Z4" s="409"/>
      <c r="AA4" s="409"/>
      <c r="AB4" s="409"/>
      <c r="AC4" s="409"/>
      <c r="AD4" s="409"/>
      <c r="AE4" s="409"/>
      <c r="AF4" s="409"/>
      <c r="AG4" s="409"/>
      <c r="AH4" s="409"/>
      <c r="AI4" s="409"/>
      <c r="AJ4" s="409"/>
      <c r="AK4" s="409"/>
      <c r="AL4" s="409"/>
      <c r="AM4" s="409"/>
      <c r="AN4" s="409"/>
      <c r="AO4" s="409"/>
      <c r="AP4" s="409"/>
      <c r="AQ4" s="409"/>
    </row>
    <row r="5" spans="1:43" ht="22.5" customHeight="1">
      <c r="A5" s="416"/>
      <c r="B5" s="417"/>
      <c r="C5" s="418"/>
      <c r="D5" s="419"/>
      <c r="E5" s="419"/>
      <c r="F5" s="419"/>
      <c r="G5" s="419"/>
      <c r="H5" s="534" t="s">
        <v>11330</v>
      </c>
      <c r="I5" s="534"/>
      <c r="J5" s="534"/>
      <c r="K5" s="534"/>
      <c r="AP5" s="409"/>
      <c r="AQ5" s="409"/>
    </row>
    <row r="6" spans="1:43">
      <c r="A6" s="535" t="s">
        <v>13542</v>
      </c>
      <c r="B6" s="536" t="s">
        <v>111</v>
      </c>
      <c r="C6" s="537" t="s">
        <v>11331</v>
      </c>
      <c r="D6" s="538">
        <f>COUNTIFS(MASTER!R:R,C6,MASTER!U:U,$D$4)</f>
        <v>15</v>
      </c>
      <c r="E6" s="538">
        <f>COUNTIFS(MASTER!R:R,C6,MASTER!U:U,$E$4)</f>
        <v>11</v>
      </c>
      <c r="F6" s="539">
        <f>COUNTIFS(MASTER!R:R,C6)</f>
        <v>26</v>
      </c>
      <c r="G6" s="539">
        <v>2</v>
      </c>
      <c r="H6" s="540" t="s">
        <v>11350</v>
      </c>
      <c r="I6" s="541" t="s">
        <v>11373</v>
      </c>
      <c r="J6" s="420" t="s">
        <v>13611</v>
      </c>
      <c r="K6" s="540"/>
      <c r="L6" s="421"/>
      <c r="M6" s="422"/>
      <c r="AP6" s="409"/>
      <c r="AQ6" s="409"/>
    </row>
    <row r="7" spans="1:43">
      <c r="A7" s="535"/>
      <c r="B7" s="536"/>
      <c r="C7" s="537"/>
      <c r="D7" s="538"/>
      <c r="E7" s="538"/>
      <c r="F7" s="539"/>
      <c r="G7" s="539"/>
      <c r="H7" s="540"/>
      <c r="I7" s="542"/>
      <c r="J7" s="420" t="s">
        <v>13548</v>
      </c>
      <c r="K7" s="540"/>
      <c r="L7" s="421"/>
      <c r="M7" s="422"/>
      <c r="AP7" s="409"/>
      <c r="AQ7" s="409"/>
    </row>
    <row r="8" spans="1:43" ht="15" customHeight="1">
      <c r="A8" s="535" t="s">
        <v>13543</v>
      </c>
      <c r="B8" s="536" t="s">
        <v>149</v>
      </c>
      <c r="C8" s="537" t="s">
        <v>11333</v>
      </c>
      <c r="D8" s="538">
        <f>COUNTIFS(MASTER!R:R,C8,MASTER!U:U,$D$4)</f>
        <v>15</v>
      </c>
      <c r="E8" s="538">
        <f>COUNTIFS(MASTER!R:R,C8,MASTER!U:U,$E$4)</f>
        <v>11</v>
      </c>
      <c r="F8" s="539">
        <f>COUNTIFS(MASTER!R:R,C8)</f>
        <v>26</v>
      </c>
      <c r="G8" s="539">
        <v>2</v>
      </c>
      <c r="H8" s="540" t="s">
        <v>11349</v>
      </c>
      <c r="I8" s="540" t="s">
        <v>13549</v>
      </c>
      <c r="J8" s="420" t="s">
        <v>11352</v>
      </c>
      <c r="K8" s="540" t="s">
        <v>13551</v>
      </c>
      <c r="AP8" s="409"/>
    </row>
    <row r="9" spans="1:43" ht="15" customHeight="1">
      <c r="A9" s="535"/>
      <c r="B9" s="536"/>
      <c r="C9" s="537"/>
      <c r="D9" s="538"/>
      <c r="E9" s="538"/>
      <c r="F9" s="539"/>
      <c r="G9" s="539"/>
      <c r="H9" s="540"/>
      <c r="I9" s="540"/>
      <c r="J9" s="420" t="s">
        <v>13550</v>
      </c>
      <c r="K9" s="540"/>
      <c r="AP9" s="409"/>
    </row>
    <row r="10" spans="1:43" ht="15" customHeight="1">
      <c r="A10" s="535" t="s">
        <v>13544</v>
      </c>
      <c r="B10" s="536" t="s">
        <v>11337</v>
      </c>
      <c r="C10" s="537" t="s">
        <v>11338</v>
      </c>
      <c r="D10" s="538">
        <f>COUNTIFS(MASTER!R:R,C10,MASTER!U:U,$D$4)</f>
        <v>15</v>
      </c>
      <c r="E10" s="538">
        <f>COUNTIFS(MASTER!R:R,C10,MASTER!U:U,$E$4)</f>
        <v>10</v>
      </c>
      <c r="F10" s="539">
        <f>COUNTIFS(MASTER!R:R,C10)</f>
        <v>25</v>
      </c>
      <c r="G10" s="539">
        <v>2</v>
      </c>
      <c r="H10" s="540" t="s">
        <v>11332</v>
      </c>
      <c r="I10" s="540" t="s">
        <v>13552</v>
      </c>
      <c r="J10" s="420" t="s">
        <v>13553</v>
      </c>
      <c r="K10" s="540" t="s">
        <v>13555</v>
      </c>
      <c r="AP10" s="409"/>
    </row>
    <row r="11" spans="1:43" ht="15" customHeight="1">
      <c r="A11" s="535"/>
      <c r="B11" s="536"/>
      <c r="C11" s="537"/>
      <c r="D11" s="538"/>
      <c r="E11" s="538"/>
      <c r="F11" s="539"/>
      <c r="G11" s="539"/>
      <c r="H11" s="540"/>
      <c r="I11" s="540"/>
      <c r="J11" s="420" t="s">
        <v>13554</v>
      </c>
      <c r="K11" s="540"/>
      <c r="AP11" s="409"/>
    </row>
    <row r="12" spans="1:43" ht="15" customHeight="1">
      <c r="A12" s="535" t="s">
        <v>3166</v>
      </c>
      <c r="B12" s="536" t="s">
        <v>11341</v>
      </c>
      <c r="C12" s="537" t="s">
        <v>11342</v>
      </c>
      <c r="D12" s="538">
        <f>COUNTIFS(MASTER!R:R,C12,MASTER!U:U,$D$4)</f>
        <v>15</v>
      </c>
      <c r="E12" s="538">
        <f>COUNTIFS(MASTER!R:R,C12,MASTER!U:U,$E$4)</f>
        <v>10</v>
      </c>
      <c r="F12" s="539">
        <f>COUNTIFS(MASTER!R:R,C12)</f>
        <v>25</v>
      </c>
      <c r="G12" s="539">
        <v>2</v>
      </c>
      <c r="H12" s="541" t="s">
        <v>11335</v>
      </c>
      <c r="I12" s="540" t="s">
        <v>11374</v>
      </c>
      <c r="J12" s="420" t="s">
        <v>13556</v>
      </c>
      <c r="K12" s="540"/>
      <c r="AP12" s="409"/>
    </row>
    <row r="13" spans="1:43" ht="15" customHeight="1">
      <c r="A13" s="535"/>
      <c r="B13" s="536"/>
      <c r="C13" s="537"/>
      <c r="D13" s="538"/>
      <c r="E13" s="538"/>
      <c r="F13" s="539"/>
      <c r="G13" s="539"/>
      <c r="H13" s="542"/>
      <c r="I13" s="540"/>
      <c r="J13" s="420" t="s">
        <v>13558</v>
      </c>
      <c r="K13" s="540"/>
      <c r="AP13" s="409"/>
      <c r="AQ13" s="409"/>
    </row>
    <row r="14" spans="1:43" ht="15" customHeight="1">
      <c r="A14" s="416"/>
      <c r="B14" s="417"/>
      <c r="C14" s="418"/>
      <c r="D14" s="423"/>
      <c r="E14" s="423"/>
      <c r="F14" s="419"/>
      <c r="G14" s="419"/>
      <c r="H14" s="567" t="s">
        <v>11346</v>
      </c>
      <c r="I14" s="568"/>
      <c r="J14" s="568"/>
      <c r="K14" s="569"/>
      <c r="AP14" s="409"/>
      <c r="AQ14" s="409"/>
    </row>
    <row r="15" spans="1:43" ht="15" customHeight="1">
      <c r="A15" s="416"/>
      <c r="B15" s="417"/>
      <c r="C15" s="418"/>
      <c r="D15" s="419"/>
      <c r="E15" s="419"/>
      <c r="F15" s="419"/>
      <c r="G15" s="419"/>
      <c r="H15" s="543" t="s">
        <v>13557</v>
      </c>
      <c r="I15" s="543"/>
      <c r="J15" s="543"/>
      <c r="K15" s="543"/>
      <c r="AP15" s="409"/>
      <c r="AQ15" s="409"/>
    </row>
    <row r="16" spans="1:43" ht="15" customHeight="1">
      <c r="A16" s="416"/>
      <c r="B16" s="417"/>
      <c r="C16" s="418"/>
      <c r="D16" s="419"/>
      <c r="E16" s="419"/>
      <c r="F16" s="419"/>
      <c r="G16" s="419"/>
      <c r="H16" s="424"/>
      <c r="I16" s="424"/>
      <c r="J16" s="424"/>
      <c r="K16" s="424"/>
      <c r="AP16" s="409"/>
      <c r="AQ16" s="409"/>
    </row>
    <row r="17" spans="1:43" s="428" customFormat="1" ht="15" customHeight="1">
      <c r="A17" s="544" t="s">
        <v>11347</v>
      </c>
      <c r="B17" s="544"/>
      <c r="C17" s="544"/>
      <c r="D17" s="425">
        <f>SUM(D6:D12)</f>
        <v>60</v>
      </c>
      <c r="E17" s="425">
        <f>SUM(E6:E12)</f>
        <v>42</v>
      </c>
      <c r="F17" s="425">
        <f>SUM(D17:E17)</f>
        <v>102</v>
      </c>
      <c r="G17" s="425">
        <f>SUM(G6:G13)</f>
        <v>8</v>
      </c>
      <c r="H17" s="426"/>
      <c r="I17" s="426"/>
      <c r="J17" s="426"/>
      <c r="K17" s="426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</row>
    <row r="18" spans="1:43" ht="23.25" customHeight="1">
      <c r="A18" s="429"/>
      <c r="B18" s="417"/>
      <c r="C18" s="418"/>
      <c r="D18" s="419"/>
      <c r="E18" s="419"/>
      <c r="F18" s="419"/>
      <c r="G18" s="419"/>
      <c r="H18" s="545" t="s">
        <v>11361</v>
      </c>
      <c r="I18" s="545"/>
      <c r="J18" s="545"/>
      <c r="K18" s="545"/>
      <c r="AP18" s="409"/>
      <c r="AQ18" s="409"/>
    </row>
    <row r="19" spans="1:43" ht="15" customHeight="1">
      <c r="A19" s="593" t="s">
        <v>12138</v>
      </c>
      <c r="B19" s="536" t="s">
        <v>111</v>
      </c>
      <c r="C19" s="537" t="s">
        <v>2445</v>
      </c>
      <c r="D19" s="538">
        <f>COUNTIFS(MASTER!R:R,C19,MASTER!U:U,$D$4)</f>
        <v>16</v>
      </c>
      <c r="E19" s="538">
        <f>COUNTIFS(MASTER!R:R,C19,MASTER!U:U,$E$4)</f>
        <v>13</v>
      </c>
      <c r="F19" s="539">
        <f>COUNTIFS(MASTER!R:R,C19)</f>
        <v>29</v>
      </c>
      <c r="G19" s="539">
        <v>3</v>
      </c>
      <c r="H19" s="546" t="s">
        <v>11343</v>
      </c>
      <c r="I19" s="430"/>
      <c r="J19" s="431" t="s">
        <v>11340</v>
      </c>
      <c r="K19" s="584" t="s">
        <v>11339</v>
      </c>
      <c r="L19" s="421"/>
      <c r="AP19" s="409"/>
      <c r="AQ19" s="409"/>
    </row>
    <row r="20" spans="1:43" ht="15" customHeight="1">
      <c r="A20" s="593"/>
      <c r="B20" s="536"/>
      <c r="C20" s="537"/>
      <c r="D20" s="538"/>
      <c r="E20" s="538"/>
      <c r="F20" s="539"/>
      <c r="G20" s="539"/>
      <c r="H20" s="546"/>
      <c r="I20" s="432"/>
      <c r="J20" s="431" t="s">
        <v>11359</v>
      </c>
      <c r="K20" s="584"/>
      <c r="L20" s="421"/>
      <c r="AP20" s="409"/>
      <c r="AQ20" s="409"/>
    </row>
    <row r="21" spans="1:43" ht="15" customHeight="1">
      <c r="A21" s="593"/>
      <c r="B21" s="536"/>
      <c r="C21" s="537"/>
      <c r="D21" s="538"/>
      <c r="E21" s="538"/>
      <c r="F21" s="539"/>
      <c r="G21" s="539"/>
      <c r="H21" s="546"/>
      <c r="I21" s="433"/>
      <c r="J21" s="434" t="s">
        <v>13559</v>
      </c>
      <c r="K21" s="584"/>
      <c r="L21" s="421"/>
      <c r="AP21" s="409"/>
      <c r="AQ21" s="409"/>
    </row>
    <row r="22" spans="1:43" ht="15" customHeight="1">
      <c r="A22" s="558" t="s">
        <v>12139</v>
      </c>
      <c r="B22" s="551" t="s">
        <v>149</v>
      </c>
      <c r="C22" s="553" t="s">
        <v>2449</v>
      </c>
      <c r="D22" s="547">
        <f>COUNTIFS(MASTER!R:R,C22,MASTER!U:U,$D$4)</f>
        <v>17</v>
      </c>
      <c r="E22" s="547">
        <f>COUNTIFS(MASTER!R:R,C22,MASTER!U:U,$E$4)</f>
        <v>14</v>
      </c>
      <c r="F22" s="547">
        <f>COUNTIFS(MASTER!R:R,C22)</f>
        <v>31</v>
      </c>
      <c r="G22" s="547">
        <v>4</v>
      </c>
      <c r="H22" s="549" t="s">
        <v>13560</v>
      </c>
      <c r="I22" s="549"/>
      <c r="J22" s="431" t="s">
        <v>13561</v>
      </c>
      <c r="K22" s="549"/>
      <c r="AP22" s="409"/>
      <c r="AQ22" s="409"/>
    </row>
    <row r="23" spans="1:43" ht="15" customHeight="1">
      <c r="A23" s="571"/>
      <c r="B23" s="591"/>
      <c r="C23" s="592"/>
      <c r="D23" s="548"/>
      <c r="E23" s="548"/>
      <c r="F23" s="548"/>
      <c r="G23" s="548"/>
      <c r="H23" s="550"/>
      <c r="I23" s="550"/>
      <c r="J23" s="431" t="s">
        <v>13562</v>
      </c>
      <c r="K23" s="550"/>
      <c r="AP23" s="409"/>
      <c r="AQ23" s="409"/>
    </row>
    <row r="24" spans="1:43" ht="15" customHeight="1">
      <c r="A24" s="558" t="s">
        <v>12140</v>
      </c>
      <c r="B24" s="551" t="s">
        <v>11337</v>
      </c>
      <c r="C24" s="553" t="s">
        <v>2450</v>
      </c>
      <c r="D24" s="538">
        <f>COUNTIFS(MASTER!R:R,C24,MASTER!U:U,$D$4)</f>
        <v>15</v>
      </c>
      <c r="E24" s="538">
        <f>COUNTIFS(MASTER!R:R,C24,MASTER!U:U,$E$4)</f>
        <v>14</v>
      </c>
      <c r="F24" s="539">
        <f>COUNTIFS(MASTER!R:R,C24)</f>
        <v>29</v>
      </c>
      <c r="G24" s="547">
        <v>1</v>
      </c>
      <c r="H24" s="549" t="s">
        <v>11334</v>
      </c>
      <c r="I24" s="549"/>
      <c r="J24" s="549" t="s">
        <v>13563</v>
      </c>
      <c r="K24" s="549"/>
      <c r="AP24" s="409"/>
      <c r="AQ24" s="409"/>
    </row>
    <row r="25" spans="1:43" ht="15" customHeight="1">
      <c r="A25" s="559"/>
      <c r="B25" s="552"/>
      <c r="C25" s="554"/>
      <c r="D25" s="538"/>
      <c r="E25" s="538"/>
      <c r="F25" s="539"/>
      <c r="G25" s="555"/>
      <c r="H25" s="570"/>
      <c r="I25" s="570"/>
      <c r="J25" s="570"/>
      <c r="K25" s="570"/>
      <c r="AP25" s="409"/>
      <c r="AQ25" s="409"/>
    </row>
    <row r="26" spans="1:43" ht="15" customHeight="1">
      <c r="A26" s="558" t="s">
        <v>12141</v>
      </c>
      <c r="B26" s="551" t="s">
        <v>11341</v>
      </c>
      <c r="C26" s="553" t="s">
        <v>2451</v>
      </c>
      <c r="D26" s="538">
        <f>COUNTIFS(MASTER!R:R,C26,MASTER!U:U,$D$4)</f>
        <v>17</v>
      </c>
      <c r="E26" s="538">
        <f>COUNTIFS(MASTER!R:R,C26,MASTER!U:U,$E$4)</f>
        <v>13</v>
      </c>
      <c r="F26" s="539">
        <f>COUNTIFS(MASTER!R:R,C26)</f>
        <v>30</v>
      </c>
      <c r="G26" s="547">
        <v>2</v>
      </c>
      <c r="H26" s="549" t="s">
        <v>13564</v>
      </c>
      <c r="I26" s="549"/>
      <c r="J26" s="431" t="s">
        <v>13565</v>
      </c>
      <c r="K26" s="549" t="s">
        <v>11360</v>
      </c>
      <c r="AP26" s="409"/>
      <c r="AQ26" s="409"/>
    </row>
    <row r="27" spans="1:43" ht="15" customHeight="1">
      <c r="A27" s="559"/>
      <c r="B27" s="552"/>
      <c r="C27" s="554"/>
      <c r="D27" s="538"/>
      <c r="E27" s="538"/>
      <c r="F27" s="539"/>
      <c r="G27" s="555"/>
      <c r="H27" s="570"/>
      <c r="I27" s="570"/>
      <c r="J27" s="431" t="s">
        <v>13566</v>
      </c>
      <c r="K27" s="570"/>
      <c r="AP27" s="409"/>
      <c r="AQ27" s="409"/>
    </row>
    <row r="28" spans="1:43" ht="15" customHeight="1">
      <c r="A28" s="435"/>
      <c r="B28" s="417"/>
      <c r="C28" s="418"/>
      <c r="D28" s="419"/>
      <c r="E28" s="419"/>
      <c r="F28" s="419"/>
      <c r="G28" s="419"/>
      <c r="H28" s="585"/>
      <c r="I28" s="586"/>
      <c r="J28" s="586"/>
      <c r="K28" s="587"/>
      <c r="AP28" s="409"/>
      <c r="AQ28" s="409"/>
    </row>
    <row r="29" spans="1:43" ht="15" customHeight="1">
      <c r="A29" s="436"/>
      <c r="B29" s="417"/>
      <c r="C29" s="418"/>
      <c r="D29" s="419"/>
      <c r="E29" s="419"/>
      <c r="F29" s="419"/>
      <c r="G29" s="419"/>
      <c r="H29" s="431"/>
      <c r="I29" s="431"/>
      <c r="J29" s="431"/>
      <c r="K29" s="431"/>
      <c r="AP29" s="409"/>
      <c r="AQ29" s="409"/>
    </row>
    <row r="30" spans="1:43" s="428" customFormat="1" ht="15" customHeight="1">
      <c r="A30" s="544" t="s">
        <v>11347</v>
      </c>
      <c r="B30" s="544"/>
      <c r="C30" s="544"/>
      <c r="D30" s="425">
        <f>SUM(D19:D26)</f>
        <v>65</v>
      </c>
      <c r="E30" s="425">
        <f>SUM(E19:E26)</f>
        <v>54</v>
      </c>
      <c r="F30" s="425">
        <f>SUM(D30:E30)</f>
        <v>119</v>
      </c>
      <c r="G30" s="425">
        <f>SUM(G19:G26)</f>
        <v>10</v>
      </c>
      <c r="H30" s="426"/>
      <c r="I30" s="426"/>
      <c r="J30" s="426"/>
      <c r="K30" s="426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</row>
    <row r="31" spans="1:43">
      <c r="A31" s="437"/>
      <c r="B31" s="417"/>
      <c r="C31" s="418"/>
      <c r="D31" s="419"/>
      <c r="E31" s="419"/>
      <c r="F31" s="419"/>
      <c r="G31" s="419"/>
      <c r="H31" s="588" t="s">
        <v>13547</v>
      </c>
      <c r="I31" s="589"/>
      <c r="J31" s="589"/>
      <c r="K31" s="590"/>
      <c r="AP31" s="409"/>
      <c r="AQ31" s="409"/>
    </row>
    <row r="32" spans="1:43" ht="15" customHeight="1">
      <c r="A32" s="437" t="s">
        <v>12142</v>
      </c>
      <c r="B32" s="417" t="s">
        <v>111</v>
      </c>
      <c r="C32" s="418" t="s">
        <v>4844</v>
      </c>
      <c r="D32" s="419">
        <f>COUNTIFS(MASTER!R:R,C32,MASTER!U:U,$D$4)</f>
        <v>15</v>
      </c>
      <c r="E32" s="419">
        <f>COUNTIFS(MASTER!R:R,C32,MASTER!U:U,$E$4)</f>
        <v>12</v>
      </c>
      <c r="F32" s="419">
        <f>COUNTIFS(MASTER!R:R,C32)</f>
        <v>27</v>
      </c>
      <c r="G32" s="419">
        <v>2</v>
      </c>
      <c r="H32" s="438" t="s">
        <v>11348</v>
      </c>
      <c r="I32" s="438"/>
      <c r="J32" s="438" t="s">
        <v>13567</v>
      </c>
      <c r="K32" s="438" t="s">
        <v>11351</v>
      </c>
      <c r="AP32" s="409"/>
      <c r="AQ32" s="409"/>
    </row>
    <row r="33" spans="1:43" ht="15" customHeight="1">
      <c r="A33" s="437" t="s">
        <v>12143</v>
      </c>
      <c r="B33" s="417" t="s">
        <v>149</v>
      </c>
      <c r="C33" s="418" t="s">
        <v>5466</v>
      </c>
      <c r="D33" s="419">
        <f>COUNTIFS(MASTER!R:R,C33,MASTER!U:U,$D$4)</f>
        <v>16</v>
      </c>
      <c r="E33" s="419">
        <f>COUNTIFS(MASTER!R:R,C33,MASTER!U:U,$E$4)</f>
        <v>11</v>
      </c>
      <c r="F33" s="419">
        <f>COUNTIFS(MASTER!R:R,C33)</f>
        <v>27</v>
      </c>
      <c r="G33" s="419">
        <v>2</v>
      </c>
      <c r="H33" s="438" t="s">
        <v>11375</v>
      </c>
      <c r="I33" s="439"/>
      <c r="J33" s="438" t="s">
        <v>11344</v>
      </c>
      <c r="K33" s="438" t="s">
        <v>11345</v>
      </c>
      <c r="AP33" s="409"/>
    </row>
    <row r="34" spans="1:43" ht="15" customHeight="1">
      <c r="A34" s="437" t="s">
        <v>12144</v>
      </c>
      <c r="B34" s="417" t="s">
        <v>11337</v>
      </c>
      <c r="C34" s="423" t="s">
        <v>6025</v>
      </c>
      <c r="D34" s="419">
        <f>COUNTIFS(MASTER!R:R,C34,MASTER!U:U,$D$4)</f>
        <v>16</v>
      </c>
      <c r="E34" s="419">
        <f>COUNTIFS(MASTER!R:R,C34,MASTER!U:U,$E$4)</f>
        <v>12</v>
      </c>
      <c r="F34" s="419">
        <f>COUNTIFS(MASTER!R:R,C34)</f>
        <v>28</v>
      </c>
      <c r="G34" s="419">
        <v>2</v>
      </c>
      <c r="H34" s="438" t="s">
        <v>13568</v>
      </c>
      <c r="J34" s="438" t="s">
        <v>11336</v>
      </c>
      <c r="K34" s="438"/>
      <c r="AP34" s="409"/>
      <c r="AQ34" s="409"/>
    </row>
    <row r="35" spans="1:43" ht="15" customHeight="1">
      <c r="A35" s="437" t="s">
        <v>12145</v>
      </c>
      <c r="B35" s="417" t="s">
        <v>11341</v>
      </c>
      <c r="C35" s="423" t="s">
        <v>6591</v>
      </c>
      <c r="D35" s="419">
        <f>COUNTIFS(MASTER!R:R,C35,MASTER!U:U,$D$4)</f>
        <v>16</v>
      </c>
      <c r="E35" s="419">
        <f>COUNTIFS(MASTER!R:R,C35,MASTER!U:U,$E$4)</f>
        <v>11</v>
      </c>
      <c r="F35" s="419">
        <f>COUNTIFS(MASTER!R:R,C35)</f>
        <v>27</v>
      </c>
      <c r="G35" s="419">
        <v>2</v>
      </c>
      <c r="H35" s="438" t="s">
        <v>13569</v>
      </c>
      <c r="I35" s="441"/>
      <c r="J35" s="438" t="s">
        <v>13570</v>
      </c>
      <c r="K35" s="438"/>
      <c r="AP35" s="409"/>
      <c r="AQ35" s="409"/>
    </row>
    <row r="36" spans="1:43" ht="15" customHeight="1">
      <c r="A36" s="442"/>
      <c r="B36" s="443"/>
      <c r="C36" s="423"/>
      <c r="D36" s="419"/>
      <c r="E36" s="419"/>
      <c r="F36" s="419"/>
      <c r="G36" s="419"/>
      <c r="H36" s="581" t="s">
        <v>13571</v>
      </c>
      <c r="I36" s="582"/>
      <c r="J36" s="582"/>
      <c r="K36" s="583"/>
      <c r="AP36" s="409"/>
      <c r="AQ36" s="409"/>
    </row>
    <row r="37" spans="1:43" ht="15" customHeight="1">
      <c r="A37" s="444"/>
      <c r="B37" s="444"/>
      <c r="C37" s="418"/>
      <c r="D37" s="419"/>
      <c r="E37" s="419"/>
      <c r="F37" s="419"/>
      <c r="G37" s="419"/>
      <c r="H37" s="572"/>
      <c r="I37" s="573"/>
      <c r="J37" s="573"/>
      <c r="K37" s="574"/>
      <c r="AP37" s="409"/>
      <c r="AQ37" s="409"/>
    </row>
    <row r="38" spans="1:43" s="428" customFormat="1" ht="15" customHeight="1">
      <c r="A38" s="544" t="s">
        <v>11347</v>
      </c>
      <c r="B38" s="544"/>
      <c r="C38" s="544"/>
      <c r="D38" s="425">
        <f>SUM(D32:D37)</f>
        <v>63</v>
      </c>
      <c r="E38" s="425">
        <f>SUM(E32:E37)</f>
        <v>46</v>
      </c>
      <c r="F38" s="425">
        <f>SUM(D38:E38)</f>
        <v>109</v>
      </c>
      <c r="G38" s="425">
        <f>SUM(G32:G35)</f>
        <v>8</v>
      </c>
      <c r="H38" s="426"/>
      <c r="I38" s="426"/>
      <c r="J38" s="426"/>
      <c r="K38" s="426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</row>
    <row r="39" spans="1:43" ht="21" customHeight="1">
      <c r="A39" s="445"/>
      <c r="B39" s="417"/>
      <c r="C39" s="418"/>
      <c r="D39" s="419"/>
      <c r="E39" s="419"/>
      <c r="F39" s="419"/>
      <c r="G39" s="419"/>
      <c r="H39" s="575" t="s">
        <v>11372</v>
      </c>
      <c r="I39" s="576"/>
      <c r="J39" s="576"/>
      <c r="K39" s="577"/>
      <c r="AP39" s="409"/>
      <c r="AQ39" s="409"/>
    </row>
    <row r="40" spans="1:43" ht="15" customHeight="1">
      <c r="A40" s="445" t="s">
        <v>12146</v>
      </c>
      <c r="B40" s="417" t="s">
        <v>111</v>
      </c>
      <c r="C40" s="418" t="s">
        <v>7102</v>
      </c>
      <c r="D40" s="419">
        <f>COUNTIFS(MASTER!R:R,C40,MASTER!U:U,$D$4)</f>
        <v>17</v>
      </c>
      <c r="E40" s="419">
        <f>COUNTIFS(MASTER!R:R,C40,MASTER!U:U,$E$4)</f>
        <v>13</v>
      </c>
      <c r="F40" s="419">
        <f>COUNTIFS(MASTER!R:R,C40)</f>
        <v>30</v>
      </c>
      <c r="G40" s="419">
        <v>0</v>
      </c>
      <c r="H40" s="446" t="s">
        <v>11356</v>
      </c>
      <c r="I40" s="447" t="s">
        <v>11362</v>
      </c>
      <c r="J40" s="446"/>
      <c r="K40" s="446" t="s">
        <v>13572</v>
      </c>
      <c r="AP40" s="409"/>
      <c r="AQ40" s="409"/>
    </row>
    <row r="41" spans="1:43" ht="15" customHeight="1">
      <c r="A41" s="445" t="s">
        <v>12147</v>
      </c>
      <c r="B41" s="417" t="s">
        <v>149</v>
      </c>
      <c r="C41" s="418" t="s">
        <v>7729</v>
      </c>
      <c r="D41" s="419">
        <f>COUNTIFS(MASTER!R:R,C41,MASTER!U:U,$D$4)</f>
        <v>16</v>
      </c>
      <c r="E41" s="419">
        <f>COUNTIFS(MASTER!R:R,C41,MASTER!U:U,$E$4)</f>
        <v>13</v>
      </c>
      <c r="F41" s="419">
        <f>COUNTIFS(MASTER!R:R,C41)</f>
        <v>29</v>
      </c>
      <c r="G41" s="419">
        <v>1</v>
      </c>
      <c r="H41" s="446" t="s">
        <v>11379</v>
      </c>
      <c r="I41" s="448" t="s">
        <v>11377</v>
      </c>
      <c r="J41" s="446" t="s">
        <v>13573</v>
      </c>
      <c r="K41" s="446"/>
      <c r="AP41" s="409"/>
      <c r="AQ41" s="409"/>
    </row>
    <row r="42" spans="1:43" ht="15" customHeight="1">
      <c r="A42" s="445" t="s">
        <v>12148</v>
      </c>
      <c r="B42" s="551" t="s">
        <v>11337</v>
      </c>
      <c r="C42" s="553" t="s">
        <v>8304</v>
      </c>
      <c r="D42" s="547">
        <f>COUNTIFS(MASTER!R:R,C42,MASTER!U:U,$D$4)</f>
        <v>18</v>
      </c>
      <c r="E42" s="547">
        <f>COUNTIFS(MASTER!R:R,C42,MASTER!U:U,$E$4)</f>
        <v>12</v>
      </c>
      <c r="F42" s="547">
        <f>COUNTIFS(MASTER!R:R,C42)</f>
        <v>30</v>
      </c>
      <c r="G42" s="547">
        <v>2</v>
      </c>
      <c r="H42" s="556" t="s">
        <v>13574</v>
      </c>
      <c r="I42" s="594"/>
      <c r="J42" s="446" t="s">
        <v>11376</v>
      </c>
      <c r="K42" s="556" t="s">
        <v>11381</v>
      </c>
      <c r="L42" s="449"/>
      <c r="AP42" s="409"/>
    </row>
    <row r="43" spans="1:43" ht="15" customHeight="1">
      <c r="A43" s="445" t="s">
        <v>12149</v>
      </c>
      <c r="B43" s="552"/>
      <c r="C43" s="554"/>
      <c r="D43" s="555"/>
      <c r="E43" s="555"/>
      <c r="F43" s="555"/>
      <c r="G43" s="555"/>
      <c r="H43" s="557"/>
      <c r="I43" s="595"/>
      <c r="J43" s="446"/>
      <c r="K43" s="557"/>
      <c r="L43" s="421"/>
      <c r="AP43" s="409"/>
    </row>
    <row r="44" spans="1:43" ht="15" customHeight="1">
      <c r="A44" s="445"/>
      <c r="B44" s="417" t="s">
        <v>11341</v>
      </c>
      <c r="C44" s="418" t="s">
        <v>8915</v>
      </c>
      <c r="D44" s="419">
        <f>COUNTIFS(MASTER!R:R,C44,MASTER!U:U,$D$4)</f>
        <v>17</v>
      </c>
      <c r="E44" s="419">
        <f>COUNTIFS(MASTER!R:R,C44,MASTER!U:U,$E$4)</f>
        <v>13</v>
      </c>
      <c r="F44" s="419">
        <f>COUNTIFS(MASTER!R:R,C44)</f>
        <v>30</v>
      </c>
      <c r="G44" s="419">
        <v>0</v>
      </c>
      <c r="H44" s="450" t="s">
        <v>11363</v>
      </c>
      <c r="I44" s="451"/>
      <c r="J44" s="446"/>
      <c r="K44" s="446" t="s">
        <v>11378</v>
      </c>
      <c r="AP44" s="409"/>
    </row>
    <row r="45" spans="1:43" ht="15" customHeight="1">
      <c r="A45" s="445"/>
      <c r="B45" s="417"/>
      <c r="C45" s="418"/>
      <c r="D45" s="419"/>
      <c r="E45" s="419"/>
      <c r="F45" s="419"/>
      <c r="G45" s="419"/>
      <c r="H45" s="452"/>
      <c r="I45" s="446"/>
      <c r="J45" s="446"/>
      <c r="K45" s="446"/>
      <c r="AP45" s="409"/>
      <c r="AQ45" s="409"/>
    </row>
    <row r="46" spans="1:43" s="428" customFormat="1" ht="15" customHeight="1">
      <c r="A46" s="544" t="s">
        <v>11347</v>
      </c>
      <c r="B46" s="544"/>
      <c r="C46" s="544"/>
      <c r="D46" s="425">
        <f>SUM(D40:D45)</f>
        <v>68</v>
      </c>
      <c r="E46" s="425">
        <f>SUM(E40:E45)</f>
        <v>51</v>
      </c>
      <c r="F46" s="425">
        <f>SUM(D46:E46)</f>
        <v>119</v>
      </c>
      <c r="G46" s="425">
        <f>SUM(G40:G44)</f>
        <v>3</v>
      </c>
      <c r="H46" s="426"/>
      <c r="I46" s="426"/>
      <c r="J46" s="426"/>
      <c r="K46" s="426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</row>
    <row r="47" spans="1:43">
      <c r="A47" s="453"/>
      <c r="B47" s="417"/>
      <c r="C47" s="418"/>
      <c r="D47" s="419"/>
      <c r="E47" s="419"/>
      <c r="F47" s="419"/>
      <c r="G47" s="419"/>
      <c r="H47" s="578" t="s">
        <v>11353</v>
      </c>
      <c r="I47" s="579"/>
      <c r="J47" s="579"/>
      <c r="K47" s="580"/>
      <c r="AP47" s="409"/>
      <c r="AQ47" s="409"/>
    </row>
    <row r="48" spans="1:43" ht="15" customHeight="1">
      <c r="A48" s="453" t="s">
        <v>12150</v>
      </c>
      <c r="B48" s="417" t="s">
        <v>111</v>
      </c>
      <c r="C48" s="418" t="s">
        <v>9448</v>
      </c>
      <c r="D48" s="419">
        <f>COUNTIFS(MASTER!R:R,C48,MASTER!U:U,$D$4)</f>
        <v>15</v>
      </c>
      <c r="E48" s="419">
        <f>COUNTIFS(MASTER!R:R,C48,MASTER!U:U,$E$4)</f>
        <v>12</v>
      </c>
      <c r="F48" s="419">
        <f>COUNTIFS(MASTER!R:R,C48)</f>
        <v>27</v>
      </c>
      <c r="G48" s="419">
        <v>2</v>
      </c>
      <c r="H48" s="454" t="s">
        <v>13575</v>
      </c>
      <c r="I48" s="454"/>
      <c r="J48" s="454" t="s">
        <v>11354</v>
      </c>
      <c r="K48" s="454" t="s">
        <v>11367</v>
      </c>
      <c r="AP48" s="409"/>
      <c r="AQ48" s="409"/>
    </row>
    <row r="49" spans="1:43" ht="15" customHeight="1">
      <c r="A49" s="455" t="s">
        <v>12151</v>
      </c>
      <c r="B49" s="417" t="s">
        <v>149</v>
      </c>
      <c r="C49" s="418" t="s">
        <v>9928</v>
      </c>
      <c r="D49" s="419">
        <f>COUNTIFS(MASTER!R:R,C49,MASTER!U:U,$D$4)</f>
        <v>16</v>
      </c>
      <c r="E49" s="419">
        <f>COUNTIFS(MASTER!R:R,C49,MASTER!U:U,$E$4)</f>
        <v>12</v>
      </c>
      <c r="F49" s="419">
        <f>COUNTIFS(MASTER!R:R,C49)</f>
        <v>28</v>
      </c>
      <c r="G49" s="419">
        <v>1</v>
      </c>
      <c r="H49" s="454" t="s">
        <v>11369</v>
      </c>
      <c r="I49" s="454"/>
      <c r="J49" s="454"/>
      <c r="K49" s="456" t="s">
        <v>11357</v>
      </c>
      <c r="AP49" s="409"/>
      <c r="AQ49" s="409"/>
    </row>
    <row r="50" spans="1:43" ht="15" customHeight="1">
      <c r="A50" s="453" t="s">
        <v>12152</v>
      </c>
      <c r="B50" s="417" t="s">
        <v>11337</v>
      </c>
      <c r="C50" s="418" t="s">
        <v>10362</v>
      </c>
      <c r="D50" s="419">
        <f>COUNTIFS(MASTER!R:R,C50,MASTER!U:U,$D$4)</f>
        <v>15</v>
      </c>
      <c r="E50" s="419">
        <f>COUNTIFS(MASTER!R:R,C50,MASTER!U:U,$E$4)</f>
        <v>13</v>
      </c>
      <c r="F50" s="419">
        <f>COUNTIFS(MASTER!R:R,C50)</f>
        <v>28</v>
      </c>
      <c r="G50" s="419">
        <v>1</v>
      </c>
      <c r="H50" s="454" t="s">
        <v>11380</v>
      </c>
      <c r="I50" s="454" t="s">
        <v>11365</v>
      </c>
      <c r="J50" s="454"/>
      <c r="K50" s="454"/>
      <c r="AP50" s="409"/>
      <c r="AQ50" s="409"/>
    </row>
    <row r="51" spans="1:43" ht="15" customHeight="1">
      <c r="A51" s="453" t="s">
        <v>12153</v>
      </c>
      <c r="B51" s="417" t="s">
        <v>11341</v>
      </c>
      <c r="C51" s="418" t="s">
        <v>10796</v>
      </c>
      <c r="D51" s="419">
        <f>COUNTIFS(MASTER!R:R,C51,MASTER!U:U,$D$4)</f>
        <v>15</v>
      </c>
      <c r="E51" s="419">
        <f>COUNTIFS(MASTER!R:R,C51,MASTER!U:U,$E$4)</f>
        <v>12</v>
      </c>
      <c r="F51" s="419">
        <f>COUNTIFS(MASTER!R:R,C51)</f>
        <v>27</v>
      </c>
      <c r="G51" s="419">
        <v>1</v>
      </c>
      <c r="H51" s="454" t="s">
        <v>13577</v>
      </c>
      <c r="I51" s="448" t="s">
        <v>11383</v>
      </c>
      <c r="J51" s="454" t="s">
        <v>11358</v>
      </c>
      <c r="K51" s="454" t="s">
        <v>13578</v>
      </c>
      <c r="AP51" s="409"/>
      <c r="AQ51" s="409"/>
    </row>
    <row r="52" spans="1:43" ht="15" customHeight="1">
      <c r="A52" s="453"/>
      <c r="B52" s="417"/>
      <c r="C52" s="418"/>
      <c r="D52" s="419"/>
      <c r="E52" s="419"/>
      <c r="F52" s="419"/>
      <c r="G52" s="419"/>
      <c r="H52" s="581" t="s">
        <v>13576</v>
      </c>
      <c r="I52" s="582"/>
      <c r="J52" s="582"/>
      <c r="K52" s="583"/>
      <c r="AP52" s="409"/>
      <c r="AQ52" s="409"/>
    </row>
    <row r="53" spans="1:43" s="428" customFormat="1" ht="15" customHeight="1">
      <c r="A53" s="544" t="s">
        <v>11347</v>
      </c>
      <c r="B53" s="544"/>
      <c r="C53" s="544"/>
      <c r="D53" s="425">
        <f>SUM(D48:D52)</f>
        <v>61</v>
      </c>
      <c r="E53" s="425">
        <f>SUM(E48:E52)</f>
        <v>49</v>
      </c>
      <c r="F53" s="425">
        <f>SUM(D53:E53)</f>
        <v>110</v>
      </c>
      <c r="G53" s="425">
        <f>SUM(G48:G51)</f>
        <v>5</v>
      </c>
      <c r="H53" s="426"/>
      <c r="I53" s="426"/>
      <c r="J53" s="426"/>
      <c r="K53" s="426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</row>
    <row r="54" spans="1:43">
      <c r="A54" s="457"/>
      <c r="B54" s="417"/>
      <c r="C54" s="418"/>
      <c r="D54" s="419"/>
      <c r="E54" s="419"/>
      <c r="F54" s="419"/>
      <c r="G54" s="419"/>
      <c r="H54" s="560" t="s">
        <v>11364</v>
      </c>
      <c r="I54" s="561"/>
      <c r="J54" s="561"/>
      <c r="K54" s="562"/>
      <c r="AP54" s="409"/>
      <c r="AQ54" s="409"/>
    </row>
    <row r="55" spans="1:43" ht="15" customHeight="1">
      <c r="A55" s="457" t="s">
        <v>13584</v>
      </c>
      <c r="B55" s="417" t="s">
        <v>111</v>
      </c>
      <c r="C55" s="418" t="s">
        <v>11290</v>
      </c>
      <c r="D55" s="419">
        <f>COUNTIFS(MASTER!R:R,C55,MASTER!U:U,$D$4)</f>
        <v>18</v>
      </c>
      <c r="E55" s="419">
        <f>COUNTIFS(MASTER!R:R,C55,MASTER!U:U,$E$4)</f>
        <v>10</v>
      </c>
      <c r="F55" s="419">
        <f>COUNTIFS(MASTER!R:R,C55)</f>
        <v>28</v>
      </c>
      <c r="G55" s="419">
        <v>1</v>
      </c>
      <c r="H55" s="458" t="s">
        <v>11366</v>
      </c>
      <c r="I55" s="458"/>
      <c r="J55" s="458" t="s">
        <v>13579</v>
      </c>
      <c r="K55" s="459" t="s">
        <v>11355</v>
      </c>
      <c r="AP55" s="409"/>
      <c r="AQ55" s="409"/>
    </row>
    <row r="56" spans="1:43" ht="15" customHeight="1">
      <c r="A56" s="457" t="s">
        <v>13585</v>
      </c>
      <c r="B56" s="417" t="s">
        <v>149</v>
      </c>
      <c r="C56" s="418" t="s">
        <v>11294</v>
      </c>
      <c r="D56" s="419">
        <f>COUNTIFS(MASTER!R:R,C56,MASTER!U:U,$D$4)</f>
        <v>17</v>
      </c>
      <c r="E56" s="419">
        <f>COUNTIFS(MASTER!R:R,C56,MASTER!U:U,$E$4)</f>
        <v>11</v>
      </c>
      <c r="F56" s="419">
        <f>COUNTIFS(MASTER!R:R,C56)</f>
        <v>28</v>
      </c>
      <c r="G56" s="419">
        <v>1</v>
      </c>
      <c r="H56" s="458" t="s">
        <v>13580</v>
      </c>
      <c r="I56" s="459"/>
      <c r="J56" s="459" t="s">
        <v>11370</v>
      </c>
      <c r="K56" s="459"/>
      <c r="AP56" s="409"/>
      <c r="AQ56" s="409"/>
    </row>
    <row r="57" spans="1:43" ht="15" customHeight="1">
      <c r="A57" s="457" t="s">
        <v>13586</v>
      </c>
      <c r="B57" s="417" t="s">
        <v>11337</v>
      </c>
      <c r="C57" s="418" t="s">
        <v>11299</v>
      </c>
      <c r="D57" s="419">
        <f>COUNTIFS(MASTER!R:R,C57,MASTER!U:U,$D$4)</f>
        <v>17</v>
      </c>
      <c r="E57" s="419">
        <f>COUNTIFS(MASTER!R:R,C57,MASTER!U:U,$E$4)</f>
        <v>10</v>
      </c>
      <c r="F57" s="419">
        <f>COUNTIFS(MASTER!R:R,C57)</f>
        <v>27</v>
      </c>
      <c r="G57" s="419">
        <v>1</v>
      </c>
      <c r="H57" s="458" t="s">
        <v>13581</v>
      </c>
      <c r="I57" s="460" t="s">
        <v>11382</v>
      </c>
      <c r="J57" s="459" t="s">
        <v>13610</v>
      </c>
      <c r="K57" s="459" t="s">
        <v>11368</v>
      </c>
    </row>
    <row r="58" spans="1:43" ht="15" customHeight="1">
      <c r="A58" s="457" t="s">
        <v>13587</v>
      </c>
      <c r="B58" s="417" t="s">
        <v>11341</v>
      </c>
      <c r="C58" s="418" t="s">
        <v>11300</v>
      </c>
      <c r="D58" s="419">
        <f>COUNTIFS(MASTER!R:R,C58,MASTER!U:U,$D$4)</f>
        <v>16</v>
      </c>
      <c r="E58" s="419">
        <f>COUNTIFS(MASTER!R:R,C58,MASTER!U:U,$E$4)</f>
        <v>12</v>
      </c>
      <c r="F58" s="419">
        <f>COUNTIFS(MASTER!R:R,C58)</f>
        <v>28</v>
      </c>
      <c r="G58" s="419">
        <v>0</v>
      </c>
      <c r="H58" s="459" t="s">
        <v>13582</v>
      </c>
      <c r="I58" s="461"/>
      <c r="J58" s="459"/>
      <c r="K58" s="458" t="s">
        <v>13583</v>
      </c>
    </row>
    <row r="59" spans="1:43" ht="15" customHeight="1">
      <c r="A59" s="457"/>
      <c r="B59" s="417"/>
      <c r="C59" s="418"/>
      <c r="D59" s="419"/>
      <c r="E59" s="419"/>
      <c r="F59" s="419"/>
      <c r="G59" s="419"/>
      <c r="H59" s="563"/>
      <c r="I59" s="564"/>
      <c r="J59" s="564"/>
      <c r="K59" s="565"/>
      <c r="AP59" s="409"/>
      <c r="AQ59" s="409"/>
    </row>
    <row r="60" spans="1:43" s="428" customFormat="1" ht="15" customHeight="1">
      <c r="A60" s="544" t="s">
        <v>11347</v>
      </c>
      <c r="B60" s="544"/>
      <c r="C60" s="544"/>
      <c r="D60" s="425">
        <f>SUM(D55:D59)</f>
        <v>68</v>
      </c>
      <c r="E60" s="425">
        <f>SUM(E55:E59)</f>
        <v>43</v>
      </c>
      <c r="F60" s="425">
        <f>SUM(D60:E60)</f>
        <v>111</v>
      </c>
      <c r="G60" s="425">
        <f>SUM(G55:G58)</f>
        <v>3</v>
      </c>
      <c r="H60" s="462"/>
      <c r="I60" s="462"/>
      <c r="J60" s="462"/>
      <c r="K60" s="462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</row>
    <row r="61" spans="1:43" ht="26.25" customHeight="1">
      <c r="A61" s="566" t="s">
        <v>11371</v>
      </c>
      <c r="B61" s="566"/>
      <c r="C61" s="566"/>
      <c r="D61" s="463">
        <f>+D17+D30+D38+D53+D60+D46</f>
        <v>385</v>
      </c>
      <c r="E61" s="463">
        <f>+E17+E30+E38+E53+E60+E46</f>
        <v>285</v>
      </c>
      <c r="F61" s="463">
        <f>SUM(D61:E61)</f>
        <v>670</v>
      </c>
      <c r="G61" s="463">
        <f>SUM(G60+G53+G46+G38+G30+G17)</f>
        <v>37</v>
      </c>
      <c r="H61" s="464"/>
      <c r="I61" s="464"/>
      <c r="J61" s="464"/>
      <c r="K61" s="464"/>
      <c r="AN61" s="410"/>
      <c r="AO61" s="410"/>
    </row>
    <row r="62" spans="1:43" s="409" customFormat="1">
      <c r="A62" s="465"/>
      <c r="B62" s="465"/>
      <c r="G62" s="466"/>
      <c r="H62" s="467"/>
      <c r="I62" s="468"/>
      <c r="J62" s="468"/>
      <c r="K62" s="468"/>
    </row>
    <row r="63" spans="1:43">
      <c r="H63" s="470"/>
      <c r="AN63" s="410"/>
      <c r="AO63" s="410"/>
    </row>
    <row r="64" spans="1:43">
      <c r="AN64" s="410"/>
      <c r="AO64" s="410"/>
    </row>
    <row r="65" spans="1:41">
      <c r="C65" s="471"/>
      <c r="AN65" s="410"/>
      <c r="AO65" s="410"/>
    </row>
    <row r="66" spans="1:41">
      <c r="AN66" s="410"/>
      <c r="AO66" s="410"/>
    </row>
    <row r="67" spans="1:41">
      <c r="AN67" s="410"/>
      <c r="AO67" s="410"/>
    </row>
    <row r="68" spans="1:41" s="409" customFormat="1">
      <c r="A68" s="465"/>
      <c r="B68" s="465"/>
      <c r="F68" s="468"/>
      <c r="G68" s="467"/>
    </row>
    <row r="69" spans="1:41" s="409" customFormat="1">
      <c r="A69" s="465"/>
      <c r="B69" s="465"/>
      <c r="G69" s="466"/>
    </row>
    <row r="70" spans="1:41" s="409" customFormat="1">
      <c r="A70" s="465"/>
      <c r="B70" s="465"/>
      <c r="G70" s="466"/>
    </row>
    <row r="71" spans="1:41" s="409" customFormat="1">
      <c r="A71" s="465"/>
      <c r="B71" s="465"/>
      <c r="G71" s="466"/>
    </row>
    <row r="72" spans="1:41" s="409" customFormat="1">
      <c r="A72" s="465"/>
      <c r="B72" s="465"/>
      <c r="G72" s="466"/>
    </row>
    <row r="73" spans="1:41" s="409" customFormat="1">
      <c r="A73" s="465"/>
      <c r="B73" s="465"/>
      <c r="G73" s="466"/>
    </row>
    <row r="74" spans="1:41" s="409" customFormat="1">
      <c r="A74" s="465"/>
      <c r="B74" s="465"/>
      <c r="G74" s="466"/>
    </row>
    <row r="75" spans="1:41" s="409" customFormat="1">
      <c r="A75" s="465"/>
      <c r="B75" s="465"/>
      <c r="G75" s="466"/>
    </row>
    <row r="76" spans="1:41" s="409" customFormat="1">
      <c r="A76" s="465"/>
      <c r="B76" s="465"/>
      <c r="G76" s="466"/>
    </row>
    <row r="77" spans="1:41" s="409" customFormat="1">
      <c r="A77" s="465"/>
      <c r="B77" s="465"/>
      <c r="G77" s="466"/>
    </row>
    <row r="78" spans="1:41" s="409" customFormat="1">
      <c r="A78" s="465"/>
      <c r="B78" s="465"/>
      <c r="G78" s="466"/>
    </row>
    <row r="79" spans="1:41" s="409" customFormat="1">
      <c r="A79" s="465"/>
      <c r="B79" s="465"/>
      <c r="G79" s="466"/>
    </row>
    <row r="80" spans="1:41" s="409" customFormat="1">
      <c r="A80" s="465"/>
      <c r="B80" s="465"/>
      <c r="G80" s="466"/>
      <c r="H80" s="472"/>
    </row>
    <row r="81" spans="1:8" s="409" customFormat="1">
      <c r="A81" s="465"/>
      <c r="B81" s="465"/>
      <c r="G81" s="466"/>
      <c r="H81" s="473"/>
    </row>
    <row r="82" spans="1:8">
      <c r="H82" s="474"/>
    </row>
  </sheetData>
  <mergeCells count="112">
    <mergeCell ref="I42:I43"/>
    <mergeCell ref="K42:K43"/>
    <mergeCell ref="I22:I23"/>
    <mergeCell ref="K22:K23"/>
    <mergeCell ref="A24:A25"/>
    <mergeCell ref="B24:B25"/>
    <mergeCell ref="C24:C25"/>
    <mergeCell ref="D24:D25"/>
    <mergeCell ref="E24:E25"/>
    <mergeCell ref="E22:E23"/>
    <mergeCell ref="E26:E27"/>
    <mergeCell ref="D26:D27"/>
    <mergeCell ref="C26:C27"/>
    <mergeCell ref="B26:B27"/>
    <mergeCell ref="F24:F25"/>
    <mergeCell ref="G24:G25"/>
    <mergeCell ref="H24:H25"/>
    <mergeCell ref="I24:I25"/>
    <mergeCell ref="I26:I27"/>
    <mergeCell ref="H26:H27"/>
    <mergeCell ref="G26:G27"/>
    <mergeCell ref="F26:F27"/>
    <mergeCell ref="J24:J25"/>
    <mergeCell ref="H54:K54"/>
    <mergeCell ref="H59:K59"/>
    <mergeCell ref="A60:C60"/>
    <mergeCell ref="A61:C61"/>
    <mergeCell ref="H14:K14"/>
    <mergeCell ref="K24:K25"/>
    <mergeCell ref="K26:K27"/>
    <mergeCell ref="A22:A23"/>
    <mergeCell ref="H37:K37"/>
    <mergeCell ref="A38:C38"/>
    <mergeCell ref="H39:K39"/>
    <mergeCell ref="A46:C46"/>
    <mergeCell ref="H47:K47"/>
    <mergeCell ref="H52:K52"/>
    <mergeCell ref="K19:K21"/>
    <mergeCell ref="H28:K28"/>
    <mergeCell ref="A30:C30"/>
    <mergeCell ref="H31:K31"/>
    <mergeCell ref="H36:K36"/>
    <mergeCell ref="B22:B23"/>
    <mergeCell ref="C22:C23"/>
    <mergeCell ref="D22:D23"/>
    <mergeCell ref="F22:F23"/>
    <mergeCell ref="A19:A21"/>
    <mergeCell ref="B19:B21"/>
    <mergeCell ref="C19:C21"/>
    <mergeCell ref="D19:D21"/>
    <mergeCell ref="E19:E21"/>
    <mergeCell ref="F19:F21"/>
    <mergeCell ref="G19:G21"/>
    <mergeCell ref="H19:H21"/>
    <mergeCell ref="A53:C53"/>
    <mergeCell ref="G22:G23"/>
    <mergeCell ref="H22:H23"/>
    <mergeCell ref="B42:B43"/>
    <mergeCell ref="C42:C43"/>
    <mergeCell ref="D42:D43"/>
    <mergeCell ref="F42:F43"/>
    <mergeCell ref="E42:E43"/>
    <mergeCell ref="H42:H43"/>
    <mergeCell ref="G42:G43"/>
    <mergeCell ref="A26:A27"/>
    <mergeCell ref="A17:C17"/>
    <mergeCell ref="H18:K18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F12:F13"/>
    <mergeCell ref="G12:G13"/>
    <mergeCell ref="H12:H13"/>
    <mergeCell ref="I12:I13"/>
    <mergeCell ref="K8:K9"/>
    <mergeCell ref="K12:K13"/>
    <mergeCell ref="H15:K15"/>
    <mergeCell ref="F10:F11"/>
    <mergeCell ref="G10:G11"/>
    <mergeCell ref="H10:H11"/>
    <mergeCell ref="I10:I11"/>
    <mergeCell ref="K10:K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K1"/>
    <mergeCell ref="A2:K2"/>
    <mergeCell ref="D3:F3"/>
    <mergeCell ref="H5:K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K6:K7"/>
  </mergeCells>
  <pageMargins left="0.19685039370078741" right="0.19685039370078741" top="0.19685039370078741" bottom="0.19685039370078741" header="0.19685039370078741" footer="0.19685039370078741"/>
  <pageSetup paperSize="10000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EE5-7F39-4221-A0BD-2BD68A0A0F83}">
  <dimension ref="A1"/>
  <sheetViews>
    <sheetView workbookViewId="0">
      <selection activeCell="H37" sqref="H37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REPORT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Tata Usaha</cp:lastModifiedBy>
  <cp:lastPrinted>2026-07-22T07:07:28Z</cp:lastPrinted>
  <dcterms:created xsi:type="dcterms:W3CDTF">2025-07-08T02:00:31Z</dcterms:created>
  <dcterms:modified xsi:type="dcterms:W3CDTF">2026-09-16T01:23:10Z</dcterms:modified>
</cp:coreProperties>
</file>